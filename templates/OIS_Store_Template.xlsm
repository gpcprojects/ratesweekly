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jbdraxuk-my.sharepoint.com/personal/pycroftcottamg_jbdh_com/Documents/ratesweekly/templates/"/>
    </mc:Choice>
  </mc:AlternateContent>
  <xr:revisionPtr revIDLastSave="4" documentId="8_{5F2B1C51-0492-42BE-9BC3-EDADBB40D272}" xr6:coauthVersionLast="47" xr6:coauthVersionMax="47" xr10:uidLastSave="{84431445-78BF-4C37-A267-0EEF311FFA34}"/>
  <bookViews>
    <workbookView xWindow="-33615" yWindow="3420" windowWidth="28800" windowHeight="20625" tabRatio="830" firstSheet="3" activeTab="15" xr2:uid="{00000000-000D-0000-FFFF-FFFF00000000}"/>
  </bookViews>
  <sheets>
    <sheet name="Current" sheetId="1" r:id="rId1"/>
    <sheet name="Historical_AU" sheetId="2" r:id="rId2"/>
    <sheet name="Historical_NZ" sheetId="3" r:id="rId3"/>
    <sheet name="Historical_EU" sheetId="4" r:id="rId4"/>
    <sheet name="Historical_UK" sheetId="5" r:id="rId5"/>
    <sheet name="Historical_US" sheetId="6" r:id="rId6"/>
    <sheet name="Historical_CD" sheetId="7" r:id="rId7"/>
    <sheet name="Historical_SZ" sheetId="10" r:id="rId8"/>
    <sheet name="Historical_NOK" sheetId="15" r:id="rId9"/>
    <sheet name="Historical_JPY" sheetId="16" r:id="rId10"/>
    <sheet name="Historical_SEK" sheetId="17" r:id="rId11"/>
    <sheet name="Vandit" sheetId="11" r:id="rId12"/>
    <sheet name="Blast" sheetId="13" r:id="rId13"/>
    <sheet name="Screenshot" sheetId="12" r:id="rId14"/>
    <sheet name="Coremont Riskbank" sheetId="14" r:id="rId15"/>
    <sheet name="Runs" sheetId="18" r:id="rId16"/>
  </sheets>
  <functionGroups builtInGroupCount="19"/>
  <externalReferences>
    <externalReference r:id="rId17"/>
  </externalReferences>
  <definedNames>
    <definedName name="_xlnm._FilterDatabase" localSheetId="7" hidden="1">Historical_SZ!$A$1:$K$154</definedName>
    <definedName name="_xleta.INDEX" hidden="1" xlm="1">#NAME?</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1" l="1" a="1"/>
  <c r="C23" i="1" a="1"/>
  <c r="H12" i="1" a="1"/>
  <c r="H9" i="1" a="1"/>
  <c r="H10" i="1" a="1"/>
  <c r="H7" i="1" a="1"/>
  <c r="H11" i="1" a="1"/>
  <c r="H13" i="1" a="1"/>
  <c r="H8" i="1" a="1"/>
  <c r="W41" i="1" a="1"/>
  <c r="W43" i="1" a="1"/>
  <c r="V42" i="1" a="1"/>
  <c r="V46" i="1" a="1"/>
  <c r="V43" i="1" a="1"/>
  <c r="W46" i="1" a="1"/>
  <c r="V44" i="1" a="1"/>
  <c r="W40" i="1" a="1"/>
  <c r="W45" i="1" a="1"/>
  <c r="V45" i="1" a="1"/>
  <c r="W42" i="1" a="1"/>
  <c r="W44" i="1" a="1"/>
  <c r="V40" i="1" a="1"/>
  <c r="V41" i="1" a="1"/>
  <c r="W62" i="1" a="1"/>
  <c r="G40" i="1" a="1"/>
  <c r="G7" i="1" a="1"/>
  <c r="G8" i="1" a="1"/>
  <c r="G44" i="1" a="1"/>
  <c r="W11" i="1" a="1"/>
  <c r="G45" i="1" a="1"/>
  <c r="W7" i="1" a="1"/>
  <c r="W60" i="1" a="1"/>
  <c r="G57" i="1" a="1"/>
  <c r="W26" i="1" a="1"/>
  <c r="W30" i="1" a="1"/>
  <c r="W9" i="1" a="1"/>
  <c r="W58" i="1" a="1"/>
  <c r="W25" i="1" a="1"/>
  <c r="G61" i="1" a="1"/>
  <c r="W10" i="1" a="1"/>
  <c r="W64" i="1" a="1"/>
  <c r="G42" i="1" a="1"/>
  <c r="W59" i="1" a="1"/>
  <c r="G10" i="1" a="1"/>
  <c r="G62" i="1" a="1"/>
  <c r="W29" i="1" a="1"/>
  <c r="G59" i="1" a="1"/>
  <c r="W61" i="1" a="1"/>
  <c r="G48" i="1" a="1"/>
  <c r="G11" i="1" a="1"/>
  <c r="W63" i="1" a="1"/>
  <c r="W28" i="1" a="1"/>
  <c r="G9" i="1" a="1"/>
  <c r="G12" i="1" a="1"/>
  <c r="G46" i="1" a="1"/>
  <c r="W27" i="1" a="1"/>
  <c r="W57" i="1" a="1"/>
  <c r="W24" i="1" a="1"/>
  <c r="G58" i="1" a="1"/>
  <c r="W8" i="1" a="1"/>
  <c r="G43" i="1" a="1"/>
  <c r="G60" i="1" a="1"/>
  <c r="W13" i="1" a="1"/>
  <c r="W12" i="1" a="1"/>
  <c r="G47" i="1" a="1"/>
  <c r="W23" i="1" a="1"/>
  <c r="G41" i="1" a="1"/>
  <c r="S42" i="13" l="1"/>
  <c r="Q42" i="13"/>
  <c r="O42" i="13"/>
  <c r="M42" i="13"/>
  <c r="K42" i="13"/>
  <c r="L40" i="11"/>
  <c r="S35" i="13" s="1"/>
  <c r="L41" i="11"/>
  <c r="S36" i="13" s="1"/>
  <c r="L42" i="11"/>
  <c r="S37" i="13" s="1"/>
  <c r="L43" i="11"/>
  <c r="S38" i="13" s="1"/>
  <c r="L39" i="11"/>
  <c r="S34" i="13" s="1"/>
  <c r="L47" i="11"/>
  <c r="S43" i="13" s="1"/>
  <c r="L48" i="11"/>
  <c r="S44" i="13" s="1"/>
  <c r="L49" i="11"/>
  <c r="S45" i="13" s="1"/>
  <c r="V57" i="1" a="1"/>
  <c r="F8" i="1" a="1"/>
  <c r="V59" i="1" a="1"/>
  <c r="V26" i="1" a="1"/>
  <c r="F46" i="1" a="1"/>
  <c r="F60" i="1" a="1"/>
  <c r="G25" i="1" a="1"/>
  <c r="F24" i="1" a="1"/>
  <c r="F29" i="1" a="1"/>
  <c r="F57" i="1" a="1"/>
  <c r="V23" i="1" a="1"/>
  <c r="V9" i="1" a="1"/>
  <c r="V27" i="1" a="1"/>
  <c r="G23" i="1" a="1"/>
  <c r="F62" i="1" a="1"/>
  <c r="F23" i="1" a="1"/>
  <c r="G24" i="1" a="1"/>
  <c r="F47" i="1" a="1"/>
  <c r="V60" i="1" a="1"/>
  <c r="V31" i="1" a="1"/>
  <c r="F43" i="1" a="1"/>
  <c r="V7" i="1" a="1"/>
  <c r="F48" i="1" a="1"/>
  <c r="F26" i="1" a="1"/>
  <c r="V58" i="1" a="1"/>
  <c r="G29" i="1" a="1"/>
  <c r="F40" i="1" a="1"/>
  <c r="F44" i="1" a="1"/>
  <c r="F28" i="1" a="1"/>
  <c r="F10" i="1" a="1"/>
  <c r="V63" i="1" a="1"/>
  <c r="F42" i="1" a="1"/>
  <c r="V8" i="1" a="1"/>
  <c r="G27" i="1" a="1"/>
  <c r="F7" i="1" a="1"/>
  <c r="V64" i="1" a="1"/>
  <c r="F27" i="1" a="1"/>
  <c r="F9" i="1" a="1"/>
  <c r="F25" i="1" a="1"/>
  <c r="V24" i="1" a="1"/>
  <c r="V29" i="1" a="1"/>
  <c r="F12" i="1" a="1"/>
  <c r="V62" i="1" a="1"/>
  <c r="G28" i="1" a="1"/>
  <c r="V13" i="1" a="1"/>
  <c r="F58" i="1" a="1"/>
  <c r="V61" i="1" a="1"/>
  <c r="F11" i="1" a="1"/>
  <c r="V25" i="1" a="1"/>
  <c r="F61" i="1" a="1"/>
  <c r="G26" i="1" a="1"/>
  <c r="V28" i="1" a="1"/>
  <c r="F41" i="1" a="1"/>
  <c r="F45" i="1" a="1"/>
  <c r="V10" i="1" a="1"/>
  <c r="F13" i="1" a="1"/>
  <c r="F59" i="1" a="1"/>
  <c r="V30" i="1" a="1"/>
  <c r="V11" i="1" a="1"/>
  <c r="V12" i="1" a="1"/>
  <c r="H78" i="1"/>
  <c r="G78" i="1"/>
  <c r="F78" i="1"/>
  <c r="E78" i="1" s="1"/>
  <c r="H77" i="1"/>
  <c r="J49" i="11" s="1"/>
  <c r="G77" i="1"/>
  <c r="I49" i="11" s="1"/>
  <c r="M45" i="13" s="1"/>
  <c r="F77" i="1"/>
  <c r="H76" i="1"/>
  <c r="J48" i="11" s="1"/>
  <c r="G76" i="1"/>
  <c r="I48" i="11" s="1"/>
  <c r="M44" i="13" s="1"/>
  <c r="F76" i="1"/>
  <c r="H75" i="1"/>
  <c r="J47" i="11" s="1"/>
  <c r="G75" i="1"/>
  <c r="I47" i="11" s="1"/>
  <c r="M43" i="13" s="1"/>
  <c r="F75" i="1"/>
  <c r="H74" i="1"/>
  <c r="G74" i="1"/>
  <c r="F74" i="1"/>
  <c r="E74" i="1" s="1"/>
  <c r="U47" i="1"/>
  <c r="E30" i="1"/>
  <c r="L32" i="11"/>
  <c r="S31" i="13" s="1"/>
  <c r="E46" i="11"/>
  <c r="I47" i="13" s="1"/>
  <c r="H58" i="1" a="1"/>
  <c r="X61" i="1" a="1"/>
  <c r="H47" i="1" a="1"/>
  <c r="X45" i="1" a="1"/>
  <c r="X7" i="1" a="1"/>
  <c r="H43" i="1" a="1"/>
  <c r="H61" i="1" a="1"/>
  <c r="C74" i="1" a="1"/>
  <c r="X44" i="1" a="1"/>
  <c r="H26" i="1" a="1"/>
  <c r="H25" i="1" a="1"/>
  <c r="S40" i="1" a="1"/>
  <c r="X58" i="1" a="1"/>
  <c r="H28" i="1" a="1"/>
  <c r="H62" i="1" a="1"/>
  <c r="X24" i="1" a="1"/>
  <c r="C57" i="1" a="1"/>
  <c r="X59" i="1" a="1"/>
  <c r="H30" i="1" a="1"/>
  <c r="X41" i="1" a="1"/>
  <c r="X27" i="1" a="1"/>
  <c r="S7" i="1" a="1"/>
  <c r="S23" i="1" a="1"/>
  <c r="X11" i="1" a="1"/>
  <c r="X23" i="1" a="1"/>
  <c r="H42" i="1" a="1"/>
  <c r="X30" i="1" a="1"/>
  <c r="H40" i="1" a="1"/>
  <c r="X28" i="1" a="1"/>
  <c r="H41" i="1" a="1"/>
  <c r="S8" i="1" a="1"/>
  <c r="X40" i="1" a="1"/>
  <c r="H60" i="1" a="1"/>
  <c r="C41" i="1" a="1"/>
  <c r="S41" i="1" a="1"/>
  <c r="H59" i="1" a="1"/>
  <c r="C7" i="1" a="1"/>
  <c r="H48" i="1" a="1"/>
  <c r="X42" i="1" a="1"/>
  <c r="X13" i="1" a="1"/>
  <c r="X46" i="1" a="1"/>
  <c r="X10" i="1" a="1"/>
  <c r="X12" i="1" a="1"/>
  <c r="X25" i="1" a="1"/>
  <c r="X9" i="1" a="1"/>
  <c r="C40" i="1" a="1"/>
  <c r="X57" i="1" a="1"/>
  <c r="X64" i="1" a="1"/>
  <c r="X8" i="1" a="1"/>
  <c r="X60" i="1" a="1"/>
  <c r="H29" i="1" a="1"/>
  <c r="H23" i="1" a="1"/>
  <c r="H57" i="1" a="1"/>
  <c r="H46" i="1" a="1"/>
  <c r="X29" i="1" a="1"/>
  <c r="H44" i="1" a="1"/>
  <c r="H24" i="1" a="1"/>
  <c r="S57" i="1" a="1"/>
  <c r="X26" i="1" a="1"/>
  <c r="X62" i="1" a="1"/>
  <c r="H27" i="1" a="1"/>
  <c r="X43" i="1" a="1"/>
  <c r="H45" i="1" a="1"/>
  <c r="X63" i="1" a="1"/>
  <c r="I42" i="11" l="1"/>
  <c r="M37" i="13" s="1"/>
  <c r="I41" i="11"/>
  <c r="M36" i="13" s="1"/>
  <c r="I39" i="11"/>
  <c r="M34" i="13" s="1"/>
  <c r="I40" i="11"/>
  <c r="M35" i="13" s="1"/>
  <c r="I43" i="11"/>
  <c r="M38" i="13" s="1"/>
  <c r="M48" i="11"/>
  <c r="K47" i="11"/>
  <c r="Q43" i="13" s="1"/>
  <c r="O43" i="13"/>
  <c r="E76" i="1"/>
  <c r="H48" i="11"/>
  <c r="K44" i="13" s="1"/>
  <c r="K48" i="11"/>
  <c r="Q44" i="13" s="1"/>
  <c r="O44" i="13"/>
  <c r="E77" i="1"/>
  <c r="H49" i="11"/>
  <c r="K45" i="13" s="1"/>
  <c r="O45" i="13"/>
  <c r="M49" i="11"/>
  <c r="K49" i="11"/>
  <c r="Q45" i="13" s="1"/>
  <c r="E75" i="1"/>
  <c r="H47" i="11"/>
  <c r="K43" i="13" s="1"/>
  <c r="I76" i="1"/>
  <c r="I75" i="1"/>
  <c r="I78" i="1"/>
  <c r="I77" i="1"/>
  <c r="L30" i="11"/>
  <c r="S29" i="13" s="1"/>
  <c r="L31" i="11"/>
  <c r="S30" i="13" s="1"/>
  <c r="L27" i="11"/>
  <c r="S26" i="13" s="1"/>
  <c r="L28" i="11"/>
  <c r="S27" i="13" s="1"/>
  <c r="L29" i="11"/>
  <c r="S28" i="13" s="1"/>
  <c r="H56" i="7" l="1"/>
  <c r="H55" i="7"/>
  <c r="H54" i="7"/>
  <c r="H53" i="7"/>
  <c r="H52" i="7"/>
  <c r="H51" i="7"/>
  <c r="H50" i="7"/>
  <c r="H49" i="7"/>
  <c r="E31" i="12" l="1"/>
  <c r="E32" i="12"/>
  <c r="E41" i="11" l="1"/>
  <c r="E42" i="11"/>
  <c r="E43" i="11"/>
  <c r="E44" i="11"/>
  <c r="E45" i="11"/>
  <c r="E40" i="11"/>
  <c r="E29" i="11"/>
  <c r="E30" i="11"/>
  <c r="E31" i="11"/>
  <c r="E32" i="11"/>
  <c r="E33" i="11"/>
  <c r="E34" i="11"/>
  <c r="E28" i="11"/>
  <c r="E36" i="11" l="1"/>
  <c r="C36" i="11"/>
  <c r="B36" i="11"/>
  <c r="A36" i="11"/>
  <c r="E35" i="11"/>
  <c r="C35" i="11"/>
  <c r="B35" i="11"/>
  <c r="A35" i="11"/>
  <c r="B34" i="11"/>
  <c r="E22" i="11"/>
  <c r="E21" i="11"/>
  <c r="L20" i="11"/>
  <c r="S22" i="13" s="1"/>
  <c r="E20" i="11"/>
  <c r="L19" i="11"/>
  <c r="S21" i="13" s="1"/>
  <c r="E19" i="11"/>
  <c r="L18" i="11"/>
  <c r="S20" i="13" s="1"/>
  <c r="E18" i="11"/>
  <c r="L17" i="11"/>
  <c r="E17" i="11"/>
  <c r="L16" i="11"/>
  <c r="E16" i="11"/>
  <c r="L15" i="11"/>
  <c r="E15" i="11"/>
  <c r="L14" i="11"/>
  <c r="L10" i="11"/>
  <c r="L9" i="11"/>
  <c r="E9" i="11"/>
  <c r="I11" i="13" s="1"/>
  <c r="L8" i="11"/>
  <c r="E8" i="11"/>
  <c r="I10" i="13" s="1"/>
  <c r="L7" i="11"/>
  <c r="E7" i="11"/>
  <c r="I9" i="13" s="1"/>
  <c r="L6" i="11"/>
  <c r="E6" i="11"/>
  <c r="L5" i="11"/>
  <c r="E5" i="11"/>
  <c r="L4" i="11"/>
  <c r="E4" i="11"/>
  <c r="L3" i="11"/>
  <c r="E3" i="11"/>
  <c r="F36" i="11" l="1"/>
  <c r="D36" i="11"/>
  <c r="D35" i="11"/>
  <c r="T83" i="12" l="1"/>
  <c r="S83" i="12"/>
  <c r="R83" i="12"/>
  <c r="V76" i="12"/>
  <c r="F70" i="12"/>
  <c r="E70" i="12"/>
  <c r="D70" i="12"/>
  <c r="C70" i="12"/>
  <c r="B70" i="12"/>
  <c r="E68" i="12"/>
  <c r="E67" i="12"/>
  <c r="E66" i="12"/>
  <c r="E65" i="12"/>
  <c r="E64" i="12"/>
  <c r="E63" i="12"/>
  <c r="E62" i="12"/>
  <c r="F61" i="12"/>
  <c r="E61" i="12"/>
  <c r="D61" i="12"/>
  <c r="C61" i="12"/>
  <c r="B61" i="12"/>
  <c r="B60" i="12"/>
  <c r="E58" i="12"/>
  <c r="E57" i="12"/>
  <c r="E56" i="12"/>
  <c r="E55" i="12"/>
  <c r="E54" i="12"/>
  <c r="E53" i="12"/>
  <c r="E52" i="12"/>
  <c r="E51" i="12"/>
  <c r="F50" i="12"/>
  <c r="E50" i="12"/>
  <c r="D50" i="12"/>
  <c r="C50" i="12"/>
  <c r="B50" i="12"/>
  <c r="B49" i="12"/>
  <c r="F47" i="12"/>
  <c r="E47" i="12"/>
  <c r="D47" i="12"/>
  <c r="E46" i="12"/>
  <c r="E45" i="12"/>
  <c r="E44" i="12"/>
  <c r="E43" i="12"/>
  <c r="E42" i="12"/>
  <c r="E41" i="12"/>
  <c r="E40" i="12"/>
  <c r="E39" i="12"/>
  <c r="F38" i="12"/>
  <c r="E38" i="12"/>
  <c r="D38" i="12"/>
  <c r="C38" i="12"/>
  <c r="B38" i="12"/>
  <c r="B37" i="12"/>
  <c r="F35" i="12"/>
  <c r="E35" i="12"/>
  <c r="D35" i="12"/>
  <c r="C35" i="12"/>
  <c r="B35" i="12"/>
  <c r="E34" i="12"/>
  <c r="C34" i="12"/>
  <c r="B34" i="12"/>
  <c r="E30" i="12"/>
  <c r="E29" i="12"/>
  <c r="E28" i="12"/>
  <c r="E27" i="12"/>
  <c r="F26" i="12"/>
  <c r="E26" i="12"/>
  <c r="D26" i="12"/>
  <c r="C26" i="12"/>
  <c r="B26" i="12"/>
  <c r="B25" i="12"/>
  <c r="F23" i="12"/>
  <c r="E23" i="12"/>
  <c r="D23" i="12"/>
  <c r="C23" i="12"/>
  <c r="B23" i="12"/>
  <c r="F22" i="12"/>
  <c r="E22" i="12"/>
  <c r="D22" i="12"/>
  <c r="C22" i="12"/>
  <c r="B22" i="12"/>
  <c r="E21" i="12"/>
  <c r="E20" i="12"/>
  <c r="E19" i="12"/>
  <c r="E18" i="12"/>
  <c r="E17" i="12"/>
  <c r="E16" i="12"/>
  <c r="F15" i="12"/>
  <c r="E15" i="12"/>
  <c r="D15" i="12"/>
  <c r="C15" i="12"/>
  <c r="B15" i="12"/>
  <c r="F12" i="12"/>
  <c r="E12" i="12"/>
  <c r="D12" i="12"/>
  <c r="C12" i="12"/>
  <c r="B12" i="12"/>
  <c r="F11" i="12"/>
  <c r="E11" i="12"/>
  <c r="D11" i="12"/>
  <c r="C11" i="12"/>
  <c r="B11" i="12"/>
  <c r="E10" i="12"/>
  <c r="E9" i="12"/>
  <c r="E8" i="12"/>
  <c r="E7" i="12"/>
  <c r="E6" i="12"/>
  <c r="E5" i="12"/>
  <c r="E4" i="12"/>
  <c r="G40" i="13"/>
  <c r="E40" i="13"/>
  <c r="C40" i="13"/>
  <c r="A40" i="13"/>
  <c r="G29" i="13"/>
  <c r="E29" i="13"/>
  <c r="C29" i="13"/>
  <c r="A29" i="13"/>
  <c r="G16" i="13"/>
  <c r="E16" i="13"/>
  <c r="C16" i="13"/>
  <c r="A16" i="13"/>
  <c r="S15" i="13"/>
  <c r="Q15" i="13"/>
  <c r="O15" i="13"/>
  <c r="M15" i="13"/>
  <c r="K15" i="13"/>
  <c r="S4" i="13"/>
  <c r="Q4" i="13"/>
  <c r="O4" i="13"/>
  <c r="M4" i="13"/>
  <c r="K4" i="13"/>
  <c r="G4" i="13"/>
  <c r="E4" i="13"/>
  <c r="C4" i="13"/>
  <c r="A4" i="13"/>
  <c r="I46" i="13"/>
  <c r="I45" i="13"/>
  <c r="I44" i="13"/>
  <c r="I43" i="13"/>
  <c r="I42" i="13"/>
  <c r="I41" i="13"/>
  <c r="I36" i="13"/>
  <c r="C36" i="13"/>
  <c r="I35" i="13"/>
  <c r="I34" i="13"/>
  <c r="I33" i="13"/>
  <c r="I32" i="13"/>
  <c r="I31" i="13"/>
  <c r="I30" i="13"/>
  <c r="I23" i="13"/>
  <c r="I22" i="13"/>
  <c r="I21" i="13"/>
  <c r="I20" i="13"/>
  <c r="S19" i="13"/>
  <c r="I19" i="13"/>
  <c r="S18" i="13"/>
  <c r="I18" i="13"/>
  <c r="S17" i="13"/>
  <c r="I17" i="13"/>
  <c r="S16" i="13"/>
  <c r="S12" i="13"/>
  <c r="S11" i="13"/>
  <c r="S10" i="13"/>
  <c r="S9" i="13"/>
  <c r="S8" i="13"/>
  <c r="I8" i="13"/>
  <c r="S7" i="13"/>
  <c r="I7" i="13"/>
  <c r="S6" i="13"/>
  <c r="I6" i="13"/>
  <c r="S5" i="13"/>
  <c r="I5" i="13"/>
  <c r="U64" i="1"/>
  <c r="I32" i="11"/>
  <c r="M31" i="13" s="1"/>
  <c r="I31" i="11"/>
  <c r="M30" i="13" s="1"/>
  <c r="J43" i="11" s="1"/>
  <c r="H43" i="11"/>
  <c r="K38" i="13" s="1"/>
  <c r="I30" i="11"/>
  <c r="M29" i="13" s="1"/>
  <c r="J42" i="11" s="1"/>
  <c r="H42" i="11"/>
  <c r="K37" i="13" s="1"/>
  <c r="I29" i="11"/>
  <c r="M28" i="13" s="1"/>
  <c r="J41" i="11" s="1"/>
  <c r="H41" i="11"/>
  <c r="K36" i="13" s="1"/>
  <c r="I28" i="11"/>
  <c r="M27" i="13" s="1"/>
  <c r="J40" i="11" s="1"/>
  <c r="H40" i="11"/>
  <c r="K35" i="13" s="1"/>
  <c r="I27" i="11"/>
  <c r="M26" i="13" s="1"/>
  <c r="J39" i="11" s="1"/>
  <c r="H39" i="11"/>
  <c r="K34" i="13" s="1"/>
  <c r="I10" i="11"/>
  <c r="M12" i="13" s="1"/>
  <c r="I20" i="11"/>
  <c r="M22" i="13" s="1"/>
  <c r="I9" i="11"/>
  <c r="M11" i="13" s="1"/>
  <c r="I19" i="11"/>
  <c r="M21" i="13" s="1"/>
  <c r="I8" i="11"/>
  <c r="M10" i="13" s="1"/>
  <c r="I18" i="11"/>
  <c r="M20" i="13" s="1"/>
  <c r="I7" i="11"/>
  <c r="M9" i="13" s="1"/>
  <c r="I17" i="11"/>
  <c r="M19" i="13" s="1"/>
  <c r="I6" i="11"/>
  <c r="M8" i="13" s="1"/>
  <c r="I16" i="11"/>
  <c r="M18" i="13" s="1"/>
  <c r="I5" i="11"/>
  <c r="M7" i="13" s="1"/>
  <c r="I15" i="11"/>
  <c r="M17" i="13" s="1"/>
  <c r="I4" i="11"/>
  <c r="M6" i="13" s="1"/>
  <c r="I14" i="11"/>
  <c r="M16" i="13" s="1"/>
  <c r="I3" i="11"/>
  <c r="M5" i="13" s="1"/>
  <c r="B22" i="11"/>
  <c r="B21" i="11"/>
  <c r="C23" i="13" s="1"/>
  <c r="B20" i="11"/>
  <c r="C22" i="13" s="1"/>
  <c r="B19" i="11"/>
  <c r="C21" i="13" s="1"/>
  <c r="B18" i="11"/>
  <c r="C20" i="13" s="1"/>
  <c r="B17" i="11"/>
  <c r="C19" i="13" s="1"/>
  <c r="B16" i="11"/>
  <c r="C18" i="13" s="1"/>
  <c r="B15" i="11"/>
  <c r="C17" i="13" s="1"/>
  <c r="B46" i="11"/>
  <c r="C47" i="13" s="1"/>
  <c r="B45" i="11"/>
  <c r="C46" i="13" s="1"/>
  <c r="B33" i="11"/>
  <c r="C35" i="13" s="1"/>
  <c r="B44" i="11"/>
  <c r="C45" i="13" s="1"/>
  <c r="B32" i="11"/>
  <c r="C34" i="13" s="1"/>
  <c r="B43" i="11"/>
  <c r="C44" i="13" s="1"/>
  <c r="B31" i="11"/>
  <c r="C33" i="13" s="1"/>
  <c r="B42" i="11"/>
  <c r="C43" i="13" s="1"/>
  <c r="B30" i="11"/>
  <c r="C32" i="13" s="1"/>
  <c r="B41" i="11"/>
  <c r="C42" i="13" s="1"/>
  <c r="B29" i="11"/>
  <c r="C31" i="13" s="1"/>
  <c r="B40" i="11"/>
  <c r="C41" i="13" s="1"/>
  <c r="B28" i="11"/>
  <c r="C30" i="13" s="1"/>
  <c r="B5" i="11" l="1"/>
  <c r="C7" i="13" s="1"/>
  <c r="M41" i="11"/>
  <c r="O36" i="13"/>
  <c r="K41" i="11"/>
  <c r="Q36" i="13" s="1"/>
  <c r="M40" i="11"/>
  <c r="O34" i="13"/>
  <c r="K39" i="11"/>
  <c r="Q34" i="13" s="1"/>
  <c r="E57" i="1"/>
  <c r="K42" i="11"/>
  <c r="Q37" i="13" s="1"/>
  <c r="O37" i="13"/>
  <c r="M42" i="11"/>
  <c r="K40" i="11"/>
  <c r="Q35" i="13" s="1"/>
  <c r="O35" i="13"/>
  <c r="B7" i="11"/>
  <c r="C9" i="13" s="1"/>
  <c r="B9" i="11"/>
  <c r="C11" i="13" s="1"/>
  <c r="M43" i="11"/>
  <c r="O38" i="13"/>
  <c r="K43" i="11"/>
  <c r="Q38" i="13" s="1"/>
  <c r="B3" i="11"/>
  <c r="C5" i="13" s="1"/>
  <c r="U40" i="1"/>
  <c r="B62" i="12" s="1"/>
  <c r="C62" i="12"/>
  <c r="H14" i="11"/>
  <c r="K16" i="13" s="1"/>
  <c r="U46" i="1"/>
  <c r="B68" i="12" s="1"/>
  <c r="H20" i="11"/>
  <c r="K22" i="13" s="1"/>
  <c r="C68" i="12"/>
  <c r="I24" i="1"/>
  <c r="J24" i="1"/>
  <c r="C4" i="11"/>
  <c r="D28" i="12"/>
  <c r="I26" i="1"/>
  <c r="J26" i="1"/>
  <c r="C6" i="11"/>
  <c r="D30" i="12"/>
  <c r="H4" i="11"/>
  <c r="K6" i="13" s="1"/>
  <c r="C52" i="12"/>
  <c r="E41" i="1"/>
  <c r="B52" i="12" s="1"/>
  <c r="E43" i="1"/>
  <c r="B54" i="12" s="1"/>
  <c r="C54" i="12"/>
  <c r="H6" i="11"/>
  <c r="K8" i="13" s="1"/>
  <c r="E45" i="1"/>
  <c r="B56" i="12" s="1"/>
  <c r="H8" i="11"/>
  <c r="K10" i="13" s="1"/>
  <c r="C56" i="12"/>
  <c r="E47" i="1"/>
  <c r="B57" i="12" s="1"/>
  <c r="H10" i="11"/>
  <c r="K12" i="13" s="1"/>
  <c r="C57" i="12"/>
  <c r="D18" i="12"/>
  <c r="Y9" i="1"/>
  <c r="Z9" i="1"/>
  <c r="C42" i="11"/>
  <c r="C44" i="11"/>
  <c r="Y11" i="1"/>
  <c r="D20" i="12"/>
  <c r="Z11" i="1"/>
  <c r="U8" i="1"/>
  <c r="B17" i="12" s="1"/>
  <c r="A41" i="11"/>
  <c r="A42" i="13" s="1"/>
  <c r="C17" i="12"/>
  <c r="U10" i="1"/>
  <c r="B19" i="12" s="1"/>
  <c r="A43" i="11"/>
  <c r="A44" i="13" s="1"/>
  <c r="C19" i="12"/>
  <c r="U12" i="1"/>
  <c r="B21" i="12" s="1"/>
  <c r="A45" i="11"/>
  <c r="A46" i="13" s="1"/>
  <c r="C21" i="12"/>
  <c r="J25" i="1"/>
  <c r="I25" i="1"/>
  <c r="D29" i="12"/>
  <c r="C5" i="11"/>
  <c r="C7" i="11"/>
  <c r="J27" i="1"/>
  <c r="I27" i="1"/>
  <c r="D31" i="12"/>
  <c r="I29" i="1"/>
  <c r="J29" i="1"/>
  <c r="K29" i="1" s="1"/>
  <c r="C9" i="11"/>
  <c r="I40" i="1"/>
  <c r="J3" i="11"/>
  <c r="J40" i="1"/>
  <c r="D51" i="12"/>
  <c r="Y41" i="1"/>
  <c r="D63" i="12"/>
  <c r="J15" i="11"/>
  <c r="Z41" i="1"/>
  <c r="Z43" i="1"/>
  <c r="Y43" i="1"/>
  <c r="J17" i="11"/>
  <c r="D65" i="12"/>
  <c r="D67" i="12"/>
  <c r="Z45" i="1"/>
  <c r="Y45" i="1"/>
  <c r="J19" i="11"/>
  <c r="I48" i="1"/>
  <c r="D58" i="12"/>
  <c r="J48" i="1"/>
  <c r="H28" i="11"/>
  <c r="K27" i="13" s="1"/>
  <c r="U58" i="1"/>
  <c r="U60" i="1"/>
  <c r="H30" i="11"/>
  <c r="K29" i="13" s="1"/>
  <c r="U62" i="1"/>
  <c r="H32" i="11"/>
  <c r="K31" i="13" s="1"/>
  <c r="U23" i="1"/>
  <c r="B39" i="12" s="1"/>
  <c r="C39" i="12"/>
  <c r="A15" i="11"/>
  <c r="A17" i="13" s="1"/>
  <c r="U25" i="1"/>
  <c r="B41" i="12" s="1"/>
  <c r="A17" i="11"/>
  <c r="A19" i="13" s="1"/>
  <c r="C41" i="12"/>
  <c r="U27" i="1"/>
  <c r="B43" i="12" s="1"/>
  <c r="C43" i="12"/>
  <c r="A19" i="11"/>
  <c r="A21" i="13" s="1"/>
  <c r="A21" i="11"/>
  <c r="A23" i="13" s="1"/>
  <c r="C45" i="12"/>
  <c r="U29" i="1"/>
  <c r="B45" i="12" s="1"/>
  <c r="E42" i="1"/>
  <c r="B53" i="12" s="1"/>
  <c r="H5" i="11"/>
  <c r="K7" i="13" s="1"/>
  <c r="C53" i="12"/>
  <c r="E44" i="1"/>
  <c r="B55" i="12" s="1"/>
  <c r="C55" i="12"/>
  <c r="H7" i="11"/>
  <c r="K9" i="13" s="1"/>
  <c r="E46" i="1"/>
  <c r="H9" i="11"/>
  <c r="K11" i="13" s="1"/>
  <c r="Z58" i="1"/>
  <c r="AA58" i="1" s="1"/>
  <c r="Y58" i="1"/>
  <c r="J28" i="11"/>
  <c r="Z60" i="1"/>
  <c r="AA60" i="1" s="1"/>
  <c r="Y60" i="1"/>
  <c r="J30" i="11"/>
  <c r="Y62" i="1"/>
  <c r="J32" i="11"/>
  <c r="Z62" i="1"/>
  <c r="AA62" i="1" s="1"/>
  <c r="J44" i="1"/>
  <c r="I44" i="1"/>
  <c r="D55" i="12"/>
  <c r="J7" i="11"/>
  <c r="E24" i="1"/>
  <c r="B28" i="12" s="1"/>
  <c r="C28" i="12"/>
  <c r="A4" i="11"/>
  <c r="A6" i="13" s="1"/>
  <c r="E26" i="1"/>
  <c r="B30" i="12" s="1"/>
  <c r="A6" i="11"/>
  <c r="A8" i="13" s="1"/>
  <c r="C30" i="12"/>
  <c r="C32" i="12"/>
  <c r="A8" i="11"/>
  <c r="A10" i="13" s="1"/>
  <c r="E28" i="1"/>
  <c r="B32" i="12" s="1"/>
  <c r="I30" i="1"/>
  <c r="J30" i="1"/>
  <c r="D34" i="12"/>
  <c r="Z40" i="1"/>
  <c r="Y40" i="1"/>
  <c r="J14" i="11"/>
  <c r="D62" i="12"/>
  <c r="H16" i="11"/>
  <c r="K18" i="13" s="1"/>
  <c r="C64" i="12"/>
  <c r="U42" i="1"/>
  <c r="B64" i="12" s="1"/>
  <c r="U44" i="1"/>
  <c r="B66" i="12" s="1"/>
  <c r="H18" i="11"/>
  <c r="K20" i="13" s="1"/>
  <c r="C66" i="12"/>
  <c r="J57" i="1"/>
  <c r="K57" i="1" s="1"/>
  <c r="I57" i="1"/>
  <c r="C46" i="12"/>
  <c r="U30" i="1"/>
  <c r="B46" i="12" s="1"/>
  <c r="A22" i="11"/>
  <c r="J59" i="1"/>
  <c r="K59" i="1" s="1"/>
  <c r="I59" i="1"/>
  <c r="I61" i="1"/>
  <c r="J61" i="1"/>
  <c r="K61" i="1" s="1"/>
  <c r="Y63" i="1"/>
  <c r="Z63" i="1"/>
  <c r="AA63" i="1" s="1"/>
  <c r="I7" i="1"/>
  <c r="D4" i="12"/>
  <c r="C28" i="11"/>
  <c r="J7" i="1"/>
  <c r="A30" i="11"/>
  <c r="A32" i="13" s="1"/>
  <c r="E9" i="1"/>
  <c r="B6" i="12" s="1"/>
  <c r="C6" i="12"/>
  <c r="C10" i="12"/>
  <c r="E13" i="1"/>
  <c r="B10" i="12" s="1"/>
  <c r="A34" i="11"/>
  <c r="A36" i="13" s="1"/>
  <c r="Z25" i="1"/>
  <c r="Y25" i="1"/>
  <c r="D41" i="12"/>
  <c r="C17" i="11"/>
  <c r="D43" i="12"/>
  <c r="Z27" i="1"/>
  <c r="Y27" i="1"/>
  <c r="C19" i="11"/>
  <c r="U63" i="1"/>
  <c r="Y23" i="1"/>
  <c r="Z23" i="1"/>
  <c r="AA23" i="1" s="1"/>
  <c r="D39" i="12"/>
  <c r="C15" i="11"/>
  <c r="J42" i="1"/>
  <c r="I42" i="1"/>
  <c r="J5" i="11"/>
  <c r="D53" i="12"/>
  <c r="J46" i="1"/>
  <c r="K46" i="1" s="1"/>
  <c r="I46" i="1"/>
  <c r="J9" i="11"/>
  <c r="E59" i="1"/>
  <c r="U7" i="1"/>
  <c r="B16" i="12" s="1"/>
  <c r="A40" i="11"/>
  <c r="A41" i="13" s="1"/>
  <c r="C16" i="12"/>
  <c r="J9" i="1"/>
  <c r="I9" i="1"/>
  <c r="C30" i="11"/>
  <c r="D6" i="12"/>
  <c r="D8" i="12"/>
  <c r="J11" i="1"/>
  <c r="I11" i="1"/>
  <c r="C32" i="11"/>
  <c r="U13" i="1"/>
  <c r="A46" i="11"/>
  <c r="A47" i="13" s="1"/>
  <c r="C40" i="12"/>
  <c r="U24" i="1"/>
  <c r="B40" i="12" s="1"/>
  <c r="A16" i="11"/>
  <c r="A18" i="13" s="1"/>
  <c r="E8" i="1"/>
  <c r="B5" i="12" s="1"/>
  <c r="C5" i="12"/>
  <c r="A29" i="11"/>
  <c r="A31" i="13" s="1"/>
  <c r="B8" i="11"/>
  <c r="C10" i="13" s="1"/>
  <c r="U31" i="1"/>
  <c r="B47" i="12" s="1"/>
  <c r="C47" i="12"/>
  <c r="J41" i="1"/>
  <c r="D52" i="12"/>
  <c r="I41" i="1"/>
  <c r="J4" i="11"/>
  <c r="Y57" i="1"/>
  <c r="Z57" i="1"/>
  <c r="AA57" i="1" s="1"/>
  <c r="J27" i="11"/>
  <c r="Y59" i="1"/>
  <c r="J29" i="11"/>
  <c r="Z59" i="1"/>
  <c r="AA59" i="1" s="1"/>
  <c r="Z61" i="1"/>
  <c r="AA61" i="1" s="1"/>
  <c r="Y61" i="1"/>
  <c r="J31" i="11"/>
  <c r="Z64" i="1"/>
  <c r="AA64" i="1" s="1"/>
  <c r="Y64" i="1"/>
  <c r="E7" i="1"/>
  <c r="B4" i="12" s="1"/>
  <c r="C4" i="12"/>
  <c r="A28" i="11"/>
  <c r="A30" i="13" s="1"/>
  <c r="Z8" i="1"/>
  <c r="Y8" i="1"/>
  <c r="AE9" i="1"/>
  <c r="D17" i="12"/>
  <c r="C41" i="11"/>
  <c r="Y10" i="1"/>
  <c r="Z10" i="1"/>
  <c r="C43" i="11"/>
  <c r="D19" i="12"/>
  <c r="D21" i="12"/>
  <c r="Y12" i="1"/>
  <c r="Z12" i="1"/>
  <c r="C45" i="11"/>
  <c r="C21" i="11"/>
  <c r="Y29" i="1"/>
  <c r="D45" i="12"/>
  <c r="Z29" i="1"/>
  <c r="I13" i="1"/>
  <c r="J13" i="1"/>
  <c r="D10" i="12"/>
  <c r="C34" i="11"/>
  <c r="A42" i="11"/>
  <c r="A43" i="13" s="1"/>
  <c r="U9" i="1"/>
  <c r="B18" i="12" s="1"/>
  <c r="C18" i="12"/>
  <c r="U11" i="1"/>
  <c r="B20" i="12" s="1"/>
  <c r="C20" i="12"/>
  <c r="A44" i="11"/>
  <c r="A45" i="13" s="1"/>
  <c r="U59" i="1"/>
  <c r="H29" i="11"/>
  <c r="K28" i="13" s="1"/>
  <c r="E10" i="1"/>
  <c r="B7" i="12" s="1"/>
  <c r="C7" i="12"/>
  <c r="A31" i="11"/>
  <c r="A33" i="13" s="1"/>
  <c r="A33" i="11"/>
  <c r="A35" i="13" s="1"/>
  <c r="E12" i="1"/>
  <c r="B9" i="12" s="1"/>
  <c r="C9" i="12"/>
  <c r="E23" i="1"/>
  <c r="B27" i="12" s="1"/>
  <c r="C27" i="12"/>
  <c r="A3" i="11"/>
  <c r="A5" i="13" s="1"/>
  <c r="Z24" i="1"/>
  <c r="Y24" i="1"/>
  <c r="C16" i="11"/>
  <c r="D40" i="12"/>
  <c r="Z26" i="1"/>
  <c r="Y26" i="1"/>
  <c r="C18" i="11"/>
  <c r="D42" i="12"/>
  <c r="C20" i="11"/>
  <c r="D44" i="12"/>
  <c r="Y28" i="1"/>
  <c r="Z28" i="1"/>
  <c r="I43" i="1"/>
  <c r="J43" i="1"/>
  <c r="J6" i="11"/>
  <c r="D54" i="12"/>
  <c r="I45" i="1"/>
  <c r="J8" i="11"/>
  <c r="D56" i="12"/>
  <c r="J45" i="1"/>
  <c r="D57" i="12"/>
  <c r="J10" i="11"/>
  <c r="J47" i="1"/>
  <c r="I47" i="1"/>
  <c r="E60" i="1"/>
  <c r="E62" i="1"/>
  <c r="J78" i="1"/>
  <c r="K78" i="1" s="1"/>
  <c r="J74" i="1"/>
  <c r="K74" i="1" s="1"/>
  <c r="I74" i="1"/>
  <c r="J77" i="1"/>
  <c r="K77" i="1" s="1"/>
  <c r="J75" i="1"/>
  <c r="K75" i="1" s="1"/>
  <c r="J76" i="1"/>
  <c r="K76" i="1" s="1"/>
  <c r="J8" i="1"/>
  <c r="I8" i="1"/>
  <c r="C29" i="11"/>
  <c r="D5" i="12"/>
  <c r="C8" i="12"/>
  <c r="A32" i="11"/>
  <c r="A34" i="13" s="1"/>
  <c r="E11" i="1"/>
  <c r="B8" i="12" s="1"/>
  <c r="E61" i="1"/>
  <c r="I28" i="1"/>
  <c r="J28" i="1"/>
  <c r="D32" i="12"/>
  <c r="C8" i="11"/>
  <c r="Y42" i="1"/>
  <c r="Z42" i="1"/>
  <c r="J16" i="11"/>
  <c r="D64" i="12"/>
  <c r="D66" i="12"/>
  <c r="J18" i="11"/>
  <c r="Y44" i="1"/>
  <c r="Z44" i="1"/>
  <c r="Y46" i="1"/>
  <c r="D68" i="12"/>
  <c r="J20" i="11"/>
  <c r="Z46" i="1"/>
  <c r="H27" i="11"/>
  <c r="K26" i="13" s="1"/>
  <c r="U57" i="1"/>
  <c r="H31" i="11"/>
  <c r="K30" i="13" s="1"/>
  <c r="U61" i="1"/>
  <c r="Y7" i="1"/>
  <c r="Z7" i="1"/>
  <c r="C40" i="11"/>
  <c r="D16" i="12"/>
  <c r="Y13" i="1"/>
  <c r="Z13" i="1"/>
  <c r="AA13" i="1" s="1"/>
  <c r="C46" i="11"/>
  <c r="U26" i="1"/>
  <c r="B42" i="12" s="1"/>
  <c r="A18" i="11"/>
  <c r="A20" i="13" s="1"/>
  <c r="C42" i="12"/>
  <c r="U28" i="1"/>
  <c r="B44" i="12" s="1"/>
  <c r="A20" i="11"/>
  <c r="A22" i="13" s="1"/>
  <c r="C44" i="12"/>
  <c r="C22" i="11"/>
  <c r="Z30" i="1"/>
  <c r="D46" i="12"/>
  <c r="Y30" i="1"/>
  <c r="B4" i="11"/>
  <c r="C6" i="13" s="1"/>
  <c r="B6" i="11"/>
  <c r="C8" i="13" s="1"/>
  <c r="E58" i="1"/>
  <c r="A5" i="11"/>
  <c r="A7" i="13" s="1"/>
  <c r="C29" i="12"/>
  <c r="E25" i="1"/>
  <c r="B29" i="12" s="1"/>
  <c r="A7" i="11"/>
  <c r="A9" i="13" s="1"/>
  <c r="C31" i="12"/>
  <c r="E27" i="1"/>
  <c r="B31" i="12" s="1"/>
  <c r="A9" i="11"/>
  <c r="A11" i="13" s="1"/>
  <c r="E29" i="1"/>
  <c r="E40" i="1"/>
  <c r="B51" i="12" s="1"/>
  <c r="H3" i="11"/>
  <c r="K5" i="13" s="1"/>
  <c r="C51" i="12"/>
  <c r="C63" i="12"/>
  <c r="H15" i="11"/>
  <c r="K17" i="13" s="1"/>
  <c r="U41" i="1"/>
  <c r="B63" i="12" s="1"/>
  <c r="U43" i="1"/>
  <c r="B65" i="12" s="1"/>
  <c r="C65" i="12"/>
  <c r="H17" i="11"/>
  <c r="K19" i="13" s="1"/>
  <c r="H19" i="11"/>
  <c r="K21" i="13" s="1"/>
  <c r="C67" i="12"/>
  <c r="U45" i="1"/>
  <c r="B67" i="12" s="1"/>
  <c r="E48" i="1"/>
  <c r="B58" i="12" s="1"/>
  <c r="C58" i="12"/>
  <c r="J10" i="1"/>
  <c r="C31" i="11"/>
  <c r="D7" i="12"/>
  <c r="I10" i="1"/>
  <c r="J12" i="1"/>
  <c r="I12" i="1"/>
  <c r="D9" i="12"/>
  <c r="C33" i="11"/>
  <c r="J23" i="1"/>
  <c r="C3" i="11"/>
  <c r="I23" i="1"/>
  <c r="D27" i="12"/>
  <c r="J58" i="1"/>
  <c r="K58" i="1" s="1"/>
  <c r="I58" i="1"/>
  <c r="I60" i="1"/>
  <c r="J60" i="1"/>
  <c r="K60" i="1" s="1"/>
  <c r="I62" i="1"/>
  <c r="J62" i="1"/>
  <c r="K62" i="1" s="1"/>
  <c r="K8" i="11" l="1"/>
  <c r="Q10" i="13" s="1"/>
  <c r="O10" i="13"/>
  <c r="M8" i="11"/>
  <c r="K23" i="1"/>
  <c r="F27" i="12"/>
  <c r="F66" i="12"/>
  <c r="AA44" i="1"/>
  <c r="E20" i="13"/>
  <c r="D18" i="11"/>
  <c r="G20" i="13" s="1"/>
  <c r="F18" i="11"/>
  <c r="F34" i="11"/>
  <c r="E36" i="13"/>
  <c r="D34" i="11"/>
  <c r="G36" i="13" s="1"/>
  <c r="F35" i="11"/>
  <c r="F7" i="11"/>
  <c r="D7" i="11"/>
  <c r="G9" i="13" s="1"/>
  <c r="E9" i="13"/>
  <c r="K26" i="1"/>
  <c r="F30" i="12"/>
  <c r="E35" i="13"/>
  <c r="D33" i="11"/>
  <c r="G35" i="13" s="1"/>
  <c r="F33" i="11"/>
  <c r="D40" i="11"/>
  <c r="G41" i="13" s="1"/>
  <c r="E41" i="13"/>
  <c r="D43" i="11"/>
  <c r="G44" i="13" s="1"/>
  <c r="F43" i="11"/>
  <c r="E44" i="13"/>
  <c r="O31" i="13"/>
  <c r="K32" i="11"/>
  <c r="Q31" i="13" s="1"/>
  <c r="M32" i="11"/>
  <c r="D5" i="11"/>
  <c r="G7" i="13" s="1"/>
  <c r="F5" i="11"/>
  <c r="E7" i="13"/>
  <c r="D22" i="11"/>
  <c r="F22" i="11"/>
  <c r="AA7" i="1"/>
  <c r="F16" i="12"/>
  <c r="K18" i="11"/>
  <c r="Q20" i="13" s="1"/>
  <c r="M18" i="11"/>
  <c r="O20" i="13"/>
  <c r="AA26" i="1"/>
  <c r="F42" i="12"/>
  <c r="K13" i="1"/>
  <c r="F10" i="12"/>
  <c r="AA10" i="1"/>
  <c r="F19" i="12"/>
  <c r="K31" i="11"/>
  <c r="Q30" i="13" s="1"/>
  <c r="M31" i="11"/>
  <c r="O30" i="13"/>
  <c r="F52" i="12"/>
  <c r="K41" i="1"/>
  <c r="F32" i="11"/>
  <c r="E34" i="13"/>
  <c r="D32" i="11"/>
  <c r="G34" i="13" s="1"/>
  <c r="K19" i="11"/>
  <c r="Q21" i="13" s="1"/>
  <c r="M19" i="11"/>
  <c r="O21" i="13"/>
  <c r="AA11" i="1"/>
  <c r="F20" i="12"/>
  <c r="M9" i="11"/>
  <c r="O11" i="13"/>
  <c r="K9" i="11"/>
  <c r="Q11" i="13" s="1"/>
  <c r="E21" i="13"/>
  <c r="D19" i="11"/>
  <c r="G21" i="13" s="1"/>
  <c r="F19" i="11"/>
  <c r="K30" i="11"/>
  <c r="Q29" i="13" s="1"/>
  <c r="O29" i="13"/>
  <c r="M30" i="11"/>
  <c r="K40" i="1"/>
  <c r="F51" i="12"/>
  <c r="D4" i="11"/>
  <c r="G6" i="13" s="1"/>
  <c r="F4" i="11"/>
  <c r="E6" i="13"/>
  <c r="AA45" i="1"/>
  <c r="F67" i="12"/>
  <c r="K3" i="11"/>
  <c r="Q5" i="13" s="1"/>
  <c r="O5" i="13"/>
  <c r="K25" i="1"/>
  <c r="F29" i="12"/>
  <c r="K24" i="1"/>
  <c r="F28" i="12"/>
  <c r="O18" i="13"/>
  <c r="M16" i="11"/>
  <c r="K16" i="11"/>
  <c r="Q18" i="13" s="1"/>
  <c r="AA27" i="1"/>
  <c r="F43" i="12"/>
  <c r="K7" i="1"/>
  <c r="F4" i="12"/>
  <c r="O16" i="13"/>
  <c r="K14" i="11"/>
  <c r="Q16" i="13" s="1"/>
  <c r="D44" i="11"/>
  <c r="G45" i="13" s="1"/>
  <c r="E45" i="13"/>
  <c r="F44" i="11"/>
  <c r="K43" i="1"/>
  <c r="F54" i="12"/>
  <c r="AA24" i="1"/>
  <c r="F40" i="12"/>
  <c r="K29" i="11"/>
  <c r="Q28" i="13" s="1"/>
  <c r="O28" i="13"/>
  <c r="M29" i="11"/>
  <c r="E30" i="13"/>
  <c r="D28" i="11"/>
  <c r="G30" i="13" s="1"/>
  <c r="M28" i="11"/>
  <c r="K28" i="11"/>
  <c r="Q27" i="13" s="1"/>
  <c r="O27" i="13"/>
  <c r="D9" i="11"/>
  <c r="G11" i="13" s="1"/>
  <c r="E11" i="13"/>
  <c r="F9" i="11"/>
  <c r="D42" i="11"/>
  <c r="G43" i="13" s="1"/>
  <c r="F42" i="11"/>
  <c r="E43" i="13"/>
  <c r="M6" i="11"/>
  <c r="O8" i="13"/>
  <c r="K6" i="11"/>
  <c r="Q8" i="13" s="1"/>
  <c r="D41" i="11"/>
  <c r="G42" i="13" s="1"/>
  <c r="E42" i="13"/>
  <c r="F41" i="11"/>
  <c r="K11" i="1"/>
  <c r="F8" i="12"/>
  <c r="AA42" i="1"/>
  <c r="F64" i="12"/>
  <c r="E31" i="13"/>
  <c r="D29" i="11"/>
  <c r="G31" i="13" s="1"/>
  <c r="F29" i="11"/>
  <c r="D31" i="11"/>
  <c r="G33" i="13" s="1"/>
  <c r="F31" i="11"/>
  <c r="E33" i="13"/>
  <c r="AA28" i="1"/>
  <c r="F44" i="12"/>
  <c r="E23" i="13"/>
  <c r="D21" i="11"/>
  <c r="G23" i="13" s="1"/>
  <c r="F21" i="11"/>
  <c r="E32" i="13"/>
  <c r="F30" i="11"/>
  <c r="D30" i="11"/>
  <c r="G32" i="13" s="1"/>
  <c r="K5" i="11"/>
  <c r="Q7" i="13" s="1"/>
  <c r="M5" i="11"/>
  <c r="O7" i="13"/>
  <c r="D17" i="11"/>
  <c r="G19" i="13" s="1"/>
  <c r="F17" i="11"/>
  <c r="E19" i="13"/>
  <c r="AA40" i="1"/>
  <c r="F62" i="12"/>
  <c r="M17" i="11"/>
  <c r="O19" i="13"/>
  <c r="K17" i="11"/>
  <c r="Q19" i="13" s="1"/>
  <c r="AA9" i="1"/>
  <c r="F18" i="12"/>
  <c r="K12" i="1"/>
  <c r="F9" i="12"/>
  <c r="E18" i="13"/>
  <c r="D16" i="11"/>
  <c r="G18" i="13" s="1"/>
  <c r="F16" i="11"/>
  <c r="F8" i="11"/>
  <c r="D8" i="11"/>
  <c r="G10" i="13" s="1"/>
  <c r="E10" i="13"/>
  <c r="F57" i="12"/>
  <c r="K47" i="1"/>
  <c r="F45" i="11"/>
  <c r="E46" i="13"/>
  <c r="D45" i="11"/>
  <c r="G46" i="13" s="1"/>
  <c r="AA8" i="1"/>
  <c r="F17" i="12"/>
  <c r="K27" i="11"/>
  <c r="Q26" i="13" s="1"/>
  <c r="O26" i="13"/>
  <c r="O9" i="13"/>
  <c r="K7" i="11"/>
  <c r="Q9" i="13" s="1"/>
  <c r="M7" i="11"/>
  <c r="AA29" i="1"/>
  <c r="F45" i="12"/>
  <c r="F46" i="11"/>
  <c r="E47" i="13"/>
  <c r="D46" i="11"/>
  <c r="G47" i="13" s="1"/>
  <c r="M10" i="11"/>
  <c r="K10" i="11"/>
  <c r="Q12" i="13" s="1"/>
  <c r="O12" i="13"/>
  <c r="AA12" i="1"/>
  <c r="F21" i="12"/>
  <c r="F6" i="12"/>
  <c r="K9" i="1"/>
  <c r="K42" i="1"/>
  <c r="F53" i="12"/>
  <c r="F34" i="12"/>
  <c r="K30" i="1"/>
  <c r="AA43" i="1"/>
  <c r="F65" i="12"/>
  <c r="AA30" i="1"/>
  <c r="F46" i="12"/>
  <c r="F7" i="12"/>
  <c r="K10" i="1"/>
  <c r="AA46" i="1"/>
  <c r="F68" i="12"/>
  <c r="K8" i="1"/>
  <c r="F5" i="12"/>
  <c r="K28" i="1"/>
  <c r="F32" i="12"/>
  <c r="E22" i="13"/>
  <c r="D20" i="11"/>
  <c r="G22" i="13" s="1"/>
  <c r="F20" i="11"/>
  <c r="D15" i="11"/>
  <c r="G17" i="13" s="1"/>
  <c r="E17" i="13"/>
  <c r="AA25" i="1"/>
  <c r="F41" i="12"/>
  <c r="F63" i="12"/>
  <c r="AA41" i="1"/>
  <c r="M20" i="11"/>
  <c r="O22" i="13"/>
  <c r="K20" i="11"/>
  <c r="Q22" i="13" s="1"/>
  <c r="D3" i="11"/>
  <c r="G5" i="13" s="1"/>
  <c r="E5" i="13"/>
  <c r="F56" i="12"/>
  <c r="K45" i="1"/>
  <c r="O6" i="13"/>
  <c r="M4" i="11"/>
  <c r="K4" i="11"/>
  <c r="Q6" i="13" s="1"/>
  <c r="K44" i="1"/>
  <c r="F55" i="12"/>
  <c r="F58" i="12"/>
  <c r="K48" i="1"/>
  <c r="O17" i="13"/>
  <c r="K15" i="11"/>
  <c r="Q17" i="13" s="1"/>
  <c r="M15" i="11"/>
  <c r="F31" i="12"/>
  <c r="K27" i="1"/>
  <c r="F6" i="11"/>
  <c r="E8" i="13"/>
  <c r="D6" i="11"/>
  <c r="G8"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<sst xmlns="http://schemas.openxmlformats.org/spreadsheetml/2006/main" count="10553" uniqueCount="215">
  <si>
    <t>Australia</t>
  </si>
  <si>
    <t>OIS settle</t>
  </si>
  <si>
    <t>RBAs</t>
  </si>
  <si>
    <t>Meeting</t>
  </si>
  <si>
    <t>StartDate</t>
  </si>
  <si>
    <t>EndDate</t>
  </si>
  <si>
    <t>Rate</t>
  </si>
  <si>
    <t>Priced In(Total)</t>
  </si>
  <si>
    <t>Percent</t>
  </si>
  <si>
    <t>Aug</t>
  </si>
  <si>
    <t>Sep</t>
  </si>
  <si>
    <t>Oct</t>
  </si>
  <si>
    <t>Nov</t>
  </si>
  <si>
    <t>Dec</t>
  </si>
  <si>
    <t>Feb</t>
  </si>
  <si>
    <t>Mar</t>
  </si>
  <si>
    <t>Apr</t>
  </si>
  <si>
    <t>May</t>
  </si>
  <si>
    <t>Jun</t>
  </si>
  <si>
    <t>Jul</t>
  </si>
  <si>
    <t>StepDelta</t>
  </si>
  <si>
    <t>1d Chg</t>
  </si>
  <si>
    <t>1w Chg</t>
  </si>
  <si>
    <t>1m Chg</t>
  </si>
  <si>
    <t>CurrentDate</t>
  </si>
  <si>
    <t>New Zealand</t>
  </si>
  <si>
    <t>RBNZ</t>
  </si>
  <si>
    <t>July</t>
  </si>
  <si>
    <t>Jan</t>
  </si>
  <si>
    <t>Europe</t>
  </si>
  <si>
    <t>ECB</t>
  </si>
  <si>
    <t>UK</t>
  </si>
  <si>
    <t>Sonia settle</t>
  </si>
  <si>
    <t>USA</t>
  </si>
  <si>
    <t>FF Effective</t>
  </si>
  <si>
    <t>CAD</t>
  </si>
  <si>
    <t>CORRA</t>
  </si>
  <si>
    <t>June</t>
  </si>
  <si>
    <t>Sept</t>
  </si>
  <si>
    <t>MPC</t>
  </si>
  <si>
    <t>BoC</t>
  </si>
  <si>
    <t>NA</t>
  </si>
  <si>
    <t>FOMC</t>
  </si>
  <si>
    <t>3/31/2020</t>
  </si>
  <si>
    <t>7/22/2020</t>
  </si>
  <si>
    <t>9/16/2020</t>
  </si>
  <si>
    <t>12/16/2020</t>
  </si>
  <si>
    <t>3/17/2021</t>
  </si>
  <si>
    <t>7/21/2021</t>
  </si>
  <si>
    <t>9/15/2021</t>
  </si>
  <si>
    <t>4/29/2020</t>
  </si>
  <si>
    <t>7/29/2020</t>
  </si>
  <si>
    <t>1/27/2021</t>
  </si>
  <si>
    <t>4/28/2021</t>
  </si>
  <si>
    <t>7/28/2021</t>
  </si>
  <si>
    <t>4/15/2020</t>
  </si>
  <si>
    <t>7/15/2020</t>
  </si>
  <si>
    <t>10/28/2020</t>
  </si>
  <si>
    <t>4/14/2021</t>
  </si>
  <si>
    <t>5/26/2021</t>
  </si>
  <si>
    <t>7/14/2021</t>
  </si>
  <si>
    <t xml:space="preserve"> </t>
  </si>
  <si>
    <t>RBACOR</t>
  </si>
  <si>
    <t xml:space="preserve">Feb </t>
  </si>
  <si>
    <t>ESTR</t>
  </si>
  <si>
    <t>RBA</t>
  </si>
  <si>
    <t>Start_date</t>
  </si>
  <si>
    <t> Maturity</t>
  </si>
  <si>
    <t>T </t>
  </si>
  <si>
    <t>T-1</t>
  </si>
  <si>
    <r>
      <rPr>
        <sz val="11"/>
        <color theme="1"/>
        <rFont val="Calibri"/>
        <family val="2"/>
      </rPr>
      <t>Δ</t>
    </r>
    <r>
      <rPr>
        <sz val="11"/>
        <color theme="1"/>
        <rFont val="Calibri"/>
        <family val="2"/>
        <scheme val="minor"/>
      </rPr>
      <t xml:space="preserve"> on day</t>
    </r>
  </si>
  <si>
    <t>Closing OIS runs</t>
  </si>
  <si>
    <t>Priced In (Total)</t>
  </si>
  <si>
    <t>Step</t>
  </si>
  <si>
    <t xml:space="preserve">Step </t>
  </si>
  <si>
    <t>ECB closing run</t>
  </si>
  <si>
    <t>BOE closing run</t>
  </si>
  <si>
    <t>RBA closing run</t>
  </si>
  <si>
    <t>RBNZ closing run</t>
  </si>
  <si>
    <t>FOMC closing run</t>
  </si>
  <si>
    <t>BOC closing run</t>
  </si>
  <si>
    <t>3/24/2023</t>
  </si>
  <si>
    <t>{EU} ECB Run</t>
  </si>
  <si>
    <t>{GB} BOE Run</t>
  </si>
  <si>
    <t>{AU} RBA Run</t>
  </si>
  <si>
    <t>{NZ} RBNZ Run</t>
  </si>
  <si>
    <t>{US} FOMC Run</t>
  </si>
  <si>
    <t>{CA} BOC Run</t>
  </si>
  <si>
    <t>Column1</t>
  </si>
  <si>
    <t>3/29/2024</t>
  </si>
  <si>
    <t>The ref rate, meeting month, start date, end date, and mid rate should all update automatically. NZD and AUD feed from NAB, CAD feeds from BMOD. Please go into Bloomberg tab in Excel and Refresh Worksheet whenever you open this sheet.</t>
  </si>
  <si>
    <t>NOTE- BBG does not always pull in correct dates and therefore may need manual inputting. PLEASE CHECK BEFORE UPDATING</t>
  </si>
  <si>
    <t>Δ on day</t>
  </si>
  <si>
    <t>06/05/2026</t>
  </si>
  <si>
    <t>29/07/2026</t>
  </si>
  <si>
    <t>{EU} {GB} {AU} {NZ} {US} {CA} London EOD OIS Run</t>
  </si>
  <si>
    <t>17/06/2026</t>
  </si>
  <si>
    <t>16/09/2026</t>
  </si>
  <si>
    <t>19/03/2026</t>
  </si>
  <si>
    <t>04/11/2026</t>
  </si>
  <si>
    <t>30/04/2026</t>
  </si>
  <si>
    <t>28/05/2026</t>
  </si>
  <si>
    <t>09/07/2026</t>
  </si>
  <si>
    <t>23/12/2026</t>
  </si>
  <si>
    <t>30/07/2026</t>
  </si>
  <si>
    <t>17/09/2026</t>
  </si>
  <si>
    <t>05/11/2026</t>
  </si>
  <si>
    <t>28/10/2026</t>
  </si>
  <si>
    <t>17/12/2026</t>
  </si>
  <si>
    <t>12/08/2026</t>
  </si>
  <si>
    <t>30/09/2026</t>
  </si>
  <si>
    <t>09/12/2026</t>
  </si>
  <si>
    <t>29/01/2026</t>
  </si>
  <si>
    <t>11/06/2026</t>
  </si>
  <si>
    <t>16/07/2026</t>
  </si>
  <si>
    <t>03/09/2026</t>
  </si>
  <si>
    <t>29/10/2026</t>
  </si>
  <si>
    <t>10/12/2026</t>
  </si>
  <si>
    <t>27/01/2027</t>
  </si>
  <si>
    <t>17/03/2027</t>
  </si>
  <si>
    <t>12/15/2025</t>
  </si>
  <si>
    <t>04/02/2027</t>
  </si>
  <si>
    <t>28/04/2027</t>
  </si>
  <si>
    <t>18/03/2027</t>
  </si>
  <si>
    <t>11/02/2027</t>
  </si>
  <si>
    <t>10/02/2027</t>
  </si>
  <si>
    <t>09/06/2027</t>
  </si>
  <si>
    <t>29/04/2027</t>
  </si>
  <si>
    <t>HICP</t>
  </si>
  <si>
    <t>USD CPI</t>
  </si>
  <si>
    <t>Start for the day</t>
  </si>
  <si>
    <t>1st Clip</t>
  </si>
  <si>
    <t>Net</t>
  </si>
  <si>
    <t>Inflation</t>
  </si>
  <si>
    <t>2nd Clip</t>
  </si>
  <si>
    <t>Nordea</t>
  </si>
  <si>
    <t>MS</t>
  </si>
  <si>
    <t>DB</t>
  </si>
  <si>
    <t>BAML</t>
  </si>
  <si>
    <t>BNP</t>
  </si>
  <si>
    <t>3rd Clip</t>
  </si>
  <si>
    <t>Avg Fill</t>
  </si>
  <si>
    <t>4 Clip</t>
  </si>
  <si>
    <t>Dv01</t>
  </si>
  <si>
    <t>5 Clip</t>
  </si>
  <si>
    <t>28/07/2027</t>
  </si>
  <si>
    <t>17/06/2027</t>
  </si>
  <si>
    <t>24/03/2027</t>
  </si>
  <si>
    <t>06/05/2027</t>
  </si>
  <si>
    <t>05/05/2027</t>
  </si>
  <si>
    <t>15/09/2027</t>
  </si>
  <si>
    <t>29/07/2027</t>
  </si>
  <si>
    <t>{JN} BOJ Run</t>
  </si>
  <si>
    <t>{NO} NOWA Run</t>
  </si>
  <si>
    <t>{SW} Riksbank Run</t>
  </si>
  <si>
    <t>Norgesbank</t>
  </si>
  <si>
    <t>NOK</t>
  </si>
  <si>
    <t>JPY</t>
  </si>
  <si>
    <t>BOJ</t>
  </si>
  <si>
    <t>SEK</t>
  </si>
  <si>
    <t>It does not have BBG so use Coremont</t>
  </si>
  <si>
    <t>Swap</t>
  </si>
  <si>
    <t>a</t>
  </si>
  <si>
    <t>Pay</t>
  </si>
  <si>
    <t>LCH</t>
  </si>
  <si>
    <t>Trade Type</t>
  </si>
  <si>
    <t>Ccy</t>
  </si>
  <si>
    <t>Intrument</t>
  </si>
  <si>
    <t>Expiry/Start</t>
  </si>
  <si>
    <t>Tenor</t>
  </si>
  <si>
    <t>Strike</t>
  </si>
  <si>
    <t>Type</t>
  </si>
  <si>
    <t>Notional</t>
  </si>
  <si>
    <t>Clearer</t>
  </si>
  <si>
    <t>Mid</t>
  </si>
  <si>
    <t>SWESTR A</t>
  </si>
  <si>
    <t>We are using the fix from BBG that is normally t-1</t>
  </si>
  <si>
    <t>14/08/2026</t>
  </si>
  <si>
    <t>25/09/2026</t>
  </si>
  <si>
    <t>06/11/2026</t>
  </si>
  <si>
    <t>18/12/2026</t>
  </si>
  <si>
    <t>03/08/2026</t>
  </si>
  <si>
    <t>18/09/2026</t>
  </si>
  <si>
    <t>24/09/2026</t>
  </si>
  <si>
    <t>30/10/2026</t>
  </si>
  <si>
    <t>02/11/2026</t>
  </si>
  <si>
    <t>T</t>
  </si>
  <si>
    <t>21/12/2026</t>
  </si>
  <si>
    <t xml:space="preserve">{NO} NOWA Run </t>
  </si>
  <si>
    <t>BOJ closing run</t>
  </si>
  <si>
    <t>NOWA closing run</t>
  </si>
  <si>
    <t>Riksbank</t>
  </si>
  <si>
    <t>Don’t blast due to the year end move</t>
  </si>
  <si>
    <t>Riksbank closing run</t>
  </si>
  <si>
    <t>22/01/2027</t>
  </si>
  <si>
    <t>19/03/2027</t>
  </si>
  <si>
    <t>18/06/2027</t>
  </si>
  <si>
    <t>#N/A N/A</t>
  </si>
  <si>
    <t>{EU} {GB} {AU} {NZ} {US} {CA} {JN} {NO} {SW} London EOD OIS Run</t>
  </si>
  <si>
    <t>16/06/2027</t>
  </si>
  <si>
    <t>27/10/2027</t>
  </si>
  <si>
    <t>16/09/2027</t>
  </si>
  <si>
    <t>25/01/2027</t>
  </si>
  <si>
    <t>05/08/2027</t>
  </si>
  <si>
    <t>28/01/2027</t>
  </si>
  <si>
    <t>04/03/2027</t>
  </si>
  <si>
    <t>03/06/2027</t>
  </si>
  <si>
    <t>22/07/2027</t>
  </si>
  <si>
    <t>30/04/2027</t>
  </si>
  <si>
    <t>11/06/2027</t>
  </si>
  <si>
    <t>14/06/2027</t>
  </si>
  <si>
    <t>23/07/2027</t>
  </si>
  <si>
    <t>22/09/2027</t>
  </si>
  <si>
    <t>23/06/2027</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</si>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</sst>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 #,##0.00_-;_-* &quot;-&quot;??_-;_-@_-"/>
    <numFmt numFmtId="165" formatCode="0.0"/>
    <numFmt numFmtId="166" formatCode="0.0%"/>
    <numFmt numFmtId="167" formatCode="0.000"/>
    <numFmt numFmtId="168" formatCode="00.00%"/>
    <numFmt numFmtId="169" formatCode="m/d/yyyy;@"/>
    <numFmt numFmtId="170" formatCode="_-[$€-2]* #,##0.00_-;\-[$€-2]* #,##0.00_-;_-[$€-2]* &quot;-&quot;??_-"/>
    <numFmt numFmtId="171" formatCode="mm/dd/yy;@"/>
    <numFmt numFmtId="172" formatCode="dd/mm/yyyy;@"/>
    <numFmt numFmtId="173" formatCode="0.0000"/>
    <numFmt numFmtId="174" formatCode="[$-409]dd/mmm/yy;@"/>
    <numFmt numFmtId="175" formatCode="#,##0.00000"/>
    <numFmt numFmtId="176" formatCode="#,##0.000"/>
  </numFmts>
  <fonts count="69" x14ac:knownFonts="1">
    <font>
      <sz val="11"/>
      <color theme="1"/>
      <name val="Calibri"/>
      <family val="2"/>
      <scheme val="minor"/>
    </font>
    <font>
      <sz val="14"/>
      <color theme="1"/>
      <name val="Calibri"/>
      <family val="2"/>
      <scheme val="minor"/>
    </font>
    <font>
      <sz val="11"/>
      <color theme="7" tint="0.39997558519241921"/>
      <name val="Calibri"/>
      <family val="2"/>
      <scheme val="minor"/>
    </font>
    <font>
      <u/>
      <sz val="11"/>
      <color theme="10"/>
      <name val="Calibri"/>
      <family val="2"/>
      <scheme val="minor"/>
    </font>
    <font>
      <sz val="11"/>
      <color theme="1"/>
      <name val="Calibri"/>
      <family val="2"/>
      <scheme val="minor"/>
    </font>
    <font>
      <sz val="10"/>
      <name val="Arial"/>
      <family val="2"/>
    </font>
    <font>
      <sz val="8"/>
      <name val="Calibri"/>
      <family val="2"/>
      <scheme val="minor"/>
    </font>
    <font>
      <sz val="14"/>
      <color theme="7" tint="0.39997558519241921"/>
      <name val="Calibri"/>
      <family val="2"/>
      <scheme val="minor"/>
    </font>
    <font>
      <sz val="12"/>
      <color theme="1"/>
      <name val="Calibri"/>
      <family val="2"/>
      <scheme val="minor"/>
    </font>
    <font>
      <u/>
      <sz val="12"/>
      <color theme="10"/>
      <name val="Calibri"/>
      <family val="2"/>
      <scheme val="minor"/>
    </font>
    <font>
      <sz val="14"/>
      <color theme="0"/>
      <name val="Calibri"/>
      <family val="2"/>
      <scheme val="minor"/>
    </font>
    <font>
      <sz val="14"/>
      <color theme="7"/>
      <name val="Calibri"/>
      <family val="2"/>
      <scheme val="minor"/>
    </font>
    <font>
      <sz val="14"/>
      <color rgb="FFFFC000"/>
      <name val="Calibri"/>
      <family val="2"/>
      <scheme val="minor"/>
    </font>
    <font>
      <sz val="14"/>
      <color theme="3" tint="0.79998168889431442"/>
      <name val="Calibri"/>
      <family val="2"/>
      <scheme val="minor"/>
    </font>
    <font>
      <sz val="14"/>
      <color rgb="FFFFFF00"/>
      <name val="Calibri"/>
      <family val="2"/>
      <scheme val="minor"/>
    </font>
    <font>
      <sz val="14"/>
      <color rgb="FFFFFFFF"/>
      <name val="Calibri"/>
      <family val="2"/>
      <scheme val="minor"/>
    </font>
    <font>
      <sz val="14"/>
      <name val="Calibri"/>
      <family val="2"/>
      <scheme val="minor"/>
    </font>
    <font>
      <b/>
      <sz val="14"/>
      <name val="Calibri"/>
      <family val="2"/>
      <scheme val="minor"/>
    </font>
    <font>
      <b/>
      <sz val="14"/>
      <color theme="7" tint="0.39997558519241921"/>
      <name val="Calibri"/>
      <family val="2"/>
      <scheme val="minor"/>
    </font>
    <font>
      <b/>
      <sz val="12"/>
      <color rgb="FF202124"/>
      <name val="Arial"/>
      <family val="2"/>
    </font>
    <font>
      <b/>
      <sz val="14"/>
      <color theme="1"/>
      <name val="Calibri"/>
      <family val="2"/>
      <scheme val="minor"/>
    </font>
    <font>
      <b/>
      <sz val="11"/>
      <color theme="1"/>
      <name val="Calibri"/>
      <family val="2"/>
      <scheme val="minor"/>
    </font>
    <font>
      <sz val="12"/>
      <color rgb="FF000000"/>
      <name val="Calibri"/>
      <family val="2"/>
      <scheme val="minor"/>
    </font>
    <font>
      <sz val="11"/>
      <color theme="1"/>
      <name val="Calibri"/>
      <family val="2"/>
    </font>
    <font>
      <sz val="14"/>
      <color theme="1"/>
      <name val="Calibri"/>
      <family val="2"/>
      <scheme val="minor"/>
    </font>
    <font>
      <sz val="14"/>
      <color theme="1" tint="4.9989318521683403E-2"/>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1"/>
      <color rgb="FF9C0006"/>
      <name val="Calibri"/>
      <family val="2"/>
      <scheme val="minor"/>
    </font>
    <font>
      <b/>
      <sz val="12"/>
      <color theme="1"/>
      <name val="Calibri"/>
      <family val="2"/>
      <scheme val="minor"/>
    </font>
    <font>
      <b/>
      <sz val="11"/>
      <name val="Calibri"/>
      <family val="2"/>
      <scheme val="minor"/>
    </font>
    <font>
      <sz val="11"/>
      <name val="Calibri"/>
      <family val="2"/>
      <scheme val="minor"/>
    </font>
    <font>
      <sz val="12"/>
      <color rgb="FF000000"/>
      <name val="Calibri"/>
      <family val="2"/>
    </font>
    <font>
      <b/>
      <sz val="22"/>
      <color rgb="FFFF0000"/>
      <name val="Calibri"/>
      <family val="2"/>
      <scheme val="minor"/>
    </font>
    <font>
      <sz val="14"/>
      <color theme="7"/>
      <name val="Calibri"/>
      <family val="2"/>
      <scheme val="minor"/>
    </font>
    <font>
      <sz val="14"/>
      <color theme="1"/>
      <name val="Calibri"/>
      <family val="2"/>
      <scheme val="minor"/>
    </font>
    <font>
      <b/>
      <sz val="11"/>
      <color theme="1"/>
      <name val="Calibri"/>
      <family val="2"/>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b/>
      <sz val="16"/>
      <color rgb="FFFF0000"/>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1"/>
      <color rgb="FF000000"/>
      <name val="Calibri"/>
      <family val="2"/>
    </font>
  </fonts>
  <fills count="23">
    <fill>
      <patternFill patternType="none"/>
    </fill>
    <fill>
      <patternFill patternType="gray125"/>
    </fill>
    <fill>
      <patternFill patternType="solid">
        <fgColor theme="9" tint="-0.499984740745262"/>
        <bgColor indexed="64"/>
      </patternFill>
    </fill>
    <fill>
      <patternFill patternType="solid">
        <fgColor theme="1" tint="4.9989318521683403E-2"/>
        <bgColor indexed="64"/>
      </patternFill>
    </fill>
    <fill>
      <patternFill patternType="solid">
        <fgColor theme="0"/>
        <bgColor indexed="64"/>
      </patternFill>
    </fill>
    <fill>
      <patternFill patternType="solid">
        <fgColor theme="1"/>
        <bgColor indexed="64"/>
      </patternFill>
    </fill>
    <fill>
      <patternFill patternType="solid">
        <fgColor rgb="FFFF0000"/>
        <bgColor indexed="64"/>
      </patternFill>
    </fill>
    <fill>
      <patternFill patternType="solid">
        <fgColor theme="4"/>
        <bgColor indexed="64"/>
      </patternFill>
    </fill>
    <fill>
      <patternFill patternType="solid">
        <fgColor theme="4" tint="-0.499984740745262"/>
        <bgColor indexed="64"/>
      </patternFill>
    </fill>
    <fill>
      <patternFill patternType="solid">
        <fgColor rgb="FFC00000"/>
        <bgColor indexed="64"/>
      </patternFill>
    </fill>
    <fill>
      <patternFill patternType="solid">
        <fgColor rgb="FF5B9BD5"/>
        <bgColor indexed="64"/>
      </patternFill>
    </fill>
    <fill>
      <patternFill patternType="solid">
        <fgColor rgb="FF1F4E78"/>
        <bgColor indexed="64"/>
      </patternFill>
    </fill>
    <fill>
      <patternFill patternType="solid">
        <fgColor rgb="FF548235"/>
        <bgColor indexed="64"/>
      </patternFill>
    </fill>
    <fill>
      <patternFill patternType="solid">
        <fgColor theme="0" tint="-0.14999847407452621"/>
        <bgColor indexed="64"/>
      </patternFill>
    </fill>
    <fill>
      <patternFill patternType="solid">
        <fgColor rgb="FFFFC7CE"/>
      </patternFill>
    </fill>
    <fill>
      <patternFill patternType="solid">
        <fgColor rgb="FFD9D9D9"/>
        <bgColor rgb="FF000000"/>
      </patternFill>
    </fill>
    <fill>
      <patternFill patternType="solid">
        <fgColor theme="9"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rgb="FF7030A0"/>
        <bgColor indexed="64"/>
      </patternFill>
    </fill>
    <fill>
      <patternFill patternType="solid">
        <fgColor rgb="FF002060"/>
        <bgColor indexed="64"/>
      </patternFill>
    </fill>
    <fill>
      <patternFill patternType="solid">
        <fgColor theme="6" tint="0.59999389629810485"/>
        <bgColor indexed="64"/>
      </patternFill>
    </fill>
    <fill>
      <patternFill patternType="solid">
        <fgColor theme="4" tint="0.79998168889431442"/>
        <bgColor theme="4" tint="0.79998168889431442"/>
      </patternFill>
    </fill>
  </fills>
  <borders count="5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rgb="FFE8E8E8"/>
      </bottom>
      <diagonal/>
    </border>
    <border>
      <left/>
      <right style="thin">
        <color rgb="FFE8E8E8"/>
      </right>
      <top/>
      <bottom style="thin">
        <color rgb="FFE8E8E8"/>
      </bottom>
      <diagonal/>
    </border>
    <border>
      <left/>
      <right style="thin">
        <color rgb="FFE8E8E8"/>
      </right>
      <top/>
      <bottom/>
      <diagonal/>
    </border>
    <border>
      <left style="thin">
        <color rgb="FFE8E8E8"/>
      </left>
      <right style="thin">
        <color rgb="FFE8E8E8"/>
      </right>
      <top/>
      <bottom style="thin">
        <color rgb="FFE8E8E8"/>
      </bottom>
      <diagonal/>
    </border>
    <border>
      <left style="thin">
        <color rgb="FFE8E8E8"/>
      </left>
      <right style="thin">
        <color rgb="FFE8E8E8"/>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auto="1"/>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top/>
      <bottom style="thin">
        <color auto="1"/>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15">
    <xf numFmtId="0" fontId="0" fillId="0" borderId="0"/>
    <xf numFmtId="0" fontId="3" fillId="0" borderId="0" applyNumberFormat="0" applyFill="0" applyBorder="0" applyAlignment="0" applyProtection="0"/>
    <xf numFmtId="0" fontId="4" fillId="0" borderId="0"/>
    <xf numFmtId="0" fontId="5" fillId="0" borderId="0"/>
    <xf numFmtId="170" fontId="4" fillId="0" borderId="0" applyFont="0" applyFill="0" applyBorder="0" applyAlignment="0" applyProtection="0"/>
    <xf numFmtId="0" fontId="8" fillId="0" borderId="0"/>
    <xf numFmtId="0" fontId="9" fillId="0" borderId="0" applyNumberFormat="0" applyFill="0" applyBorder="0" applyAlignment="0" applyProtection="0"/>
    <xf numFmtId="0" fontId="3" fillId="0" borderId="0" applyNumberFormat="0" applyFill="0" applyBorder="0" applyAlignment="0" applyProtection="0"/>
    <xf numFmtId="164" fontId="4" fillId="0" borderId="0" applyFont="0" applyFill="0" applyBorder="0" applyAlignment="0" applyProtection="0"/>
    <xf numFmtId="0" fontId="4" fillId="0" borderId="0"/>
    <xf numFmtId="0" fontId="4" fillId="0" borderId="0"/>
    <xf numFmtId="164" fontId="4" fillId="0" borderId="0" applyFont="0" applyFill="0" applyBorder="0" applyAlignment="0" applyProtection="0"/>
    <xf numFmtId="0" fontId="4" fillId="0" borderId="0"/>
    <xf numFmtId="164" fontId="4" fillId="0" borderId="0" applyFont="0" applyFill="0" applyBorder="0" applyAlignment="0" applyProtection="0"/>
    <xf numFmtId="0" fontId="34" fillId="14" borderId="0" applyNumberFormat="0" applyBorder="0" applyAlignment="0" applyProtection="0"/>
  </cellStyleXfs>
  <cellXfs count="579">
    <xf numFmtId="0" fontId="0" fillId="0" borderId="0" xfId="0"/>
    <xf numFmtId="0" fontId="2" fillId="2" borderId="0" xfId="0" applyFont="1" applyFill="1"/>
    <xf numFmtId="0" fontId="2" fillId="2" borderId="0" xfId="1" applyFont="1" applyFill="1"/>
    <xf numFmtId="169" fontId="2" fillId="2" borderId="0" xfId="0" applyNumberFormat="1" applyFont="1" applyFill="1"/>
    <xf numFmtId="169" fontId="0" fillId="0" borderId="0" xfId="0" applyNumberFormat="1"/>
    <xf numFmtId="0" fontId="1" fillId="0" borderId="0" xfId="0" applyFont="1"/>
    <xf numFmtId="169" fontId="7" fillId="2" borderId="0" xfId="0" applyNumberFormat="1" applyFont="1" applyFill="1"/>
    <xf numFmtId="0" fontId="7" fillId="2" borderId="0" xfId="0" applyFont="1" applyFill="1"/>
    <xf numFmtId="0" fontId="7" fillId="2" borderId="0" xfId="1" applyFont="1" applyFill="1"/>
    <xf numFmtId="169" fontId="1" fillId="4" borderId="1" xfId="0" applyNumberFormat="1" applyFont="1" applyFill="1" applyBorder="1" applyAlignment="1">
      <alignment horizontal="center"/>
    </xf>
    <xf numFmtId="0" fontId="1" fillId="4" borderId="2" xfId="0" applyFont="1" applyFill="1" applyBorder="1" applyAlignment="1">
      <alignment horizontal="center"/>
    </xf>
    <xf numFmtId="0" fontId="1" fillId="4" borderId="3" xfId="0" applyFont="1" applyFill="1" applyBorder="1" applyAlignment="1">
      <alignment horizontal="center"/>
    </xf>
    <xf numFmtId="169" fontId="1" fillId="0" borderId="0" xfId="0" applyNumberFormat="1" applyFont="1"/>
    <xf numFmtId="169" fontId="1" fillId="4" borderId="1" xfId="0" applyNumberFormat="1"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169" fontId="0" fillId="4" borderId="1" xfId="0" applyNumberFormat="1"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1" fillId="4" borderId="12" xfId="0" applyFont="1" applyFill="1" applyBorder="1" applyAlignment="1">
      <alignment horizontal="center"/>
    </xf>
    <xf numFmtId="169" fontId="1" fillId="4" borderId="13" xfId="0" applyNumberFormat="1" applyFont="1" applyFill="1" applyBorder="1" applyAlignment="1">
      <alignment horizontal="center"/>
    </xf>
    <xf numFmtId="0" fontId="1" fillId="4" borderId="14" xfId="0" applyFont="1" applyFill="1" applyBorder="1" applyAlignment="1">
      <alignment horizontal="center"/>
    </xf>
    <xf numFmtId="0" fontId="1" fillId="12" borderId="0" xfId="0" applyFont="1" applyFill="1" applyProtection="1">
      <protection locked="0"/>
    </xf>
    <xf numFmtId="0" fontId="7" fillId="12" borderId="0" xfId="0" applyFont="1" applyFill="1" applyProtection="1">
      <protection locked="0"/>
    </xf>
    <xf numFmtId="0" fontId="1" fillId="0" borderId="0" xfId="0" applyFont="1" applyProtection="1">
      <protection locked="0"/>
    </xf>
    <xf numFmtId="0" fontId="10" fillId="3" borderId="0" xfId="0" applyFont="1" applyFill="1" applyProtection="1">
      <protection locked="0"/>
    </xf>
    <xf numFmtId="0" fontId="11" fillId="12" borderId="0" xfId="2" applyFont="1" applyFill="1"/>
    <xf numFmtId="0" fontId="7" fillId="12" borderId="0" xfId="0" applyFont="1" applyFill="1"/>
    <xf numFmtId="0" fontId="7" fillId="12" borderId="0" xfId="1" applyFont="1" applyFill="1"/>
    <xf numFmtId="0" fontId="1" fillId="0" borderId="0" xfId="0" applyFont="1" applyAlignment="1">
      <alignment vertical="center" wrapText="1"/>
    </xf>
    <xf numFmtId="0" fontId="10" fillId="3" borderId="0" xfId="0" applyFont="1" applyFill="1"/>
    <xf numFmtId="0" fontId="10" fillId="3" borderId="0" xfId="1" applyFont="1" applyFill="1"/>
    <xf numFmtId="167" fontId="1" fillId="0" borderId="0" xfId="0" applyNumberFormat="1" applyFont="1" applyProtection="1">
      <protection locked="0"/>
    </xf>
    <xf numFmtId="14" fontId="7" fillId="12" borderId="0" xfId="0" applyNumberFormat="1" applyFont="1" applyFill="1" applyProtection="1">
      <protection locked="0"/>
    </xf>
    <xf numFmtId="167" fontId="11" fillId="12" borderId="0" xfId="2" applyNumberFormat="1" applyFont="1" applyFill="1" applyProtection="1">
      <protection locked="0"/>
    </xf>
    <xf numFmtId="166" fontId="11" fillId="12" borderId="0" xfId="2" applyNumberFormat="1" applyFont="1" applyFill="1" applyProtection="1">
      <protection locked="0"/>
    </xf>
    <xf numFmtId="14" fontId="7" fillId="3" borderId="0" xfId="0" applyNumberFormat="1" applyFont="1" applyFill="1" applyProtection="1">
      <protection locked="0"/>
    </xf>
    <xf numFmtId="15" fontId="13" fillId="5" borderId="0" xfId="2" applyNumberFormat="1" applyFont="1" applyFill="1" applyProtection="1">
      <protection locked="0"/>
    </xf>
    <xf numFmtId="167" fontId="7" fillId="3" borderId="0" xfId="0" applyNumberFormat="1" applyFont="1" applyFill="1" applyProtection="1">
      <protection locked="0"/>
    </xf>
    <xf numFmtId="166" fontId="11" fillId="5" borderId="0" xfId="2" applyNumberFormat="1" applyFont="1" applyFill="1" applyProtection="1">
      <protection locked="0"/>
    </xf>
    <xf numFmtId="0" fontId="7" fillId="3" borderId="0" xfId="0" applyFont="1" applyFill="1" applyProtection="1">
      <protection locked="0"/>
    </xf>
    <xf numFmtId="167" fontId="11" fillId="12" borderId="0" xfId="2" applyNumberFormat="1" applyFont="1" applyFill="1"/>
    <xf numFmtId="0" fontId="12" fillId="12" borderId="0" xfId="2" applyFont="1" applyFill="1" applyProtection="1">
      <protection locked="0"/>
    </xf>
    <xf numFmtId="0" fontId="14" fillId="12" borderId="0" xfId="2" applyFont="1" applyFill="1"/>
    <xf numFmtId="167" fontId="14" fillId="12" borderId="0" xfId="2" applyNumberFormat="1" applyFont="1" applyFill="1"/>
    <xf numFmtId="0" fontId="13" fillId="5" borderId="0" xfId="2" applyFont="1" applyFill="1" applyProtection="1">
      <protection locked="0"/>
    </xf>
    <xf numFmtId="0" fontId="7" fillId="0" borderId="0" xfId="0" applyFont="1" applyProtection="1">
      <protection locked="0"/>
    </xf>
    <xf numFmtId="0" fontId="1" fillId="0" borderId="4" xfId="0" applyFont="1" applyBorder="1" applyProtection="1">
      <protection locked="0"/>
    </xf>
    <xf numFmtId="15" fontId="1" fillId="0" borderId="0" xfId="0" applyNumberFormat="1" applyFont="1" applyProtection="1">
      <protection locked="0"/>
    </xf>
    <xf numFmtId="16" fontId="1" fillId="0" borderId="0" xfId="0" applyNumberFormat="1" applyFont="1" applyProtection="1">
      <protection locked="0"/>
    </xf>
    <xf numFmtId="14" fontId="7" fillId="0" borderId="5" xfId="0" applyNumberFormat="1" applyFont="1" applyBorder="1" applyProtection="1">
      <protection locked="0"/>
    </xf>
    <xf numFmtId="0" fontId="7" fillId="0" borderId="5" xfId="0" applyFont="1" applyBorder="1" applyProtection="1">
      <protection locked="0"/>
    </xf>
    <xf numFmtId="15" fontId="7" fillId="0" borderId="7" xfId="0" applyNumberFormat="1" applyFont="1" applyBorder="1" applyProtection="1">
      <protection locked="0"/>
    </xf>
    <xf numFmtId="0" fontId="7" fillId="0" borderId="7" xfId="0" applyFont="1" applyBorder="1" applyProtection="1">
      <protection locked="0"/>
    </xf>
    <xf numFmtId="10" fontId="7" fillId="0" borderId="5" xfId="0" applyNumberFormat="1" applyFont="1" applyBorder="1" applyProtection="1">
      <protection locked="0"/>
    </xf>
    <xf numFmtId="0" fontId="1" fillId="0" borderId="6" xfId="0" applyFont="1" applyBorder="1" applyProtection="1">
      <protection locked="0"/>
    </xf>
    <xf numFmtId="0" fontId="1" fillId="0" borderId="8" xfId="0" applyFont="1" applyBorder="1" applyProtection="1">
      <protection locked="0"/>
    </xf>
    <xf numFmtId="0" fontId="1" fillId="0" borderId="0" xfId="2" applyFont="1" applyProtection="1">
      <protection locked="0"/>
    </xf>
    <xf numFmtId="0" fontId="1" fillId="0" borderId="0" xfId="2" applyFont="1"/>
    <xf numFmtId="0" fontId="14" fillId="10" borderId="0" xfId="0" applyFont="1" applyFill="1" applyProtection="1">
      <protection locked="0"/>
    </xf>
    <xf numFmtId="0" fontId="14" fillId="10" borderId="0" xfId="2" applyFont="1" applyFill="1"/>
    <xf numFmtId="0" fontId="14" fillId="6" borderId="0" xfId="0" applyFont="1" applyFill="1" applyProtection="1">
      <protection locked="0"/>
    </xf>
    <xf numFmtId="0" fontId="12" fillId="6" borderId="0" xfId="2" applyFont="1" applyFill="1"/>
    <xf numFmtId="0" fontId="14" fillId="10" borderId="0" xfId="0" applyFont="1" applyFill="1"/>
    <xf numFmtId="0" fontId="14" fillId="10" borderId="0" xfId="1" applyFont="1" applyFill="1"/>
    <xf numFmtId="0" fontId="14" fillId="6" borderId="0" xfId="0" applyFont="1" applyFill="1"/>
    <xf numFmtId="0" fontId="14" fillId="6" borderId="0" xfId="1" applyFont="1" applyFill="1"/>
    <xf numFmtId="14" fontId="14" fillId="10" borderId="0" xfId="0" applyNumberFormat="1" applyFont="1" applyFill="1" applyProtection="1">
      <protection locked="0"/>
    </xf>
    <xf numFmtId="0" fontId="14" fillId="7" borderId="0" xfId="2" applyFont="1" applyFill="1" applyProtection="1">
      <protection locked="0"/>
    </xf>
    <xf numFmtId="15" fontId="14" fillId="10" borderId="0" xfId="0" applyNumberFormat="1" applyFont="1" applyFill="1" applyProtection="1">
      <protection locked="0"/>
    </xf>
    <xf numFmtId="166" fontId="11" fillId="10" borderId="0" xfId="2" applyNumberFormat="1" applyFont="1" applyFill="1" applyProtection="1">
      <protection locked="0"/>
    </xf>
    <xf numFmtId="14" fontId="14" fillId="6" borderId="9" xfId="0" applyNumberFormat="1" applyFont="1" applyFill="1" applyBorder="1" applyProtection="1">
      <protection locked="0"/>
    </xf>
    <xf numFmtId="15" fontId="14" fillId="6" borderId="10" xfId="0" applyNumberFormat="1" applyFont="1" applyFill="1" applyBorder="1" applyProtection="1">
      <protection locked="0"/>
    </xf>
    <xf numFmtId="0" fontId="14" fillId="6" borderId="10" xfId="0" applyFont="1" applyFill="1" applyBorder="1" applyProtection="1">
      <protection locked="0"/>
    </xf>
    <xf numFmtId="0" fontId="14" fillId="6" borderId="11" xfId="0" applyFont="1" applyFill="1" applyBorder="1" applyProtection="1">
      <protection locked="0"/>
    </xf>
    <xf numFmtId="0" fontId="14" fillId="6" borderId="0" xfId="2" applyFont="1" applyFill="1" applyProtection="1">
      <protection locked="0"/>
    </xf>
    <xf numFmtId="2" fontId="14" fillId="6" borderId="0" xfId="0" applyNumberFormat="1" applyFont="1" applyFill="1" applyProtection="1">
      <protection locked="0"/>
    </xf>
    <xf numFmtId="0" fontId="1" fillId="10" borderId="0" xfId="0" applyFont="1" applyFill="1" applyProtection="1">
      <protection locked="0"/>
    </xf>
    <xf numFmtId="0" fontId="10" fillId="11" borderId="0" xfId="0" applyFont="1" applyFill="1" applyProtection="1">
      <protection locked="0"/>
    </xf>
    <xf numFmtId="0" fontId="10" fillId="11" borderId="0" xfId="2" applyFont="1" applyFill="1"/>
    <xf numFmtId="0" fontId="10" fillId="9" borderId="0" xfId="2" applyFont="1" applyFill="1"/>
    <xf numFmtId="0" fontId="10" fillId="9" borderId="0" xfId="0" applyFont="1" applyFill="1" applyProtection="1">
      <protection locked="0"/>
    </xf>
    <xf numFmtId="9" fontId="10" fillId="11" borderId="0" xfId="2" applyNumberFormat="1" applyFont="1" applyFill="1"/>
    <xf numFmtId="0" fontId="10" fillId="11" borderId="0" xfId="0" applyFont="1" applyFill="1"/>
    <xf numFmtId="0" fontId="10" fillId="11" borderId="0" xfId="1" applyFont="1" applyFill="1"/>
    <xf numFmtId="0" fontId="10" fillId="9" borderId="0" xfId="0" applyFont="1" applyFill="1"/>
    <xf numFmtId="0" fontId="10" fillId="9" borderId="0" xfId="1" applyFont="1" applyFill="1"/>
    <xf numFmtId="14" fontId="10" fillId="11" borderId="0" xfId="0" applyNumberFormat="1" applyFont="1" applyFill="1" applyProtection="1">
      <protection locked="0"/>
    </xf>
    <xf numFmtId="0" fontId="10" fillId="8" borderId="0" xfId="2" applyFont="1" applyFill="1" applyProtection="1">
      <protection locked="0"/>
    </xf>
    <xf numFmtId="15" fontId="10" fillId="11" borderId="0" xfId="2" applyNumberFormat="1" applyFont="1" applyFill="1" applyProtection="1">
      <protection locked="0"/>
    </xf>
    <xf numFmtId="166" fontId="10" fillId="11" borderId="0" xfId="2" applyNumberFormat="1" applyFont="1" applyFill="1" applyProtection="1">
      <protection locked="0"/>
    </xf>
    <xf numFmtId="15" fontId="10" fillId="9" borderId="0" xfId="2" applyNumberFormat="1" applyFont="1" applyFill="1" applyProtection="1">
      <protection locked="0"/>
    </xf>
    <xf numFmtId="167" fontId="10" fillId="9" borderId="0" xfId="2" applyNumberFormat="1" applyFont="1" applyFill="1" applyProtection="1">
      <protection locked="0"/>
    </xf>
    <xf numFmtId="165" fontId="10" fillId="9" borderId="0" xfId="2" applyNumberFormat="1" applyFont="1" applyFill="1" applyProtection="1">
      <protection locked="0"/>
    </xf>
    <xf numFmtId="166" fontId="10" fillId="9" borderId="0" xfId="2" applyNumberFormat="1" applyFont="1" applyFill="1" applyProtection="1">
      <protection locked="0"/>
    </xf>
    <xf numFmtId="0" fontId="7" fillId="9" borderId="0" xfId="0" applyFont="1" applyFill="1" applyProtection="1">
      <protection locked="0"/>
    </xf>
    <xf numFmtId="2" fontId="10" fillId="9" borderId="0" xfId="2" applyNumberFormat="1" applyFont="1" applyFill="1"/>
    <xf numFmtId="0" fontId="14" fillId="11" borderId="0" xfId="2" applyFont="1" applyFill="1"/>
    <xf numFmtId="2" fontId="14" fillId="8" borderId="0" xfId="2" applyNumberFormat="1" applyFont="1" applyFill="1"/>
    <xf numFmtId="0" fontId="1" fillId="9" borderId="0" xfId="0" applyFont="1" applyFill="1" applyProtection="1">
      <protection locked="0"/>
    </xf>
    <xf numFmtId="0" fontId="15" fillId="0" borderId="2" xfId="2" applyFont="1" applyBorder="1"/>
    <xf numFmtId="16" fontId="16" fillId="0" borderId="0" xfId="0" applyNumberFormat="1" applyFont="1" applyProtection="1">
      <protection locked="0"/>
    </xf>
    <xf numFmtId="0" fontId="16" fillId="0" borderId="0" xfId="0" applyFont="1" applyProtection="1">
      <protection locked="0"/>
    </xf>
    <xf numFmtId="0" fontId="17" fillId="0" borderId="2" xfId="0" applyFont="1" applyBorder="1" applyAlignment="1">
      <alignment horizontal="right"/>
    </xf>
    <xf numFmtId="165" fontId="16" fillId="0" borderId="2" xfId="2" applyNumberFormat="1" applyFont="1" applyBorder="1"/>
    <xf numFmtId="0" fontId="17" fillId="0" borderId="0" xfId="0" applyFont="1" applyAlignment="1">
      <alignment horizontal="right"/>
    </xf>
    <xf numFmtId="0" fontId="17" fillId="0" borderId="3" xfId="0" applyFont="1" applyBorder="1" applyAlignment="1">
      <alignment horizontal="right"/>
    </xf>
    <xf numFmtId="165" fontId="16" fillId="0" borderId="0" xfId="2" applyNumberFormat="1" applyFont="1"/>
    <xf numFmtId="168" fontId="16" fillId="0" borderId="2" xfId="2" applyNumberFormat="1" applyFont="1" applyBorder="1"/>
    <xf numFmtId="165" fontId="16" fillId="0" borderId="2" xfId="0" applyNumberFormat="1" applyFont="1" applyBorder="1"/>
    <xf numFmtId="165" fontId="16" fillId="0" borderId="3" xfId="0" applyNumberFormat="1" applyFont="1" applyBorder="1"/>
    <xf numFmtId="0" fontId="16" fillId="0" borderId="2" xfId="2" applyFont="1" applyBorder="1"/>
    <xf numFmtId="167" fontId="16" fillId="0" borderId="2" xfId="0" applyNumberFormat="1" applyFont="1" applyBorder="1"/>
    <xf numFmtId="168" fontId="16" fillId="0" borderId="0" xfId="2" applyNumberFormat="1" applyFont="1"/>
    <xf numFmtId="165" fontId="16" fillId="0" borderId="0" xfId="0" applyNumberFormat="1" applyFont="1"/>
    <xf numFmtId="0" fontId="18" fillId="0" borderId="0" xfId="0" applyFont="1"/>
    <xf numFmtId="0" fontId="19" fillId="0" borderId="0" xfId="0" applyFont="1"/>
    <xf numFmtId="169" fontId="18" fillId="2" borderId="15" xfId="0" applyNumberFormat="1" applyFont="1" applyFill="1" applyBorder="1"/>
    <xf numFmtId="0" fontId="18" fillId="2" borderId="16" xfId="0" applyFont="1" applyFill="1" applyBorder="1"/>
    <xf numFmtId="0" fontId="18" fillId="2" borderId="16" xfId="1" applyFont="1" applyFill="1" applyBorder="1"/>
    <xf numFmtId="0" fontId="18" fillId="2" borderId="17" xfId="0" applyFont="1" applyFill="1" applyBorder="1"/>
    <xf numFmtId="171" fontId="1" fillId="4" borderId="2" xfId="0" applyNumberFormat="1" applyFont="1" applyFill="1" applyBorder="1" applyAlignment="1">
      <alignment horizontal="center"/>
    </xf>
    <xf numFmtId="171" fontId="0" fillId="4" borderId="2" xfId="0" applyNumberFormat="1" applyFill="1" applyBorder="1" applyAlignment="1">
      <alignment horizontal="center"/>
    </xf>
    <xf numFmtId="171" fontId="1" fillId="4" borderId="2" xfId="0" applyNumberFormat="1" applyFont="1" applyFill="1" applyBorder="1" applyAlignment="1">
      <alignment horizontal="center" vertical="center"/>
    </xf>
    <xf numFmtId="171" fontId="1" fillId="4" borderId="12" xfId="0" applyNumberFormat="1" applyFont="1" applyFill="1" applyBorder="1" applyAlignment="1">
      <alignment horizontal="center"/>
    </xf>
    <xf numFmtId="171" fontId="18" fillId="2" borderId="16" xfId="0" applyNumberFormat="1" applyFont="1" applyFill="1" applyBorder="1"/>
    <xf numFmtId="171" fontId="0" fillId="0" borderId="0" xfId="0" applyNumberFormat="1"/>
    <xf numFmtId="165" fontId="17" fillId="0" borderId="2" xfId="0" applyNumberFormat="1" applyFont="1" applyBorder="1" applyAlignment="1">
      <alignment horizontal="right"/>
    </xf>
    <xf numFmtId="0" fontId="17" fillId="0" borderId="0" xfId="0" applyFont="1" applyAlignment="1" applyProtection="1">
      <alignment horizontal="right"/>
      <protection locked="0"/>
    </xf>
    <xf numFmtId="0" fontId="17" fillId="0" borderId="2" xfId="2" applyFont="1" applyBorder="1" applyAlignment="1">
      <alignment horizontal="right"/>
    </xf>
    <xf numFmtId="167" fontId="17" fillId="0" borderId="2" xfId="0" applyNumberFormat="1" applyFont="1" applyBorder="1" applyAlignment="1">
      <alignment horizontal="right"/>
    </xf>
    <xf numFmtId="166" fontId="17" fillId="0" borderId="2" xfId="2" applyNumberFormat="1" applyFont="1" applyBorder="1" applyAlignment="1">
      <alignment horizontal="right"/>
    </xf>
    <xf numFmtId="165" fontId="17" fillId="0" borderId="3" xfId="0" applyNumberFormat="1" applyFont="1" applyBorder="1" applyAlignment="1">
      <alignment horizontal="right"/>
    </xf>
    <xf numFmtId="0" fontId="17" fillId="0" borderId="0" xfId="2" applyFont="1"/>
    <xf numFmtId="167" fontId="17" fillId="0" borderId="0" xfId="0" applyNumberFormat="1" applyFont="1"/>
    <xf numFmtId="166" fontId="17" fillId="0" borderId="0" xfId="2" applyNumberFormat="1" applyFont="1"/>
    <xf numFmtId="165" fontId="17" fillId="0" borderId="0" xfId="0" applyNumberFormat="1" applyFont="1"/>
    <xf numFmtId="0" fontId="20" fillId="0" borderId="0" xfId="0" applyFont="1" applyAlignment="1" applyProtection="1">
      <alignment horizontal="right"/>
      <protection locked="0"/>
    </xf>
    <xf numFmtId="167" fontId="17" fillId="0" borderId="0" xfId="0" applyNumberFormat="1" applyFont="1" applyAlignment="1" applyProtection="1">
      <alignment horizontal="right"/>
      <protection locked="0"/>
    </xf>
    <xf numFmtId="165" fontId="17" fillId="0" borderId="0" xfId="0" applyNumberFormat="1" applyFont="1" applyAlignment="1" applyProtection="1">
      <alignment horizontal="right"/>
      <protection locked="0"/>
    </xf>
    <xf numFmtId="166" fontId="17" fillId="0" borderId="0" xfId="0" applyNumberFormat="1" applyFont="1" applyAlignment="1" applyProtection="1">
      <alignment horizontal="right"/>
      <protection locked="0"/>
    </xf>
    <xf numFmtId="10" fontId="17" fillId="0" borderId="0" xfId="0" applyNumberFormat="1" applyFont="1" applyAlignment="1" applyProtection="1">
      <alignment horizontal="right"/>
      <protection locked="0"/>
    </xf>
    <xf numFmtId="165" fontId="17" fillId="0" borderId="2" xfId="2" applyNumberFormat="1" applyFont="1" applyBorder="1" applyAlignment="1">
      <alignment horizontal="right"/>
    </xf>
    <xf numFmtId="167" fontId="14" fillId="10" borderId="0" xfId="0" applyNumberFormat="1" applyFont="1" applyFill="1" applyProtection="1">
      <protection locked="0"/>
    </xf>
    <xf numFmtId="165" fontId="11" fillId="10" borderId="0" xfId="2" applyNumberFormat="1" applyFont="1" applyFill="1" applyProtection="1">
      <protection locked="0"/>
    </xf>
    <xf numFmtId="167" fontId="10" fillId="11" borderId="0" xfId="2" applyNumberFormat="1" applyFont="1" applyFill="1" applyProtection="1">
      <protection locked="0"/>
    </xf>
    <xf numFmtId="167" fontId="14" fillId="6" borderId="0" xfId="0" applyNumberFormat="1" applyFont="1" applyFill="1" applyProtection="1">
      <protection locked="0"/>
    </xf>
    <xf numFmtId="165" fontId="14" fillId="10" borderId="0" xfId="0" applyNumberFormat="1" applyFont="1" applyFill="1" applyProtection="1">
      <protection locked="0"/>
    </xf>
    <xf numFmtId="165" fontId="10" fillId="11" borderId="0" xfId="0" applyNumberFormat="1" applyFont="1" applyFill="1" applyProtection="1">
      <protection locked="0"/>
    </xf>
    <xf numFmtId="165" fontId="10" fillId="11" borderId="0" xfId="2" applyNumberFormat="1" applyFont="1" applyFill="1" applyProtection="1">
      <protection locked="0"/>
    </xf>
    <xf numFmtId="165" fontId="7" fillId="3" borderId="0" xfId="0" applyNumberFormat="1" applyFont="1" applyFill="1" applyProtection="1">
      <protection locked="0"/>
    </xf>
    <xf numFmtId="165" fontId="14" fillId="6" borderId="10" xfId="2" applyNumberFormat="1" applyFont="1" applyFill="1" applyBorder="1" applyProtection="1">
      <protection locked="0"/>
    </xf>
    <xf numFmtId="166" fontId="14" fillId="6" borderId="0" xfId="2" applyNumberFormat="1" applyFont="1" applyFill="1" applyProtection="1">
      <protection locked="0"/>
    </xf>
    <xf numFmtId="165" fontId="14" fillId="6" borderId="10" xfId="0" applyNumberFormat="1" applyFont="1" applyFill="1" applyBorder="1" applyProtection="1">
      <protection locked="0"/>
    </xf>
    <xf numFmtId="165" fontId="14" fillId="6" borderId="11" xfId="0" applyNumberFormat="1" applyFont="1" applyFill="1" applyBorder="1" applyProtection="1">
      <protection locked="0"/>
    </xf>
    <xf numFmtId="0" fontId="0" fillId="13" borderId="0" xfId="0" applyFill="1" applyAlignment="1">
      <alignment horizontal="center"/>
    </xf>
    <xf numFmtId="0" fontId="0" fillId="0" borderId="0" xfId="0" applyAlignment="1">
      <alignment horizontal="center"/>
    </xf>
    <xf numFmtId="0" fontId="22" fillId="13" borderId="0" xfId="0" applyFont="1" applyFill="1" applyAlignment="1">
      <alignment horizontal="center"/>
    </xf>
    <xf numFmtId="172" fontId="22" fillId="13" borderId="0" xfId="0" applyNumberFormat="1" applyFont="1" applyFill="1" applyAlignment="1">
      <alignment horizontal="center"/>
    </xf>
    <xf numFmtId="173" fontId="0" fillId="13" borderId="0" xfId="0" applyNumberFormat="1" applyFill="1" applyAlignment="1">
      <alignment horizontal="center"/>
    </xf>
    <xf numFmtId="0" fontId="0" fillId="13" borderId="0" xfId="0" applyFill="1"/>
    <xf numFmtId="0" fontId="22" fillId="13" borderId="0" xfId="0" applyFont="1" applyFill="1"/>
    <xf numFmtId="172" fontId="22" fillId="13" borderId="0" xfId="0" applyNumberFormat="1" applyFont="1" applyFill="1"/>
    <xf numFmtId="167" fontId="0" fillId="0" borderId="0" xfId="0" applyNumberFormat="1"/>
    <xf numFmtId="167" fontId="0" fillId="13" borderId="0" xfId="0" applyNumberFormat="1" applyFill="1" applyAlignment="1">
      <alignment horizontal="center"/>
    </xf>
    <xf numFmtId="2" fontId="7" fillId="12" borderId="0" xfId="0" applyNumberFormat="1" applyFont="1" applyFill="1" applyProtection="1">
      <protection locked="0"/>
    </xf>
    <xf numFmtId="167" fontId="0" fillId="13" borderId="0" xfId="0" applyNumberFormat="1" applyFill="1"/>
    <xf numFmtId="14" fontId="10" fillId="9" borderId="0" xfId="0" applyNumberFormat="1" applyFont="1" applyFill="1" applyProtection="1">
      <protection locked="0"/>
    </xf>
    <xf numFmtId="165" fontId="10" fillId="9" borderId="0" xfId="0" applyNumberFormat="1" applyFont="1" applyFill="1" applyProtection="1">
      <protection locked="0"/>
    </xf>
    <xf numFmtId="165" fontId="11" fillId="5" borderId="0" xfId="2" applyNumberFormat="1" applyFont="1" applyFill="1" applyProtection="1">
      <protection locked="0"/>
    </xf>
    <xf numFmtId="165" fontId="11" fillId="12" borderId="0" xfId="2" applyNumberFormat="1" applyFont="1" applyFill="1" applyProtection="1">
      <protection locked="0"/>
    </xf>
    <xf numFmtId="0" fontId="21" fillId="13" borderId="0" xfId="0" applyFont="1" applyFill="1"/>
    <xf numFmtId="15" fontId="0" fillId="0" borderId="0" xfId="0" applyNumberFormat="1" applyAlignment="1">
      <alignment vertical="center" wrapText="1"/>
    </xf>
    <xf numFmtId="165" fontId="14" fillId="6" borderId="0" xfId="0" applyNumberFormat="1" applyFont="1" applyFill="1" applyProtection="1">
      <protection locked="0"/>
    </xf>
    <xf numFmtId="166" fontId="14" fillId="6" borderId="0" xfId="0" applyNumberFormat="1" applyFont="1" applyFill="1" applyProtection="1">
      <protection locked="0"/>
    </xf>
    <xf numFmtId="169" fontId="24" fillId="4" borderId="13" xfId="0" applyNumberFormat="1" applyFont="1" applyFill="1" applyBorder="1" applyAlignment="1">
      <alignment horizontal="center"/>
    </xf>
    <xf numFmtId="0" fontId="24" fillId="4" borderId="12" xfId="0" applyFont="1" applyFill="1" applyBorder="1" applyAlignment="1">
      <alignment horizontal="center"/>
    </xf>
    <xf numFmtId="171" fontId="24" fillId="4" borderId="12" xfId="0" applyNumberFormat="1" applyFont="1" applyFill="1" applyBorder="1" applyAlignment="1">
      <alignment horizontal="center"/>
    </xf>
    <xf numFmtId="0" fontId="24" fillId="4" borderId="14" xfId="0" applyFont="1" applyFill="1" applyBorder="1" applyAlignment="1">
      <alignment horizontal="center"/>
    </xf>
    <xf numFmtId="165" fontId="7" fillId="3" borderId="4" xfId="0" applyNumberFormat="1" applyFont="1" applyFill="1" applyBorder="1" applyProtection="1">
      <protection locked="0"/>
    </xf>
    <xf numFmtId="0" fontId="25" fillId="3" borderId="0" xfId="0" applyFont="1" applyFill="1" applyProtection="1">
      <protection locked="0"/>
    </xf>
    <xf numFmtId="169" fontId="26" fillId="4" borderId="13" xfId="0" applyNumberFormat="1" applyFont="1" applyFill="1" applyBorder="1" applyAlignment="1">
      <alignment horizontal="center"/>
    </xf>
    <xf numFmtId="0" fontId="26" fillId="4" borderId="12" xfId="0" applyFont="1" applyFill="1" applyBorder="1" applyAlignment="1">
      <alignment horizontal="center"/>
    </xf>
    <xf numFmtId="171" fontId="26" fillId="4" borderId="12" xfId="0" applyNumberFormat="1" applyFont="1" applyFill="1" applyBorder="1" applyAlignment="1">
      <alignment horizontal="center"/>
    </xf>
    <xf numFmtId="0" fontId="26" fillId="4" borderId="14" xfId="0" applyFont="1" applyFill="1" applyBorder="1" applyAlignment="1">
      <alignment horizontal="center"/>
    </xf>
    <xf numFmtId="169" fontId="27" fillId="4" borderId="13" xfId="0" applyNumberFormat="1" applyFont="1" applyFill="1" applyBorder="1" applyAlignment="1">
      <alignment horizontal="center"/>
    </xf>
    <xf numFmtId="0" fontId="27" fillId="4" borderId="12" xfId="0" applyFont="1" applyFill="1" applyBorder="1" applyAlignment="1">
      <alignment horizontal="center"/>
    </xf>
    <xf numFmtId="171" fontId="27" fillId="4" borderId="12" xfId="0" applyNumberFormat="1" applyFont="1" applyFill="1" applyBorder="1" applyAlignment="1">
      <alignment horizontal="center"/>
    </xf>
    <xf numFmtId="0" fontId="27" fillId="4" borderId="14" xfId="0" applyFont="1" applyFill="1" applyBorder="1" applyAlignment="1">
      <alignment horizontal="center"/>
    </xf>
    <xf numFmtId="169" fontId="28" fillId="4" borderId="13" xfId="0" applyNumberFormat="1" applyFont="1" applyFill="1" applyBorder="1" applyAlignment="1">
      <alignment horizontal="center"/>
    </xf>
    <xf numFmtId="0" fontId="28" fillId="4" borderId="12" xfId="0" applyFont="1" applyFill="1" applyBorder="1" applyAlignment="1">
      <alignment horizontal="center"/>
    </xf>
    <xf numFmtId="171" fontId="28" fillId="4" borderId="12" xfId="0" applyNumberFormat="1" applyFont="1" applyFill="1" applyBorder="1" applyAlignment="1">
      <alignment horizontal="center"/>
    </xf>
    <xf numFmtId="0" fontId="28" fillId="4" borderId="14" xfId="0" applyFont="1" applyFill="1" applyBorder="1" applyAlignment="1">
      <alignment horizontal="center"/>
    </xf>
    <xf numFmtId="169" fontId="29" fillId="4" borderId="13" xfId="0" applyNumberFormat="1" applyFont="1" applyFill="1" applyBorder="1" applyAlignment="1">
      <alignment horizontal="center"/>
    </xf>
    <xf numFmtId="0" fontId="29" fillId="4" borderId="12" xfId="0" applyFont="1" applyFill="1" applyBorder="1" applyAlignment="1">
      <alignment horizontal="center"/>
    </xf>
    <xf numFmtId="171" fontId="29" fillId="4" borderId="12" xfId="0" applyNumberFormat="1" applyFont="1" applyFill="1" applyBorder="1" applyAlignment="1">
      <alignment horizontal="center"/>
    </xf>
    <xf numFmtId="0" fontId="29" fillId="4" borderId="14" xfId="0" applyFont="1" applyFill="1" applyBorder="1" applyAlignment="1">
      <alignment horizontal="center"/>
    </xf>
    <xf numFmtId="169" fontId="30" fillId="4" borderId="13" xfId="0" applyNumberFormat="1" applyFont="1" applyFill="1" applyBorder="1" applyAlignment="1">
      <alignment horizontal="center"/>
    </xf>
    <xf numFmtId="0" fontId="30" fillId="4" borderId="12" xfId="0" applyFont="1" applyFill="1" applyBorder="1" applyAlignment="1">
      <alignment horizontal="center"/>
    </xf>
    <xf numFmtId="171" fontId="30" fillId="4" borderId="12" xfId="0" applyNumberFormat="1" applyFont="1" applyFill="1" applyBorder="1" applyAlignment="1">
      <alignment horizontal="center"/>
    </xf>
    <xf numFmtId="0" fontId="30" fillId="4" borderId="14" xfId="0" applyFont="1" applyFill="1" applyBorder="1" applyAlignment="1">
      <alignment horizontal="center"/>
    </xf>
    <xf numFmtId="169" fontId="31" fillId="4" borderId="13" xfId="0" applyNumberFormat="1" applyFont="1" applyFill="1" applyBorder="1" applyAlignment="1">
      <alignment horizontal="center"/>
    </xf>
    <xf numFmtId="0" fontId="31" fillId="4" borderId="12" xfId="0" applyFont="1" applyFill="1" applyBorder="1" applyAlignment="1">
      <alignment horizontal="center"/>
    </xf>
    <xf numFmtId="171" fontId="31" fillId="4" borderId="12" xfId="0" applyNumberFormat="1" applyFont="1" applyFill="1" applyBorder="1" applyAlignment="1">
      <alignment horizontal="center"/>
    </xf>
    <xf numFmtId="0" fontId="31" fillId="4" borderId="14" xfId="0" applyFont="1" applyFill="1" applyBorder="1" applyAlignment="1">
      <alignment horizontal="center"/>
    </xf>
    <xf numFmtId="167" fontId="1" fillId="0" borderId="0" xfId="0" applyNumberFormat="1" applyFont="1" applyAlignment="1">
      <alignment vertical="center" wrapText="1"/>
    </xf>
    <xf numFmtId="169" fontId="32" fillId="4" borderId="13" xfId="0" applyNumberFormat="1" applyFont="1" applyFill="1" applyBorder="1" applyAlignment="1">
      <alignment horizontal="center"/>
    </xf>
    <xf numFmtId="0" fontId="32" fillId="4" borderId="12" xfId="0" applyFont="1" applyFill="1" applyBorder="1" applyAlignment="1">
      <alignment horizontal="center"/>
    </xf>
    <xf numFmtId="171" fontId="32" fillId="4" borderId="12" xfId="0" applyNumberFormat="1" applyFont="1" applyFill="1" applyBorder="1" applyAlignment="1">
      <alignment horizontal="center"/>
    </xf>
    <xf numFmtId="0" fontId="32" fillId="4" borderId="14" xfId="0" applyFont="1" applyFill="1" applyBorder="1" applyAlignment="1">
      <alignment horizontal="center"/>
    </xf>
    <xf numFmtId="169" fontId="33" fillId="4" borderId="13" xfId="0" applyNumberFormat="1" applyFont="1" applyFill="1" applyBorder="1" applyAlignment="1">
      <alignment horizontal="center"/>
    </xf>
    <xf numFmtId="0" fontId="33" fillId="4" borderId="12" xfId="0" applyFont="1" applyFill="1" applyBorder="1" applyAlignment="1">
      <alignment horizontal="center"/>
    </xf>
    <xf numFmtId="171" fontId="33" fillId="4" borderId="12" xfId="0" applyNumberFormat="1" applyFont="1" applyFill="1" applyBorder="1" applyAlignment="1">
      <alignment horizontal="center"/>
    </xf>
    <xf numFmtId="0" fontId="33" fillId="4" borderId="14" xfId="0" applyFont="1" applyFill="1" applyBorder="1" applyAlignment="1">
      <alignment horizontal="center"/>
    </xf>
    <xf numFmtId="0" fontId="34" fillId="14" borderId="0" xfId="14" applyProtection="1">
      <protection locked="0"/>
    </xf>
    <xf numFmtId="0" fontId="35" fillId="0" borderId="18" xfId="0" applyFont="1" applyBorder="1" applyAlignment="1">
      <alignment horizontal="center"/>
    </xf>
    <xf numFmtId="0" fontId="21" fillId="0" borderId="19" xfId="0" applyFont="1" applyBorder="1" applyAlignment="1">
      <alignment horizontal="center"/>
    </xf>
    <xf numFmtId="0" fontId="21" fillId="0" borderId="20" xfId="0" applyFont="1" applyBorder="1" applyAlignment="1">
      <alignment horizontal="center"/>
    </xf>
    <xf numFmtId="0" fontId="21" fillId="0" borderId="21" xfId="0" applyFont="1" applyBorder="1" applyAlignment="1">
      <alignment horizontal="center"/>
    </xf>
    <xf numFmtId="15" fontId="37" fillId="0" borderId="22" xfId="2" applyNumberFormat="1" applyFont="1" applyBorder="1" applyAlignment="1">
      <alignment horizontal="center"/>
    </xf>
    <xf numFmtId="15" fontId="37" fillId="0" borderId="23" xfId="2" applyNumberFormat="1" applyFont="1" applyBorder="1" applyAlignment="1">
      <alignment horizontal="center"/>
    </xf>
    <xf numFmtId="167" fontId="37" fillId="0" borderId="24" xfId="2" applyNumberFormat="1" applyFont="1" applyBorder="1" applyAlignment="1">
      <alignment horizontal="center"/>
    </xf>
    <xf numFmtId="165" fontId="37" fillId="0" borderId="25" xfId="0" applyNumberFormat="1" applyFont="1" applyBorder="1" applyAlignment="1">
      <alignment horizontal="center"/>
    </xf>
    <xf numFmtId="165" fontId="37" fillId="0" borderId="26" xfId="0" applyNumberFormat="1" applyFont="1" applyBorder="1" applyAlignment="1">
      <alignment horizontal="center"/>
    </xf>
    <xf numFmtId="15" fontId="37" fillId="0" borderId="27" xfId="2" applyNumberFormat="1" applyFont="1" applyBorder="1" applyAlignment="1">
      <alignment horizontal="center"/>
    </xf>
    <xf numFmtId="167" fontId="37" fillId="0" borderId="28" xfId="2" applyNumberFormat="1" applyFont="1" applyBorder="1" applyAlignment="1">
      <alignment horizontal="center"/>
    </xf>
    <xf numFmtId="165" fontId="37" fillId="0" borderId="29" xfId="0" applyNumberFormat="1" applyFont="1" applyBorder="1" applyAlignment="1">
      <alignment horizontal="center"/>
    </xf>
    <xf numFmtId="165" fontId="37" fillId="0" borderId="30" xfId="0" applyNumberFormat="1" applyFont="1" applyBorder="1" applyAlignment="1">
      <alignment horizontal="center"/>
    </xf>
    <xf numFmtId="15" fontId="37" fillId="0" borderId="31" xfId="2" applyNumberFormat="1" applyFont="1" applyBorder="1" applyAlignment="1">
      <alignment horizontal="center"/>
    </xf>
    <xf numFmtId="167" fontId="37" fillId="0" borderId="32" xfId="2" applyNumberFormat="1" applyFont="1" applyBorder="1" applyAlignment="1">
      <alignment horizontal="center"/>
    </xf>
    <xf numFmtId="165" fontId="37" fillId="0" borderId="32" xfId="0" applyNumberFormat="1" applyFont="1" applyBorder="1" applyAlignment="1">
      <alignment horizontal="center"/>
    </xf>
    <xf numFmtId="165" fontId="37" fillId="0" borderId="33" xfId="0" applyNumberFormat="1" applyFont="1" applyBorder="1" applyAlignment="1">
      <alignment horizontal="center"/>
    </xf>
    <xf numFmtId="0" fontId="21" fillId="0" borderId="18" xfId="0" applyFont="1" applyBorder="1" applyAlignment="1">
      <alignment horizontal="center"/>
    </xf>
    <xf numFmtId="0" fontId="36" fillId="0" borderId="35" xfId="2" applyFont="1" applyBorder="1" applyAlignment="1">
      <alignment horizontal="center"/>
    </xf>
    <xf numFmtId="165" fontId="37" fillId="0" borderId="24" xfId="0" applyNumberFormat="1" applyFont="1" applyBorder="1" applyAlignment="1">
      <alignment horizontal="center"/>
    </xf>
    <xf numFmtId="165" fontId="37" fillId="0" borderId="36" xfId="0" applyNumberFormat="1" applyFont="1" applyBorder="1" applyAlignment="1">
      <alignment horizontal="center"/>
    </xf>
    <xf numFmtId="0" fontId="36" fillId="0" borderId="37" xfId="2" applyFont="1" applyBorder="1" applyAlignment="1">
      <alignment horizontal="center"/>
    </xf>
    <xf numFmtId="0" fontId="36" fillId="0" borderId="18" xfId="2" applyFont="1" applyBorder="1" applyAlignment="1">
      <alignment horizontal="center"/>
    </xf>
    <xf numFmtId="173" fontId="14" fillId="6" borderId="0" xfId="0" applyNumberFormat="1" applyFont="1" applyFill="1" applyProtection="1">
      <protection locked="0"/>
    </xf>
    <xf numFmtId="169" fontId="1" fillId="4" borderId="0" xfId="0" applyNumberFormat="1" applyFont="1" applyFill="1" applyAlignment="1">
      <alignment horizontal="center"/>
    </xf>
    <xf numFmtId="0" fontId="1" fillId="4" borderId="0" xfId="0" applyFont="1" applyFill="1" applyAlignment="1">
      <alignment horizontal="center"/>
    </xf>
    <xf numFmtId="171" fontId="1" fillId="4" borderId="0" xfId="0" applyNumberFormat="1" applyFont="1" applyFill="1" applyAlignment="1">
      <alignment horizontal="center"/>
    </xf>
    <xf numFmtId="171" fontId="7" fillId="2" borderId="0" xfId="0" applyNumberFormat="1" applyFont="1" applyFill="1"/>
    <xf numFmtId="0" fontId="7" fillId="2" borderId="0" xfId="1" applyFont="1" applyFill="1" applyBorder="1"/>
    <xf numFmtId="171" fontId="1" fillId="0" borderId="0" xfId="0" applyNumberFormat="1" applyFont="1"/>
    <xf numFmtId="15" fontId="37" fillId="0" borderId="39" xfId="2" applyNumberFormat="1" applyFont="1" applyBorder="1" applyAlignment="1">
      <alignment horizontal="center"/>
    </xf>
    <xf numFmtId="167" fontId="37" fillId="0" borderId="29" xfId="2" applyNumberFormat="1" applyFont="1" applyBorder="1" applyAlignment="1">
      <alignment horizontal="center"/>
    </xf>
    <xf numFmtId="0" fontId="21" fillId="0" borderId="23" xfId="0" applyFont="1" applyBorder="1" applyAlignment="1">
      <alignment horizontal="center"/>
    </xf>
    <xf numFmtId="0" fontId="36" fillId="0" borderId="40" xfId="2" applyFont="1" applyBorder="1" applyAlignment="1">
      <alignment horizontal="center"/>
    </xf>
    <xf numFmtId="0" fontId="36" fillId="0" borderId="34" xfId="2" applyFont="1" applyBorder="1" applyAlignment="1">
      <alignment horizontal="center"/>
    </xf>
    <xf numFmtId="165" fontId="37" fillId="0" borderId="41" xfId="0" applyNumberFormat="1" applyFont="1" applyBorder="1" applyAlignment="1">
      <alignment horizontal="center"/>
    </xf>
    <xf numFmtId="165" fontId="37" fillId="0" borderId="39" xfId="0" applyNumberFormat="1" applyFont="1" applyBorder="1" applyAlignment="1">
      <alignment horizontal="center"/>
    </xf>
    <xf numFmtId="165" fontId="37" fillId="0" borderId="31" xfId="0" applyNumberFormat="1" applyFont="1" applyBorder="1" applyAlignment="1">
      <alignment horizontal="center"/>
    </xf>
    <xf numFmtId="167" fontId="37" fillId="0" borderId="25" xfId="0" applyNumberFormat="1" applyFont="1" applyBorder="1" applyAlignment="1">
      <alignment horizontal="center"/>
    </xf>
    <xf numFmtId="167" fontId="37" fillId="0" borderId="29" xfId="0" applyNumberFormat="1" applyFont="1" applyBorder="1" applyAlignment="1">
      <alignment horizontal="center"/>
    </xf>
    <xf numFmtId="167" fontId="37" fillId="0" borderId="32" xfId="0" applyNumberFormat="1" applyFont="1" applyBorder="1" applyAlignment="1">
      <alignment horizontal="center"/>
    </xf>
    <xf numFmtId="0" fontId="21" fillId="0" borderId="35" xfId="0" applyFont="1" applyBorder="1" applyAlignment="1">
      <alignment horizontal="center"/>
    </xf>
    <xf numFmtId="0" fontId="21" fillId="0" borderId="24" xfId="0" applyFont="1" applyBorder="1" applyAlignment="1">
      <alignment horizontal="center"/>
    </xf>
    <xf numFmtId="0" fontId="21" fillId="0" borderId="36" xfId="0" applyFont="1" applyBorder="1" applyAlignment="1">
      <alignment horizontal="center"/>
    </xf>
    <xf numFmtId="165" fontId="37" fillId="0" borderId="38" xfId="0" applyNumberFormat="1" applyFont="1" applyBorder="1" applyAlignment="1">
      <alignment horizontal="center"/>
    </xf>
    <xf numFmtId="165" fontId="37" fillId="0" borderId="42" xfId="0" applyNumberFormat="1" applyFont="1" applyBorder="1" applyAlignment="1">
      <alignment horizontal="center"/>
    </xf>
    <xf numFmtId="0" fontId="36" fillId="0" borderId="43" xfId="2" applyFont="1" applyBorder="1" applyAlignment="1">
      <alignment horizontal="center"/>
    </xf>
    <xf numFmtId="0" fontId="21" fillId="4" borderId="44" xfId="0" applyFont="1" applyFill="1" applyBorder="1" applyAlignment="1">
      <alignment horizontal="center"/>
    </xf>
    <xf numFmtId="14" fontId="13" fillId="5" borderId="0" xfId="2" applyNumberFormat="1" applyFont="1" applyFill="1" applyProtection="1">
      <protection locked="0"/>
    </xf>
    <xf numFmtId="172" fontId="38" fillId="15" borderId="0" xfId="0" applyNumberFormat="1" applyFont="1" applyFill="1" applyAlignment="1">
      <alignment horizontal="center"/>
    </xf>
    <xf numFmtId="15" fontId="40" fillId="12" borderId="0" xfId="2" applyNumberFormat="1" applyFont="1" applyFill="1" applyProtection="1">
      <protection locked="0"/>
    </xf>
    <xf numFmtId="165" fontId="37" fillId="0" borderId="44" xfId="0" applyNumberFormat="1" applyFont="1" applyBorder="1" applyAlignment="1">
      <alignment horizontal="center"/>
    </xf>
    <xf numFmtId="167" fontId="37" fillId="0" borderId="45" xfId="0" applyNumberFormat="1" applyFont="1" applyBorder="1" applyAlignment="1">
      <alignment horizontal="center"/>
    </xf>
    <xf numFmtId="165" fontId="37" fillId="0" borderId="45" xfId="0" applyNumberFormat="1" applyFont="1" applyBorder="1" applyAlignment="1">
      <alignment horizontal="center"/>
    </xf>
    <xf numFmtId="165" fontId="37" fillId="0" borderId="46" xfId="0" applyNumberFormat="1" applyFont="1" applyBorder="1" applyAlignment="1">
      <alignment horizontal="center"/>
    </xf>
    <xf numFmtId="14" fontId="37" fillId="0" borderId="29" xfId="0" applyNumberFormat="1" applyFont="1" applyBorder="1" applyAlignment="1">
      <alignment horizontal="center"/>
    </xf>
    <xf numFmtId="172" fontId="37" fillId="0" borderId="38" xfId="0" applyNumberFormat="1" applyFont="1" applyBorder="1" applyAlignment="1">
      <alignment horizontal="center"/>
    </xf>
    <xf numFmtId="172" fontId="37" fillId="0" borderId="29" xfId="0" applyNumberFormat="1" applyFont="1" applyBorder="1" applyAlignment="1">
      <alignment horizontal="center"/>
    </xf>
    <xf numFmtId="15" fontId="37" fillId="0" borderId="44" xfId="2" applyNumberFormat="1" applyFont="1" applyBorder="1" applyAlignment="1">
      <alignment horizontal="center"/>
    </xf>
    <xf numFmtId="167" fontId="37" fillId="0" borderId="45" xfId="2" applyNumberFormat="1" applyFont="1" applyBorder="1" applyAlignment="1">
      <alignment horizontal="center"/>
    </xf>
    <xf numFmtId="165" fontId="11" fillId="16" borderId="0" xfId="2" applyNumberFormat="1" applyFont="1" applyFill="1" applyProtection="1">
      <protection locked="0"/>
    </xf>
    <xf numFmtId="172" fontId="37" fillId="0" borderId="45" xfId="0" applyNumberFormat="1" applyFont="1" applyBorder="1" applyAlignment="1">
      <alignment horizontal="center"/>
    </xf>
    <xf numFmtId="0" fontId="4" fillId="0" borderId="0" xfId="9"/>
    <xf numFmtId="0" fontId="0" fillId="4" borderId="0" xfId="0" applyFill="1" applyAlignment="1">
      <alignment horizontal="center"/>
    </xf>
    <xf numFmtId="167" fontId="37" fillId="0" borderId="0" xfId="2" applyNumberFormat="1" applyFont="1" applyAlignment="1">
      <alignment horizontal="center"/>
    </xf>
    <xf numFmtId="0" fontId="35" fillId="0" borderId="47" xfId="0" applyFont="1" applyBorder="1" applyAlignment="1">
      <alignment horizontal="center"/>
    </xf>
    <xf numFmtId="0" fontId="0" fillId="4" borderId="28" xfId="0" applyFill="1" applyBorder="1" applyAlignment="1">
      <alignment horizontal="center"/>
    </xf>
    <xf numFmtId="0" fontId="36" fillId="0" borderId="48" xfId="2" applyFont="1" applyBorder="1" applyAlignment="1">
      <alignment horizontal="center"/>
    </xf>
    <xf numFmtId="0" fontId="41" fillId="4" borderId="0" xfId="0" applyFont="1" applyFill="1" applyAlignment="1">
      <alignment horizontal="center"/>
    </xf>
    <xf numFmtId="171" fontId="41" fillId="4" borderId="0" xfId="0" applyNumberFormat="1" applyFont="1" applyFill="1" applyAlignment="1">
      <alignment horizontal="center"/>
    </xf>
    <xf numFmtId="165" fontId="37" fillId="0" borderId="43" xfId="0" applyNumberFormat="1" applyFont="1" applyBorder="1" applyAlignment="1">
      <alignment horizontal="center"/>
    </xf>
    <xf numFmtId="167" fontId="37" fillId="0" borderId="38" xfId="0" applyNumberFormat="1" applyFont="1" applyBorder="1" applyAlignment="1">
      <alignment horizontal="center"/>
    </xf>
    <xf numFmtId="174" fontId="37" fillId="0" borderId="44" xfId="0" applyNumberFormat="1" applyFont="1" applyBorder="1" applyAlignment="1">
      <alignment horizontal="center"/>
    </xf>
    <xf numFmtId="0" fontId="42" fillId="13" borderId="0" xfId="0" applyFont="1" applyFill="1"/>
    <xf numFmtId="4" fontId="0" fillId="0" borderId="0" xfId="0" applyNumberFormat="1"/>
    <xf numFmtId="175" fontId="23" fillId="0" borderId="45" xfId="0" applyNumberFormat="1" applyFont="1" applyBorder="1"/>
    <xf numFmtId="169" fontId="1" fillId="4" borderId="49" xfId="0" applyNumberFormat="1" applyFont="1" applyFill="1" applyBorder="1" applyAlignment="1">
      <alignment horizontal="center"/>
    </xf>
    <xf numFmtId="0" fontId="1" fillId="4" borderId="50" xfId="0" applyFont="1" applyFill="1" applyBorder="1" applyAlignment="1">
      <alignment horizontal="center"/>
    </xf>
    <xf numFmtId="171" fontId="1" fillId="4" borderId="50" xfId="0" applyNumberFormat="1" applyFont="1" applyFill="1" applyBorder="1" applyAlignment="1">
      <alignment horizontal="center"/>
    </xf>
    <xf numFmtId="14" fontId="0" fillId="0" borderId="0" xfId="0" applyNumberFormat="1"/>
    <xf numFmtId="0" fontId="1" fillId="4" borderId="51" xfId="0" applyFont="1" applyFill="1" applyBorder="1" applyAlignment="1">
      <alignment horizontal="center"/>
    </xf>
    <xf numFmtId="169" fontId="43" fillId="4" borderId="1" xfId="0" applyNumberFormat="1" applyFont="1" applyFill="1" applyBorder="1" applyAlignment="1">
      <alignment horizontal="center"/>
    </xf>
    <xf numFmtId="0" fontId="43" fillId="4" borderId="2" xfId="0" applyFont="1" applyFill="1" applyBorder="1" applyAlignment="1">
      <alignment horizontal="center"/>
    </xf>
    <xf numFmtId="171" fontId="43" fillId="4" borderId="2" xfId="0" applyNumberFormat="1" applyFont="1" applyFill="1" applyBorder="1" applyAlignment="1">
      <alignment horizontal="center"/>
    </xf>
    <xf numFmtId="0" fontId="43" fillId="4" borderId="3" xfId="0" applyFont="1" applyFill="1" applyBorder="1" applyAlignment="1">
      <alignment horizontal="center"/>
    </xf>
    <xf numFmtId="169" fontId="43" fillId="4" borderId="49" xfId="0" applyNumberFormat="1" applyFont="1" applyFill="1" applyBorder="1" applyAlignment="1">
      <alignment horizontal="center"/>
    </xf>
    <xf numFmtId="0" fontId="43" fillId="4" borderId="50" xfId="0" applyFont="1" applyFill="1" applyBorder="1" applyAlignment="1">
      <alignment horizontal="center"/>
    </xf>
    <xf numFmtId="171" fontId="43" fillId="4" borderId="50" xfId="0" applyNumberFormat="1" applyFont="1" applyFill="1" applyBorder="1" applyAlignment="1">
      <alignment horizontal="center"/>
    </xf>
    <xf numFmtId="0" fontId="43" fillId="4" borderId="51" xfId="0" applyFont="1" applyFill="1" applyBorder="1" applyAlignment="1">
      <alignment horizontal="center"/>
    </xf>
    <xf numFmtId="169" fontId="44" fillId="4" borderId="1" xfId="0" applyNumberFormat="1" applyFont="1" applyFill="1" applyBorder="1" applyAlignment="1">
      <alignment horizontal="center"/>
    </xf>
    <xf numFmtId="0" fontId="44" fillId="4" borderId="2" xfId="0" applyFont="1" applyFill="1" applyBorder="1" applyAlignment="1">
      <alignment horizontal="center"/>
    </xf>
    <xf numFmtId="171" fontId="44" fillId="4" borderId="2" xfId="0" applyNumberFormat="1" applyFont="1" applyFill="1" applyBorder="1" applyAlignment="1">
      <alignment horizontal="center"/>
    </xf>
    <xf numFmtId="0" fontId="44" fillId="4" borderId="3" xfId="0" applyFont="1" applyFill="1" applyBorder="1" applyAlignment="1">
      <alignment horizontal="center"/>
    </xf>
    <xf numFmtId="169" fontId="44" fillId="4" borderId="49" xfId="0" applyNumberFormat="1" applyFont="1" applyFill="1" applyBorder="1" applyAlignment="1">
      <alignment horizontal="center"/>
    </xf>
    <xf numFmtId="0" fontId="44" fillId="4" borderId="50" xfId="0" applyFont="1" applyFill="1" applyBorder="1" applyAlignment="1">
      <alignment horizontal="center"/>
    </xf>
    <xf numFmtId="171" fontId="44" fillId="4" borderId="50" xfId="0" applyNumberFormat="1" applyFont="1" applyFill="1" applyBorder="1" applyAlignment="1">
      <alignment horizontal="center"/>
    </xf>
    <xf numFmtId="0" fontId="44" fillId="4" borderId="51" xfId="0" applyFont="1" applyFill="1" applyBorder="1" applyAlignment="1">
      <alignment horizontal="center"/>
    </xf>
    <xf numFmtId="167" fontId="43" fillId="4" borderId="2" xfId="0" applyNumberFormat="1" applyFont="1" applyFill="1" applyBorder="1" applyAlignment="1">
      <alignment horizontal="center"/>
    </xf>
    <xf numFmtId="169" fontId="43" fillId="4" borderId="1" xfId="0" applyNumberFormat="1" applyFont="1" applyFill="1" applyBorder="1" applyAlignment="1">
      <alignment horizontal="center" vertical="center"/>
    </xf>
    <xf numFmtId="0" fontId="43" fillId="4" borderId="2" xfId="0" applyFont="1" applyFill="1" applyBorder="1" applyAlignment="1">
      <alignment horizontal="center" vertical="center"/>
    </xf>
    <xf numFmtId="171" fontId="43" fillId="4" borderId="2" xfId="0" applyNumberFormat="1" applyFont="1" applyFill="1" applyBorder="1" applyAlignment="1">
      <alignment horizontal="center" vertical="center"/>
    </xf>
    <xf numFmtId="0" fontId="43" fillId="4" borderId="3" xfId="0" applyFont="1" applyFill="1" applyBorder="1" applyAlignment="1">
      <alignment horizontal="center" vertical="center"/>
    </xf>
    <xf numFmtId="2" fontId="43" fillId="4" borderId="2" xfId="0" applyNumberFormat="1" applyFont="1" applyFill="1" applyBorder="1" applyAlignment="1">
      <alignment horizontal="center" vertical="center"/>
    </xf>
    <xf numFmtId="169" fontId="43" fillId="4" borderId="49" xfId="0" applyNumberFormat="1" applyFont="1" applyFill="1" applyBorder="1" applyAlignment="1">
      <alignment horizontal="center" vertical="center"/>
    </xf>
    <xf numFmtId="0" fontId="43" fillId="4" borderId="50" xfId="0" applyFont="1" applyFill="1" applyBorder="1" applyAlignment="1">
      <alignment horizontal="center" vertical="center"/>
    </xf>
    <xf numFmtId="171" fontId="43" fillId="4" borderId="50" xfId="0" applyNumberFormat="1" applyFont="1" applyFill="1" applyBorder="1" applyAlignment="1">
      <alignment horizontal="center" vertical="center"/>
    </xf>
    <xf numFmtId="0" fontId="43" fillId="4" borderId="51" xfId="0" applyFont="1" applyFill="1" applyBorder="1" applyAlignment="1">
      <alignment horizontal="center" vertical="center"/>
    </xf>
    <xf numFmtId="169" fontId="43" fillId="4" borderId="0" xfId="0" applyNumberFormat="1" applyFont="1" applyFill="1" applyAlignment="1">
      <alignment horizontal="center"/>
    </xf>
    <xf numFmtId="0" fontId="43" fillId="4" borderId="0" xfId="0" applyFont="1" applyFill="1" applyAlignment="1">
      <alignment horizontal="center"/>
    </xf>
    <xf numFmtId="171" fontId="43" fillId="4" borderId="0" xfId="0" applyNumberFormat="1" applyFont="1" applyFill="1" applyAlignment="1">
      <alignment horizontal="center"/>
    </xf>
    <xf numFmtId="169" fontId="0" fillId="4" borderId="49" xfId="0" applyNumberFormat="1" applyFill="1" applyBorder="1" applyAlignment="1">
      <alignment horizontal="center"/>
    </xf>
    <xf numFmtId="0" fontId="0" fillId="4" borderId="50" xfId="0" applyFill="1" applyBorder="1" applyAlignment="1">
      <alignment horizontal="center"/>
    </xf>
    <xf numFmtId="171" fontId="0" fillId="4" borderId="50" xfId="0" applyNumberFormat="1" applyFill="1" applyBorder="1" applyAlignment="1">
      <alignment horizontal="center"/>
    </xf>
    <xf numFmtId="0" fontId="0" fillId="4" borderId="51" xfId="0" applyFill="1" applyBorder="1" applyAlignment="1">
      <alignment horizontal="center"/>
    </xf>
    <xf numFmtId="169" fontId="1" fillId="4" borderId="49" xfId="0" applyNumberFormat="1" applyFont="1" applyFill="1" applyBorder="1" applyAlignment="1">
      <alignment horizontal="center" vertical="center"/>
    </xf>
    <xf numFmtId="0" fontId="1" fillId="4" borderId="50" xfId="0" applyFont="1" applyFill="1" applyBorder="1" applyAlignment="1">
      <alignment horizontal="center" vertical="center"/>
    </xf>
    <xf numFmtId="171" fontId="1" fillId="4" borderId="50" xfId="0" applyNumberFormat="1" applyFont="1" applyFill="1" applyBorder="1" applyAlignment="1">
      <alignment horizontal="center" vertical="center"/>
    </xf>
    <xf numFmtId="0" fontId="1" fillId="4" borderId="51" xfId="0" applyFont="1" applyFill="1" applyBorder="1" applyAlignment="1">
      <alignment horizontal="center" vertical="center"/>
    </xf>
    <xf numFmtId="0" fontId="10" fillId="0" borderId="0" xfId="0" applyFont="1" applyProtection="1">
      <protection locked="0"/>
    </xf>
    <xf numFmtId="0" fontId="10" fillId="17" borderId="0" xfId="0" applyFont="1" applyFill="1" applyProtection="1">
      <protection locked="0"/>
    </xf>
    <xf numFmtId="0" fontId="10" fillId="17" borderId="0" xfId="2" applyFont="1" applyFill="1"/>
    <xf numFmtId="9" fontId="10" fillId="17" borderId="0" xfId="2" applyNumberFormat="1" applyFont="1" applyFill="1"/>
    <xf numFmtId="0" fontId="10" fillId="17" borderId="0" xfId="0" applyFont="1" applyFill="1"/>
    <xf numFmtId="0" fontId="10" fillId="17" borderId="0" xfId="1" applyFont="1" applyFill="1"/>
    <xf numFmtId="14" fontId="10" fillId="17" borderId="0" xfId="0" applyNumberFormat="1" applyFont="1" applyFill="1" applyProtection="1">
      <protection locked="0"/>
    </xf>
    <xf numFmtId="0" fontId="10" fillId="17" borderId="0" xfId="2" applyFont="1" applyFill="1" applyProtection="1">
      <protection locked="0"/>
    </xf>
    <xf numFmtId="15" fontId="10" fillId="17" borderId="0" xfId="2" applyNumberFormat="1" applyFont="1" applyFill="1" applyProtection="1">
      <protection locked="0"/>
    </xf>
    <xf numFmtId="167" fontId="10" fillId="17" borderId="0" xfId="2" applyNumberFormat="1" applyFont="1" applyFill="1" applyProtection="1">
      <protection locked="0"/>
    </xf>
    <xf numFmtId="165" fontId="10" fillId="17" borderId="0" xfId="2" applyNumberFormat="1" applyFont="1" applyFill="1" applyProtection="1">
      <protection locked="0"/>
    </xf>
    <xf numFmtId="166" fontId="10" fillId="17" borderId="0" xfId="2" applyNumberFormat="1" applyFont="1" applyFill="1" applyProtection="1">
      <protection locked="0"/>
    </xf>
    <xf numFmtId="165" fontId="10" fillId="17" borderId="0" xfId="0" applyNumberFormat="1" applyFont="1" applyFill="1" applyProtection="1">
      <protection locked="0"/>
    </xf>
    <xf numFmtId="2" fontId="10" fillId="17" borderId="0" xfId="2" applyNumberFormat="1" applyFont="1" applyFill="1"/>
    <xf numFmtId="169" fontId="45" fillId="4" borderId="1" xfId="0" applyNumberFormat="1" applyFont="1" applyFill="1" applyBorder="1" applyAlignment="1">
      <alignment horizontal="center"/>
    </xf>
    <xf numFmtId="0" fontId="45" fillId="4" borderId="2" xfId="0" applyFont="1" applyFill="1" applyBorder="1" applyAlignment="1">
      <alignment horizontal="center"/>
    </xf>
    <xf numFmtId="171" fontId="45" fillId="4" borderId="2" xfId="0" applyNumberFormat="1" applyFont="1" applyFill="1" applyBorder="1" applyAlignment="1">
      <alignment horizontal="center"/>
    </xf>
    <xf numFmtId="0" fontId="45" fillId="4" borderId="3" xfId="0" applyFont="1" applyFill="1" applyBorder="1" applyAlignment="1">
      <alignment horizontal="center"/>
    </xf>
    <xf numFmtId="169" fontId="45" fillId="4" borderId="49" xfId="0" applyNumberFormat="1" applyFont="1" applyFill="1" applyBorder="1" applyAlignment="1">
      <alignment horizontal="center"/>
    </xf>
    <xf numFmtId="0" fontId="45" fillId="4" borderId="50" xfId="0" applyFont="1" applyFill="1" applyBorder="1" applyAlignment="1">
      <alignment horizontal="center"/>
    </xf>
    <xf numFmtId="171" fontId="45" fillId="4" borderId="50" xfId="0" applyNumberFormat="1" applyFont="1" applyFill="1" applyBorder="1" applyAlignment="1">
      <alignment horizontal="center"/>
    </xf>
    <xf numFmtId="0" fontId="45" fillId="4" borderId="51" xfId="0" applyFont="1" applyFill="1" applyBorder="1" applyAlignment="1">
      <alignment horizontal="center"/>
    </xf>
    <xf numFmtId="169" fontId="46" fillId="4" borderId="1" xfId="0" applyNumberFormat="1" applyFont="1" applyFill="1" applyBorder="1" applyAlignment="1">
      <alignment horizontal="center"/>
    </xf>
    <xf numFmtId="0" fontId="46" fillId="4" borderId="2" xfId="0" applyFont="1" applyFill="1" applyBorder="1" applyAlignment="1">
      <alignment horizontal="center"/>
    </xf>
    <xf numFmtId="171" fontId="46" fillId="4" borderId="2" xfId="0" applyNumberFormat="1" applyFont="1" applyFill="1" applyBorder="1" applyAlignment="1">
      <alignment horizontal="center"/>
    </xf>
    <xf numFmtId="0" fontId="46" fillId="4" borderId="3" xfId="0" applyFont="1" applyFill="1" applyBorder="1" applyAlignment="1">
      <alignment horizontal="center"/>
    </xf>
    <xf numFmtId="169" fontId="46" fillId="4" borderId="49" xfId="0" applyNumberFormat="1" applyFont="1" applyFill="1" applyBorder="1" applyAlignment="1">
      <alignment horizontal="center"/>
    </xf>
    <xf numFmtId="0" fontId="46" fillId="4" borderId="50" xfId="0" applyFont="1" applyFill="1" applyBorder="1" applyAlignment="1">
      <alignment horizontal="center"/>
    </xf>
    <xf numFmtId="171" fontId="46" fillId="4" borderId="50" xfId="0" applyNumberFormat="1" applyFont="1" applyFill="1" applyBorder="1" applyAlignment="1">
      <alignment horizontal="center"/>
    </xf>
    <xf numFmtId="0" fontId="46" fillId="4" borderId="51" xfId="0" applyFont="1" applyFill="1" applyBorder="1" applyAlignment="1">
      <alignment horizontal="center"/>
    </xf>
    <xf numFmtId="169" fontId="45" fillId="4" borderId="1" xfId="0" applyNumberFormat="1" applyFont="1" applyFill="1" applyBorder="1" applyAlignment="1">
      <alignment horizontal="center" vertical="center"/>
    </xf>
    <xf numFmtId="0" fontId="45" fillId="4" borderId="2" xfId="0" applyFont="1" applyFill="1" applyBorder="1" applyAlignment="1">
      <alignment horizontal="center" vertical="center"/>
    </xf>
    <xf numFmtId="171" fontId="45" fillId="4" borderId="2" xfId="0" applyNumberFormat="1" applyFont="1" applyFill="1" applyBorder="1" applyAlignment="1">
      <alignment horizontal="center" vertical="center"/>
    </xf>
    <xf numFmtId="0" fontId="45" fillId="4" borderId="3" xfId="0" applyFont="1" applyFill="1" applyBorder="1" applyAlignment="1">
      <alignment horizontal="center" vertical="center"/>
    </xf>
    <xf numFmtId="169" fontId="45" fillId="4" borderId="49" xfId="0" applyNumberFormat="1" applyFont="1" applyFill="1" applyBorder="1" applyAlignment="1">
      <alignment horizontal="center" vertical="center"/>
    </xf>
    <xf numFmtId="0" fontId="45" fillId="4" borderId="50" xfId="0" applyFont="1" applyFill="1" applyBorder="1" applyAlignment="1">
      <alignment horizontal="center" vertical="center"/>
    </xf>
    <xf numFmtId="171" fontId="45" fillId="4" borderId="50" xfId="0" applyNumberFormat="1" applyFont="1" applyFill="1" applyBorder="1" applyAlignment="1">
      <alignment horizontal="center" vertical="center"/>
    </xf>
    <xf numFmtId="0" fontId="45" fillId="4" borderId="51" xfId="0" applyFont="1" applyFill="1" applyBorder="1" applyAlignment="1">
      <alignment horizontal="center" vertical="center"/>
    </xf>
    <xf numFmtId="169" fontId="45" fillId="4" borderId="0" xfId="0" applyNumberFormat="1" applyFont="1" applyFill="1" applyAlignment="1">
      <alignment horizontal="center"/>
    </xf>
    <xf numFmtId="0" fontId="45" fillId="4" borderId="0" xfId="0" applyFont="1" applyFill="1" applyAlignment="1">
      <alignment horizontal="center"/>
    </xf>
    <xf numFmtId="171" fontId="45" fillId="4" borderId="0" xfId="0" applyNumberFormat="1" applyFont="1" applyFill="1" applyAlignment="1">
      <alignment horizontal="center"/>
    </xf>
    <xf numFmtId="15" fontId="0" fillId="0" borderId="0" xfId="0" applyNumberFormat="1"/>
    <xf numFmtId="3" fontId="0" fillId="0" borderId="0" xfId="0" applyNumberFormat="1"/>
    <xf numFmtId="0" fontId="10" fillId="19" borderId="0" xfId="0" applyFont="1" applyFill="1" applyProtection="1">
      <protection locked="0"/>
    </xf>
    <xf numFmtId="0" fontId="10" fillId="19" borderId="0" xfId="2" applyFont="1" applyFill="1"/>
    <xf numFmtId="9" fontId="10" fillId="19" borderId="0" xfId="2" applyNumberFormat="1" applyFont="1" applyFill="1"/>
    <xf numFmtId="0" fontId="10" fillId="19" borderId="0" xfId="0" applyFont="1" applyFill="1"/>
    <xf numFmtId="0" fontId="10" fillId="19" borderId="0" xfId="1" applyFont="1" applyFill="1"/>
    <xf numFmtId="14" fontId="10" fillId="19" borderId="0" xfId="0" applyNumberFormat="1" applyFont="1" applyFill="1" applyProtection="1">
      <protection locked="0"/>
    </xf>
    <xf numFmtId="0" fontId="10" fillId="19" borderId="0" xfId="2" applyFont="1" applyFill="1" applyProtection="1">
      <protection locked="0"/>
    </xf>
    <xf numFmtId="15" fontId="10" fillId="19" borderId="0" xfId="2" applyNumberFormat="1" applyFont="1" applyFill="1" applyProtection="1">
      <protection locked="0"/>
    </xf>
    <xf numFmtId="167" fontId="10" fillId="19" borderId="0" xfId="2" applyNumberFormat="1" applyFont="1" applyFill="1" applyProtection="1">
      <protection locked="0"/>
    </xf>
    <xf numFmtId="165" fontId="10" fillId="19" borderId="0" xfId="2" applyNumberFormat="1" applyFont="1" applyFill="1" applyProtection="1">
      <protection locked="0"/>
    </xf>
    <xf numFmtId="166" fontId="10" fillId="19" borderId="0" xfId="2" applyNumberFormat="1" applyFont="1" applyFill="1" applyProtection="1">
      <protection locked="0"/>
    </xf>
    <xf numFmtId="165" fontId="10" fillId="19" borderId="0" xfId="0" applyNumberFormat="1" applyFont="1" applyFill="1" applyProtection="1">
      <protection locked="0"/>
    </xf>
    <xf numFmtId="2" fontId="10" fillId="19" borderId="0" xfId="2" applyNumberFormat="1" applyFont="1" applyFill="1"/>
    <xf numFmtId="0" fontId="10" fillId="20" borderId="0" xfId="0" applyFont="1" applyFill="1" applyProtection="1">
      <protection locked="0"/>
    </xf>
    <xf numFmtId="0" fontId="10" fillId="20" borderId="0" xfId="2" applyFont="1" applyFill="1"/>
    <xf numFmtId="9" fontId="10" fillId="20" borderId="0" xfId="2" applyNumberFormat="1" applyFont="1" applyFill="1"/>
    <xf numFmtId="0" fontId="10" fillId="20" borderId="0" xfId="0" applyFont="1" applyFill="1"/>
    <xf numFmtId="0" fontId="10" fillId="20" borderId="0" xfId="1" applyFont="1" applyFill="1"/>
    <xf numFmtId="14" fontId="10" fillId="20" borderId="0" xfId="0" applyNumberFormat="1" applyFont="1" applyFill="1" applyProtection="1">
      <protection locked="0"/>
    </xf>
    <xf numFmtId="0" fontId="10" fillId="20" borderId="0" xfId="2" applyFont="1" applyFill="1" applyProtection="1">
      <protection locked="0"/>
    </xf>
    <xf numFmtId="15" fontId="10" fillId="20" borderId="0" xfId="2" applyNumberFormat="1" applyFont="1" applyFill="1" applyProtection="1">
      <protection locked="0"/>
    </xf>
    <xf numFmtId="167" fontId="10" fillId="20" borderId="0" xfId="2" applyNumberFormat="1" applyFont="1" applyFill="1" applyProtection="1">
      <protection locked="0"/>
    </xf>
    <xf numFmtId="165" fontId="10" fillId="20" borderId="0" xfId="2" applyNumberFormat="1" applyFont="1" applyFill="1" applyProtection="1">
      <protection locked="0"/>
    </xf>
    <xf numFmtId="166" fontId="10" fillId="20" borderId="0" xfId="2" applyNumberFormat="1" applyFont="1" applyFill="1" applyProtection="1">
      <protection locked="0"/>
    </xf>
    <xf numFmtId="165" fontId="10" fillId="20" borderId="0" xfId="0" applyNumberFormat="1" applyFont="1" applyFill="1" applyProtection="1">
      <protection locked="0"/>
    </xf>
    <xf numFmtId="2" fontId="10" fillId="20" borderId="0" xfId="2" applyNumberFormat="1" applyFont="1" applyFill="1"/>
    <xf numFmtId="0" fontId="0" fillId="0" borderId="0" xfId="0" applyAlignment="1">
      <alignment vertical="center" wrapText="1"/>
    </xf>
    <xf numFmtId="0" fontId="0" fillId="21" borderId="0" xfId="0" applyFill="1" applyAlignment="1">
      <alignment horizontal="center"/>
    </xf>
    <xf numFmtId="167" fontId="0" fillId="21" borderId="0" xfId="0" applyNumberFormat="1" applyFill="1" applyAlignment="1">
      <alignment horizontal="center"/>
    </xf>
    <xf numFmtId="2" fontId="0" fillId="21" borderId="0" xfId="0" applyNumberFormat="1" applyFill="1" applyAlignment="1">
      <alignment horizontal="center"/>
    </xf>
    <xf numFmtId="176" fontId="22" fillId="13" borderId="0" xfId="0" applyNumberFormat="1" applyFont="1" applyFill="1" applyAlignment="1">
      <alignment horizontal="center"/>
    </xf>
    <xf numFmtId="172" fontId="22" fillId="6" borderId="0" xfId="0" applyNumberFormat="1" applyFont="1" applyFill="1" applyAlignment="1">
      <alignment horizontal="center"/>
    </xf>
    <xf numFmtId="172" fontId="22" fillId="6" borderId="0" xfId="0" applyNumberFormat="1" applyFont="1" applyFill="1"/>
    <xf numFmtId="167" fontId="0" fillId="6" borderId="0" xfId="0" applyNumberFormat="1" applyFill="1" applyAlignment="1">
      <alignment horizontal="center"/>
    </xf>
    <xf numFmtId="169" fontId="18" fillId="2" borderId="52" xfId="0" applyNumberFormat="1" applyFont="1" applyFill="1" applyBorder="1"/>
    <xf numFmtId="0" fontId="18" fillId="2" borderId="53" xfId="0" applyFont="1" applyFill="1" applyBorder="1"/>
    <xf numFmtId="0" fontId="18" fillId="2" borderId="53" xfId="1" applyFont="1" applyFill="1" applyBorder="1"/>
    <xf numFmtId="0" fontId="18" fillId="2" borderId="54" xfId="0" applyFont="1" applyFill="1" applyBorder="1"/>
    <xf numFmtId="0" fontId="0" fillId="0" borderId="2" xfId="0" applyBorder="1"/>
    <xf numFmtId="0" fontId="0" fillId="22" borderId="2" xfId="0" applyFill="1" applyBorder="1"/>
    <xf numFmtId="169" fontId="48" fillId="4" borderId="1" xfId="0" applyNumberFormat="1" applyFont="1" applyFill="1" applyBorder="1" applyAlignment="1">
      <alignment horizontal="center"/>
    </xf>
    <xf numFmtId="0" fontId="48" fillId="4" borderId="2" xfId="0" applyFont="1" applyFill="1" applyBorder="1" applyAlignment="1">
      <alignment horizontal="center"/>
    </xf>
    <xf numFmtId="171" fontId="48" fillId="4" borderId="2" xfId="0" applyNumberFormat="1" applyFont="1" applyFill="1" applyBorder="1" applyAlignment="1">
      <alignment horizontal="center"/>
    </xf>
    <xf numFmtId="0" fontId="48" fillId="4" borderId="3" xfId="0" applyFont="1" applyFill="1" applyBorder="1" applyAlignment="1">
      <alignment horizontal="center"/>
    </xf>
    <xf numFmtId="169" fontId="49" fillId="4" borderId="1" xfId="0" applyNumberFormat="1" applyFont="1" applyFill="1" applyBorder="1" applyAlignment="1">
      <alignment horizontal="center"/>
    </xf>
    <xf numFmtId="0" fontId="49" fillId="4" borderId="2" xfId="0" applyFont="1" applyFill="1" applyBorder="1" applyAlignment="1">
      <alignment horizontal="center"/>
    </xf>
    <xf numFmtId="171" fontId="49" fillId="4" borderId="2" xfId="0" applyNumberFormat="1" applyFont="1" applyFill="1" applyBorder="1" applyAlignment="1">
      <alignment horizontal="center"/>
    </xf>
    <xf numFmtId="0" fontId="49" fillId="4" borderId="3" xfId="0" applyFont="1" applyFill="1" applyBorder="1" applyAlignment="1">
      <alignment horizontal="center"/>
    </xf>
    <xf numFmtId="169" fontId="48" fillId="4" borderId="1" xfId="0" applyNumberFormat="1" applyFont="1" applyFill="1" applyBorder="1" applyAlignment="1">
      <alignment horizontal="center" vertical="center"/>
    </xf>
    <xf numFmtId="0" fontId="48" fillId="4" borderId="2" xfId="0" applyFont="1" applyFill="1" applyBorder="1" applyAlignment="1">
      <alignment horizontal="center" vertical="center"/>
    </xf>
    <xf numFmtId="171" fontId="48" fillId="4" borderId="2" xfId="0" applyNumberFormat="1" applyFont="1" applyFill="1" applyBorder="1" applyAlignment="1">
      <alignment horizontal="center" vertical="center"/>
    </xf>
    <xf numFmtId="0" fontId="48" fillId="4" borderId="3" xfId="0" applyFont="1" applyFill="1" applyBorder="1" applyAlignment="1">
      <alignment horizontal="center" vertical="center"/>
    </xf>
    <xf numFmtId="169" fontId="48" fillId="4" borderId="0" xfId="0" applyNumberFormat="1" applyFont="1" applyFill="1" applyAlignment="1">
      <alignment horizontal="center"/>
    </xf>
    <xf numFmtId="0" fontId="48" fillId="4" borderId="0" xfId="0" applyFont="1" applyFill="1" applyAlignment="1">
      <alignment horizontal="center"/>
    </xf>
    <xf numFmtId="171" fontId="48" fillId="4" borderId="0" xfId="0" applyNumberFormat="1" applyFont="1" applyFill="1" applyAlignment="1">
      <alignment horizontal="center"/>
    </xf>
    <xf numFmtId="169" fontId="50" fillId="4" borderId="1" xfId="0" applyNumberFormat="1" applyFont="1" applyFill="1" applyBorder="1" applyAlignment="1">
      <alignment horizontal="center"/>
    </xf>
    <xf numFmtId="0" fontId="50" fillId="4" borderId="2" xfId="0" applyFont="1" applyFill="1" applyBorder="1" applyAlignment="1">
      <alignment horizontal="center"/>
    </xf>
    <xf numFmtId="171" fontId="50" fillId="4" borderId="2" xfId="0" applyNumberFormat="1" applyFont="1" applyFill="1" applyBorder="1" applyAlignment="1">
      <alignment horizontal="center"/>
    </xf>
    <xf numFmtId="0" fontId="50" fillId="4" borderId="3" xfId="0" applyFont="1" applyFill="1" applyBorder="1" applyAlignment="1">
      <alignment horizontal="center"/>
    </xf>
    <xf numFmtId="169" fontId="50" fillId="4" borderId="49" xfId="0" applyNumberFormat="1" applyFont="1" applyFill="1" applyBorder="1" applyAlignment="1">
      <alignment horizontal="center"/>
    </xf>
    <xf numFmtId="0" fontId="50" fillId="4" borderId="50" xfId="0" applyFont="1" applyFill="1" applyBorder="1" applyAlignment="1">
      <alignment horizontal="center"/>
    </xf>
    <xf numFmtId="171" fontId="50" fillId="4" borderId="50" xfId="0" applyNumberFormat="1" applyFont="1" applyFill="1" applyBorder="1" applyAlignment="1">
      <alignment horizontal="center"/>
    </xf>
    <xf numFmtId="0" fontId="50" fillId="4" borderId="51" xfId="0" applyFont="1" applyFill="1" applyBorder="1" applyAlignment="1">
      <alignment horizontal="center"/>
    </xf>
    <xf numFmtId="169" fontId="51" fillId="4" borderId="1" xfId="0" applyNumberFormat="1" applyFont="1" applyFill="1" applyBorder="1" applyAlignment="1">
      <alignment horizontal="center"/>
    </xf>
    <xf numFmtId="0" fontId="51" fillId="4" borderId="2" xfId="0" applyFont="1" applyFill="1" applyBorder="1" applyAlignment="1">
      <alignment horizontal="center"/>
    </xf>
    <xf numFmtId="171" fontId="51" fillId="4" borderId="2" xfId="0" applyNumberFormat="1" applyFont="1" applyFill="1" applyBorder="1" applyAlignment="1">
      <alignment horizontal="center"/>
    </xf>
    <xf numFmtId="0" fontId="51" fillId="4" borderId="3" xfId="0" applyFont="1" applyFill="1" applyBorder="1" applyAlignment="1">
      <alignment horizontal="center"/>
    </xf>
    <xf numFmtId="169" fontId="51" fillId="4" borderId="49" xfId="0" applyNumberFormat="1" applyFont="1" applyFill="1" applyBorder="1" applyAlignment="1">
      <alignment horizontal="center"/>
    </xf>
    <xf numFmtId="0" fontId="51" fillId="4" borderId="50" xfId="0" applyFont="1" applyFill="1" applyBorder="1" applyAlignment="1">
      <alignment horizontal="center"/>
    </xf>
    <xf numFmtId="169" fontId="50" fillId="4" borderId="1" xfId="0" applyNumberFormat="1" applyFont="1" applyFill="1" applyBorder="1" applyAlignment="1">
      <alignment horizontal="center" vertical="center"/>
    </xf>
    <xf numFmtId="0" fontId="50" fillId="4" borderId="2" xfId="0" applyFont="1" applyFill="1" applyBorder="1" applyAlignment="1">
      <alignment horizontal="center" vertical="center"/>
    </xf>
    <xf numFmtId="171" fontId="50" fillId="4" borderId="2" xfId="0" applyNumberFormat="1" applyFont="1" applyFill="1" applyBorder="1" applyAlignment="1">
      <alignment horizontal="center" vertical="center"/>
    </xf>
    <xf numFmtId="0" fontId="50" fillId="4" borderId="3" xfId="0" applyFont="1" applyFill="1" applyBorder="1" applyAlignment="1">
      <alignment horizontal="center" vertical="center"/>
    </xf>
    <xf numFmtId="169" fontId="50" fillId="4" borderId="49" xfId="0" applyNumberFormat="1" applyFont="1" applyFill="1" applyBorder="1" applyAlignment="1">
      <alignment horizontal="center" vertical="center"/>
    </xf>
    <xf numFmtId="0" fontId="50" fillId="4" borderId="50" xfId="0" applyFont="1" applyFill="1" applyBorder="1" applyAlignment="1">
      <alignment horizontal="center" vertical="center"/>
    </xf>
    <xf numFmtId="171" fontId="50" fillId="4" borderId="50" xfId="0" applyNumberFormat="1" applyFont="1" applyFill="1" applyBorder="1" applyAlignment="1">
      <alignment horizontal="center" vertical="center"/>
    </xf>
    <xf numFmtId="0" fontId="50" fillId="4" borderId="51" xfId="0" applyFont="1" applyFill="1" applyBorder="1" applyAlignment="1">
      <alignment horizontal="center" vertical="center"/>
    </xf>
    <xf numFmtId="169" fontId="50" fillId="4" borderId="0" xfId="0" applyNumberFormat="1" applyFont="1" applyFill="1" applyAlignment="1">
      <alignment horizontal="center"/>
    </xf>
    <xf numFmtId="0" fontId="50" fillId="4" borderId="0" xfId="0" applyFont="1" applyFill="1" applyAlignment="1">
      <alignment horizontal="center"/>
    </xf>
    <xf numFmtId="171" fontId="50" fillId="4" borderId="0" xfId="0" applyNumberFormat="1" applyFont="1" applyFill="1" applyAlignment="1">
      <alignment horizontal="center"/>
    </xf>
    <xf numFmtId="169" fontId="52" fillId="4" borderId="1" xfId="0" applyNumberFormat="1" applyFont="1" applyFill="1" applyBorder="1" applyAlignment="1">
      <alignment horizontal="center"/>
    </xf>
    <xf numFmtId="0" fontId="52" fillId="4" borderId="2" xfId="0" applyFont="1" applyFill="1" applyBorder="1" applyAlignment="1">
      <alignment horizontal="center"/>
    </xf>
    <xf numFmtId="171" fontId="52" fillId="4" borderId="2" xfId="0" applyNumberFormat="1" applyFont="1" applyFill="1" applyBorder="1" applyAlignment="1">
      <alignment horizontal="center"/>
    </xf>
    <xf numFmtId="0" fontId="52" fillId="4" borderId="3" xfId="0" applyFont="1" applyFill="1" applyBorder="1" applyAlignment="1">
      <alignment horizontal="center"/>
    </xf>
    <xf numFmtId="169" fontId="53" fillId="4" borderId="1" xfId="0" applyNumberFormat="1" applyFont="1" applyFill="1" applyBorder="1" applyAlignment="1">
      <alignment horizontal="center"/>
    </xf>
    <xf numFmtId="0" fontId="53" fillId="4" borderId="2" xfId="0" applyFont="1" applyFill="1" applyBorder="1" applyAlignment="1">
      <alignment horizontal="center"/>
    </xf>
    <xf numFmtId="171" fontId="53" fillId="4" borderId="2" xfId="0" applyNumberFormat="1" applyFont="1" applyFill="1" applyBorder="1" applyAlignment="1">
      <alignment horizontal="center"/>
    </xf>
    <xf numFmtId="0" fontId="53" fillId="4" borderId="3" xfId="0" applyFont="1" applyFill="1" applyBorder="1" applyAlignment="1">
      <alignment horizontal="center"/>
    </xf>
    <xf numFmtId="169" fontId="52" fillId="4" borderId="1" xfId="0" applyNumberFormat="1" applyFont="1" applyFill="1" applyBorder="1" applyAlignment="1">
      <alignment horizontal="center" vertical="center"/>
    </xf>
    <xf numFmtId="0" fontId="52" fillId="4" borderId="2" xfId="0" applyFont="1" applyFill="1" applyBorder="1" applyAlignment="1">
      <alignment horizontal="center" vertical="center"/>
    </xf>
    <xf numFmtId="171" fontId="52" fillId="4" borderId="2" xfId="0" applyNumberFormat="1" applyFont="1" applyFill="1" applyBorder="1" applyAlignment="1">
      <alignment horizontal="center" vertical="center"/>
    </xf>
    <xf numFmtId="0" fontId="52" fillId="4" borderId="3" xfId="0" applyFont="1" applyFill="1" applyBorder="1" applyAlignment="1">
      <alignment horizontal="center" vertical="center"/>
    </xf>
    <xf numFmtId="169" fontId="52" fillId="4" borderId="0" xfId="0" applyNumberFormat="1" applyFont="1" applyFill="1" applyAlignment="1">
      <alignment horizontal="center"/>
    </xf>
    <xf numFmtId="0" fontId="52" fillId="4" borderId="0" xfId="0" applyFont="1" applyFill="1" applyAlignment="1">
      <alignment horizontal="center"/>
    </xf>
    <xf numFmtId="171" fontId="52" fillId="4" borderId="0" xfId="0" applyNumberFormat="1" applyFont="1" applyFill="1" applyAlignment="1">
      <alignment horizontal="center"/>
    </xf>
    <xf numFmtId="169" fontId="54" fillId="4" borderId="1" xfId="0" applyNumberFormat="1" applyFont="1" applyFill="1" applyBorder="1" applyAlignment="1">
      <alignment horizontal="center"/>
    </xf>
    <xf numFmtId="0" fontId="54" fillId="4" borderId="2" xfId="0" applyFont="1" applyFill="1" applyBorder="1" applyAlignment="1">
      <alignment horizontal="center"/>
    </xf>
    <xf numFmtId="171" fontId="54" fillId="4" borderId="2" xfId="0" applyNumberFormat="1" applyFont="1" applyFill="1" applyBorder="1" applyAlignment="1">
      <alignment horizontal="center"/>
    </xf>
    <xf numFmtId="0" fontId="54" fillId="4" borderId="3" xfId="0" applyFont="1" applyFill="1" applyBorder="1" applyAlignment="1">
      <alignment horizontal="center"/>
    </xf>
    <xf numFmtId="169" fontId="55" fillId="4" borderId="1" xfId="0" applyNumberFormat="1" applyFont="1" applyFill="1" applyBorder="1" applyAlignment="1">
      <alignment horizontal="center"/>
    </xf>
    <xf numFmtId="0" fontId="55" fillId="4" borderId="2" xfId="0" applyFont="1" applyFill="1" applyBorder="1" applyAlignment="1">
      <alignment horizontal="center"/>
    </xf>
    <xf numFmtId="171" fontId="55" fillId="4" borderId="2" xfId="0" applyNumberFormat="1" applyFont="1" applyFill="1" applyBorder="1" applyAlignment="1">
      <alignment horizontal="center"/>
    </xf>
    <xf numFmtId="0" fontId="55" fillId="4" borderId="3" xfId="0" applyFont="1" applyFill="1" applyBorder="1" applyAlignment="1">
      <alignment horizontal="center"/>
    </xf>
    <xf numFmtId="169" fontId="54" fillId="4" borderId="1" xfId="0" applyNumberFormat="1" applyFont="1" applyFill="1" applyBorder="1" applyAlignment="1">
      <alignment horizontal="center" vertical="center"/>
    </xf>
    <xf numFmtId="0" fontId="54" fillId="4" borderId="2" xfId="0" applyFont="1" applyFill="1" applyBorder="1" applyAlignment="1">
      <alignment horizontal="center" vertical="center"/>
    </xf>
    <xf numFmtId="171" fontId="54" fillId="4" borderId="2" xfId="0" applyNumberFormat="1" applyFont="1" applyFill="1" applyBorder="1" applyAlignment="1">
      <alignment horizontal="center" vertical="center"/>
    </xf>
    <xf numFmtId="0" fontId="54" fillId="4" borderId="3" xfId="0" applyFont="1" applyFill="1" applyBorder="1" applyAlignment="1">
      <alignment horizontal="center" vertical="center"/>
    </xf>
    <xf numFmtId="169" fontId="54" fillId="4" borderId="0" xfId="0" applyNumberFormat="1" applyFont="1" applyFill="1" applyAlignment="1">
      <alignment horizontal="center"/>
    </xf>
    <xf numFmtId="0" fontId="54" fillId="4" borderId="0" xfId="0" applyFont="1" applyFill="1" applyAlignment="1">
      <alignment horizontal="center"/>
    </xf>
    <xf numFmtId="171" fontId="54" fillId="4" borderId="0" xfId="0" applyNumberFormat="1" applyFont="1" applyFill="1" applyAlignment="1">
      <alignment horizontal="center"/>
    </xf>
    <xf numFmtId="169" fontId="56" fillId="4" borderId="1" xfId="0" applyNumberFormat="1" applyFont="1" applyFill="1" applyBorder="1" applyAlignment="1">
      <alignment horizontal="center"/>
    </xf>
    <xf numFmtId="0" fontId="56" fillId="4" borderId="2" xfId="0" applyFont="1" applyFill="1" applyBorder="1" applyAlignment="1">
      <alignment horizontal="center"/>
    </xf>
    <xf numFmtId="171" fontId="56" fillId="4" borderId="2" xfId="0" applyNumberFormat="1" applyFont="1" applyFill="1" applyBorder="1" applyAlignment="1">
      <alignment horizontal="center"/>
    </xf>
    <xf numFmtId="0" fontId="56" fillId="4" borderId="3" xfId="0" applyFont="1" applyFill="1" applyBorder="1" applyAlignment="1">
      <alignment horizontal="center"/>
    </xf>
    <xf numFmtId="169" fontId="57" fillId="4" borderId="1" xfId="0" applyNumberFormat="1" applyFont="1" applyFill="1" applyBorder="1" applyAlignment="1">
      <alignment horizontal="center"/>
    </xf>
    <xf numFmtId="0" fontId="57" fillId="4" borderId="2" xfId="0" applyFont="1" applyFill="1" applyBorder="1" applyAlignment="1">
      <alignment horizontal="center"/>
    </xf>
    <xf numFmtId="171" fontId="57" fillId="4" borderId="2" xfId="0" applyNumberFormat="1" applyFont="1" applyFill="1" applyBorder="1" applyAlignment="1">
      <alignment horizontal="center"/>
    </xf>
    <xf numFmtId="0" fontId="57" fillId="4" borderId="3" xfId="0" applyFont="1" applyFill="1" applyBorder="1" applyAlignment="1">
      <alignment horizontal="center"/>
    </xf>
    <xf numFmtId="169" fontId="56" fillId="4" borderId="1" xfId="0" applyNumberFormat="1" applyFont="1" applyFill="1" applyBorder="1" applyAlignment="1">
      <alignment horizontal="center" vertical="center"/>
    </xf>
    <xf numFmtId="0" fontId="56" fillId="4" borderId="2" xfId="0" applyFont="1" applyFill="1" applyBorder="1" applyAlignment="1">
      <alignment horizontal="center" vertical="center"/>
    </xf>
    <xf numFmtId="171" fontId="56" fillId="4" borderId="2" xfId="0" applyNumberFormat="1" applyFont="1" applyFill="1" applyBorder="1" applyAlignment="1">
      <alignment horizontal="center" vertical="center"/>
    </xf>
    <xf numFmtId="0" fontId="56" fillId="4" borderId="3" xfId="0" applyFont="1" applyFill="1" applyBorder="1" applyAlignment="1">
      <alignment horizontal="center" vertical="center"/>
    </xf>
    <xf numFmtId="169" fontId="56" fillId="4" borderId="0" xfId="0" applyNumberFormat="1" applyFont="1" applyFill="1" applyAlignment="1">
      <alignment horizontal="center"/>
    </xf>
    <xf numFmtId="0" fontId="56" fillId="4" borderId="0" xfId="0" applyFont="1" applyFill="1" applyAlignment="1">
      <alignment horizontal="center"/>
    </xf>
    <xf numFmtId="171" fontId="56" fillId="4" borderId="0" xfId="0" applyNumberFormat="1" applyFont="1" applyFill="1" applyAlignment="1">
      <alignment horizontal="center"/>
    </xf>
    <xf numFmtId="169" fontId="58" fillId="4" borderId="1" xfId="0" applyNumberFormat="1" applyFont="1" applyFill="1" applyBorder="1" applyAlignment="1">
      <alignment horizontal="center"/>
    </xf>
    <xf numFmtId="0" fontId="58" fillId="4" borderId="2" xfId="0" applyFont="1" applyFill="1" applyBorder="1" applyAlignment="1">
      <alignment horizontal="center"/>
    </xf>
    <xf numFmtId="171" fontId="58" fillId="4" borderId="2" xfId="0" applyNumberFormat="1" applyFont="1" applyFill="1" applyBorder="1" applyAlignment="1">
      <alignment horizontal="center"/>
    </xf>
    <xf numFmtId="0" fontId="58" fillId="4" borderId="3" xfId="0" applyFont="1" applyFill="1" applyBorder="1" applyAlignment="1">
      <alignment horizontal="center"/>
    </xf>
    <xf numFmtId="169" fontId="59" fillId="4" borderId="1" xfId="0" applyNumberFormat="1" applyFont="1" applyFill="1" applyBorder="1" applyAlignment="1">
      <alignment horizontal="center"/>
    </xf>
    <xf numFmtId="0" fontId="59" fillId="4" borderId="2" xfId="0" applyFont="1" applyFill="1" applyBorder="1" applyAlignment="1">
      <alignment horizontal="center"/>
    </xf>
    <xf numFmtId="171" fontId="59" fillId="4" borderId="2" xfId="0" applyNumberFormat="1" applyFont="1" applyFill="1" applyBorder="1" applyAlignment="1">
      <alignment horizontal="center"/>
    </xf>
    <xf numFmtId="0" fontId="59" fillId="4" borderId="3" xfId="0" applyFont="1" applyFill="1" applyBorder="1" applyAlignment="1">
      <alignment horizontal="center"/>
    </xf>
    <xf numFmtId="169" fontId="58" fillId="4" borderId="1" xfId="0" applyNumberFormat="1" applyFont="1" applyFill="1" applyBorder="1" applyAlignment="1">
      <alignment horizontal="center" vertical="center"/>
    </xf>
    <xf numFmtId="0" fontId="58" fillId="4" borderId="2" xfId="0" applyFont="1" applyFill="1" applyBorder="1" applyAlignment="1">
      <alignment horizontal="center" vertical="center"/>
    </xf>
    <xf numFmtId="171" fontId="58" fillId="4" borderId="2" xfId="0" applyNumberFormat="1" applyFont="1" applyFill="1" applyBorder="1" applyAlignment="1">
      <alignment horizontal="center" vertical="center"/>
    </xf>
    <xf numFmtId="0" fontId="58" fillId="4" borderId="3" xfId="0" applyFont="1" applyFill="1" applyBorder="1" applyAlignment="1">
      <alignment horizontal="center" vertical="center"/>
    </xf>
    <xf numFmtId="169" fontId="58" fillId="4" borderId="0" xfId="0" applyNumberFormat="1" applyFont="1" applyFill="1" applyAlignment="1">
      <alignment horizontal="center"/>
    </xf>
    <xf numFmtId="0" fontId="58" fillId="4" borderId="0" xfId="0" applyFont="1" applyFill="1" applyAlignment="1">
      <alignment horizontal="center"/>
    </xf>
    <xf numFmtId="171" fontId="58" fillId="4" borderId="0" xfId="0" applyNumberFormat="1" applyFont="1" applyFill="1" applyAlignment="1">
      <alignment horizontal="center"/>
    </xf>
    <xf numFmtId="169" fontId="60" fillId="4" borderId="1" xfId="0" applyNumberFormat="1" applyFont="1" applyFill="1" applyBorder="1" applyAlignment="1">
      <alignment horizontal="center"/>
    </xf>
    <xf numFmtId="0" fontId="60" fillId="4" borderId="2" xfId="0" applyFont="1" applyFill="1" applyBorder="1" applyAlignment="1">
      <alignment horizontal="center"/>
    </xf>
    <xf numFmtId="171" fontId="60" fillId="4" borderId="2" xfId="0" applyNumberFormat="1" applyFont="1" applyFill="1" applyBorder="1" applyAlignment="1">
      <alignment horizontal="center"/>
    </xf>
    <xf numFmtId="0" fontId="60" fillId="4" borderId="3" xfId="0" applyFont="1" applyFill="1" applyBorder="1" applyAlignment="1">
      <alignment horizontal="center"/>
    </xf>
    <xf numFmtId="169" fontId="61" fillId="4" borderId="1" xfId="0" applyNumberFormat="1" applyFont="1" applyFill="1" applyBorder="1" applyAlignment="1">
      <alignment horizontal="center"/>
    </xf>
    <xf numFmtId="0" fontId="61" fillId="4" borderId="2" xfId="0" applyFont="1" applyFill="1" applyBorder="1" applyAlignment="1">
      <alignment horizontal="center"/>
    </xf>
    <xf numFmtId="171" fontId="61" fillId="4" borderId="2" xfId="0" applyNumberFormat="1" applyFont="1" applyFill="1" applyBorder="1" applyAlignment="1">
      <alignment horizontal="center"/>
    </xf>
    <xf numFmtId="0" fontId="61" fillId="4" borderId="3" xfId="0" applyFont="1" applyFill="1" applyBorder="1" applyAlignment="1">
      <alignment horizontal="center"/>
    </xf>
    <xf numFmtId="169" fontId="60" fillId="4" borderId="0" xfId="0" applyNumberFormat="1" applyFont="1" applyFill="1" applyAlignment="1">
      <alignment horizontal="center"/>
    </xf>
    <xf numFmtId="0" fontId="60" fillId="4" borderId="0" xfId="0" applyFont="1" applyFill="1" applyAlignment="1">
      <alignment horizontal="center"/>
    </xf>
    <xf numFmtId="171" fontId="60" fillId="4" borderId="0" xfId="0" applyNumberFormat="1" applyFont="1" applyFill="1" applyAlignment="1">
      <alignment horizontal="center"/>
    </xf>
    <xf numFmtId="169" fontId="60" fillId="4" borderId="1" xfId="0" applyNumberFormat="1" applyFont="1" applyFill="1" applyBorder="1" applyAlignment="1">
      <alignment horizontal="center" vertical="center"/>
    </xf>
    <xf numFmtId="0" fontId="60" fillId="4" borderId="2" xfId="0" applyFont="1" applyFill="1" applyBorder="1" applyAlignment="1">
      <alignment horizontal="center" vertical="center"/>
    </xf>
    <xf numFmtId="171" fontId="60" fillId="4" borderId="2" xfId="0" applyNumberFormat="1" applyFont="1" applyFill="1" applyBorder="1" applyAlignment="1">
      <alignment horizontal="center" vertical="center"/>
    </xf>
    <xf numFmtId="0" fontId="60" fillId="4" borderId="3" xfId="0" applyFont="1" applyFill="1" applyBorder="1" applyAlignment="1">
      <alignment horizontal="center" vertical="center"/>
    </xf>
    <xf numFmtId="169" fontId="62" fillId="4" borderId="1" xfId="0" applyNumberFormat="1" applyFont="1" applyFill="1" applyBorder="1" applyAlignment="1">
      <alignment horizontal="center"/>
    </xf>
    <xf numFmtId="0" fontId="62" fillId="4" borderId="2" xfId="0" applyFont="1" applyFill="1" applyBorder="1" applyAlignment="1">
      <alignment horizontal="center"/>
    </xf>
    <xf numFmtId="171" fontId="62" fillId="4" borderId="2" xfId="0" applyNumberFormat="1" applyFont="1" applyFill="1" applyBorder="1" applyAlignment="1">
      <alignment horizontal="center"/>
    </xf>
    <xf numFmtId="0" fontId="62" fillId="4" borderId="3" xfId="0" applyFont="1" applyFill="1" applyBorder="1" applyAlignment="1">
      <alignment horizontal="center"/>
    </xf>
    <xf numFmtId="169" fontId="63" fillId="4" borderId="1" xfId="0" applyNumberFormat="1" applyFont="1" applyFill="1" applyBorder="1" applyAlignment="1">
      <alignment horizontal="center"/>
    </xf>
    <xf numFmtId="0" fontId="63" fillId="4" borderId="2" xfId="0" applyFont="1" applyFill="1" applyBorder="1" applyAlignment="1">
      <alignment horizontal="center"/>
    </xf>
    <xf numFmtId="171" fontId="63" fillId="4" borderId="2" xfId="0" applyNumberFormat="1" applyFont="1" applyFill="1" applyBorder="1" applyAlignment="1">
      <alignment horizontal="center"/>
    </xf>
    <xf numFmtId="0" fontId="63" fillId="4" borderId="3" xfId="0" applyFont="1" applyFill="1" applyBorder="1" applyAlignment="1">
      <alignment horizontal="center"/>
    </xf>
    <xf numFmtId="169" fontId="63" fillId="4" borderId="1" xfId="0" applyNumberFormat="1" applyFont="1" applyFill="1" applyBorder="1" applyAlignment="1">
      <alignment horizontal="center" vertical="center"/>
    </xf>
    <xf numFmtId="0" fontId="63" fillId="4" borderId="2" xfId="0" applyFont="1" applyFill="1" applyBorder="1" applyAlignment="1">
      <alignment horizontal="center" vertical="center"/>
    </xf>
    <xf numFmtId="171" fontId="63" fillId="4" borderId="2" xfId="0" applyNumberFormat="1" applyFont="1" applyFill="1" applyBorder="1" applyAlignment="1">
      <alignment horizontal="center" vertical="center"/>
    </xf>
    <xf numFmtId="0" fontId="63" fillId="4" borderId="3" xfId="0" applyFont="1" applyFill="1" applyBorder="1" applyAlignment="1">
      <alignment horizontal="center" vertical="center"/>
    </xf>
    <xf numFmtId="169" fontId="63" fillId="4" borderId="0" xfId="0" applyNumberFormat="1" applyFont="1" applyFill="1" applyAlignment="1">
      <alignment horizontal="center"/>
    </xf>
    <xf numFmtId="0" fontId="63" fillId="4" borderId="0" xfId="0" applyFont="1" applyFill="1" applyAlignment="1">
      <alignment horizontal="center"/>
    </xf>
    <xf numFmtId="171" fontId="63" fillId="4" borderId="0" xfId="0" applyNumberFormat="1" applyFont="1" applyFill="1" applyAlignment="1">
      <alignment horizontal="center"/>
    </xf>
    <xf numFmtId="169" fontId="64" fillId="4" borderId="1" xfId="0" applyNumberFormat="1" applyFont="1" applyFill="1" applyBorder="1" applyAlignment="1">
      <alignment horizontal="center"/>
    </xf>
    <xf numFmtId="0" fontId="64" fillId="4" borderId="2" xfId="0" applyFont="1" applyFill="1" applyBorder="1" applyAlignment="1">
      <alignment horizontal="center"/>
    </xf>
    <xf numFmtId="171" fontId="64" fillId="4" borderId="2" xfId="0" applyNumberFormat="1" applyFont="1" applyFill="1" applyBorder="1" applyAlignment="1">
      <alignment horizontal="center"/>
    </xf>
    <xf numFmtId="0" fontId="64" fillId="4" borderId="3" xfId="0" applyFont="1" applyFill="1" applyBorder="1" applyAlignment="1">
      <alignment horizontal="center"/>
    </xf>
    <xf numFmtId="169" fontId="65" fillId="4" borderId="1" xfId="0" applyNumberFormat="1" applyFont="1" applyFill="1" applyBorder="1" applyAlignment="1">
      <alignment horizontal="center"/>
    </xf>
    <xf numFmtId="0" fontId="65" fillId="4" borderId="2" xfId="0" applyFont="1" applyFill="1" applyBorder="1" applyAlignment="1">
      <alignment horizontal="center"/>
    </xf>
    <xf numFmtId="171" fontId="65" fillId="4" borderId="2" xfId="0" applyNumberFormat="1" applyFont="1" applyFill="1" applyBorder="1" applyAlignment="1">
      <alignment horizontal="center"/>
    </xf>
    <xf numFmtId="0" fontId="65" fillId="4" borderId="3" xfId="0" applyFont="1" applyFill="1" applyBorder="1" applyAlignment="1">
      <alignment horizontal="center"/>
    </xf>
    <xf numFmtId="169" fontId="64" fillId="4" borderId="0" xfId="0" applyNumberFormat="1" applyFont="1" applyFill="1" applyAlignment="1">
      <alignment horizontal="center"/>
    </xf>
    <xf numFmtId="0" fontId="64" fillId="4" borderId="0" xfId="0" applyFont="1" applyFill="1" applyAlignment="1">
      <alignment horizontal="center"/>
    </xf>
    <xf numFmtId="171" fontId="64" fillId="4" borderId="0" xfId="0" applyNumberFormat="1" applyFont="1" applyFill="1" applyAlignment="1">
      <alignment horizontal="center"/>
    </xf>
    <xf numFmtId="169" fontId="64" fillId="4" borderId="1" xfId="0" applyNumberFormat="1" applyFont="1" applyFill="1" applyBorder="1" applyAlignment="1">
      <alignment horizontal="center" vertical="center"/>
    </xf>
    <xf numFmtId="0" fontId="64" fillId="4" borderId="2" xfId="0" applyFont="1" applyFill="1" applyBorder="1" applyAlignment="1">
      <alignment horizontal="center" vertical="center"/>
    </xf>
    <xf numFmtId="171" fontId="64" fillId="4" borderId="2" xfId="0" applyNumberFormat="1" applyFont="1" applyFill="1" applyBorder="1" applyAlignment="1">
      <alignment horizontal="center" vertical="center"/>
    </xf>
    <xf numFmtId="0" fontId="64" fillId="4" borderId="3" xfId="0" applyFont="1" applyFill="1" applyBorder="1" applyAlignment="1">
      <alignment horizontal="center" vertical="center"/>
    </xf>
    <xf numFmtId="169" fontId="66" fillId="4" borderId="1" xfId="0" applyNumberFormat="1" applyFont="1" applyFill="1" applyBorder="1" applyAlignment="1">
      <alignment horizontal="center"/>
    </xf>
    <xf numFmtId="0" fontId="66" fillId="4" borderId="2" xfId="0" applyFont="1" applyFill="1" applyBorder="1" applyAlignment="1">
      <alignment horizontal="center"/>
    </xf>
    <xf numFmtId="171" fontId="66" fillId="4" borderId="2" xfId="0" applyNumberFormat="1" applyFont="1" applyFill="1" applyBorder="1" applyAlignment="1">
      <alignment horizontal="center"/>
    </xf>
    <xf numFmtId="0" fontId="66" fillId="4" borderId="3" xfId="0" applyFont="1" applyFill="1" applyBorder="1" applyAlignment="1">
      <alignment horizontal="center"/>
    </xf>
    <xf numFmtId="169" fontId="67" fillId="4" borderId="1" xfId="0" applyNumberFormat="1" applyFont="1" applyFill="1" applyBorder="1" applyAlignment="1">
      <alignment horizontal="center"/>
    </xf>
    <xf numFmtId="0" fontId="67" fillId="4" borderId="2" xfId="0" applyFont="1" applyFill="1" applyBorder="1" applyAlignment="1">
      <alignment horizontal="center"/>
    </xf>
    <xf numFmtId="171" fontId="67" fillId="4" borderId="2" xfId="0" applyNumberFormat="1" applyFont="1" applyFill="1" applyBorder="1" applyAlignment="1">
      <alignment horizontal="center"/>
    </xf>
    <xf numFmtId="0" fontId="67" fillId="4" borderId="3" xfId="0" applyFont="1" applyFill="1" applyBorder="1" applyAlignment="1">
      <alignment horizontal="center"/>
    </xf>
    <xf numFmtId="169" fontId="66" fillId="4" borderId="1" xfId="0" applyNumberFormat="1" applyFont="1" applyFill="1" applyBorder="1" applyAlignment="1">
      <alignment horizontal="center" vertical="center"/>
    </xf>
    <xf numFmtId="0" fontId="66" fillId="4" borderId="2" xfId="0" applyFont="1" applyFill="1" applyBorder="1" applyAlignment="1">
      <alignment horizontal="center" vertical="center"/>
    </xf>
    <xf numFmtId="171" fontId="66" fillId="4" borderId="2" xfId="0" applyNumberFormat="1" applyFont="1" applyFill="1" applyBorder="1" applyAlignment="1">
      <alignment horizontal="center" vertical="center"/>
    </xf>
    <xf numFmtId="0" fontId="66" fillId="4" borderId="3" xfId="0" applyFont="1" applyFill="1" applyBorder="1" applyAlignment="1">
      <alignment horizontal="center" vertical="center"/>
    </xf>
    <xf numFmtId="169" fontId="66" fillId="4" borderId="0" xfId="0" applyNumberFormat="1" applyFont="1" applyFill="1" applyAlignment="1">
      <alignment horizontal="center"/>
    </xf>
    <xf numFmtId="0" fontId="66" fillId="4" borderId="0" xfId="0" applyFont="1" applyFill="1" applyAlignment="1">
      <alignment horizontal="center"/>
    </xf>
    <xf numFmtId="171" fontId="66" fillId="4" borderId="0" xfId="0" applyNumberFormat="1" applyFont="1" applyFill="1" applyAlignment="1">
      <alignment horizontal="center"/>
    </xf>
    <xf numFmtId="0" fontId="20" fillId="0" borderId="0" xfId="0" applyFont="1" applyAlignment="1" applyProtection="1">
      <alignment horizontal="center" wrapText="1"/>
      <protection locked="0"/>
    </xf>
    <xf numFmtId="0" fontId="39" fillId="0" borderId="0" xfId="0" applyFont="1" applyAlignment="1" applyProtection="1">
      <alignment horizontal="center" wrapText="1"/>
      <protection locked="0"/>
    </xf>
    <xf numFmtId="0" fontId="47" fillId="18" borderId="0" xfId="0" applyFont="1" applyFill="1" applyAlignment="1" applyProtection="1">
      <alignment horizontal="center"/>
      <protection locked="0"/>
    </xf>
  </cellXfs>
  <cellStyles count="15">
    <cellStyle name="Bad" xfId="14" builtinId="27"/>
    <cellStyle name="Comma 2" xfId="8" xr:uid="{00000000-0005-0000-0000-000000000000}"/>
    <cellStyle name="Comma 2 2" xfId="11" xr:uid="{00000000-0005-0000-0000-000001000000}"/>
    <cellStyle name="Comma 2 3" xfId="13" xr:uid="{00000000-0005-0000-0000-000002000000}"/>
    <cellStyle name="Euro" xfId="4" xr:uid="{00000000-0005-0000-0000-000003000000}"/>
    <cellStyle name="Hyperlink" xfId="1" builtinId="8"/>
    <cellStyle name="Hyperlink 2" xfId="7" xr:uid="{00000000-0005-0000-0000-000005000000}"/>
    <cellStyle name="Hyperlink 3" xfId="6" xr:uid="{00000000-0005-0000-0000-000006000000}"/>
    <cellStyle name="Normal" xfId="0" builtinId="0"/>
    <cellStyle name="Normal 2" xfId="2" xr:uid="{00000000-0005-0000-0000-000008000000}"/>
    <cellStyle name="Normal 2 2" xfId="10" xr:uid="{00000000-0005-0000-0000-000009000000}"/>
    <cellStyle name="Normal 2 3" xfId="12" xr:uid="{00000000-0005-0000-0000-00000A000000}"/>
    <cellStyle name="Normal 3" xfId="3" xr:uid="{00000000-0005-0000-0000-00000B000000}"/>
    <cellStyle name="Normal 3 2" xfId="9" xr:uid="{00000000-0005-0000-0000-00000C000000}"/>
    <cellStyle name="Normal 4" xfId="5" xr:uid="{00000000-0005-0000-0000-00000D000000}"/>
  </cellStyles>
  <dxfs count="231">
    <dxf>
      <numFmt numFmtId="177" formatCode="dd/mm/yyyy"/>
    </dxf>
    <dxf>
      <numFmt numFmtId="177" formatCode="dd/mm/yyyy"/>
    </dxf>
    <dxf>
      <numFmt numFmtId="178" formatCode="dd\-mmm\-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4"/>
        <color theme="7" tint="0.39997558519241921"/>
        <name val="Calibri"/>
        <family val="2"/>
        <scheme val="minor"/>
      </font>
      <fill>
        <patternFill patternType="solid">
          <fgColor indexed="64"/>
          <bgColor theme="9" tint="-0.499984740745262"/>
        </patternFill>
      </fill>
    </dxf>
    <dxf>
      <numFmt numFmtId="178" formatCode="dd\-mmm\-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4"/>
        <color theme="7" tint="0.39997558519241921"/>
        <name val="Calibri"/>
        <family val="2"/>
        <scheme val="minor"/>
      </font>
      <fill>
        <patternFill patternType="solid">
          <fgColor indexed="64"/>
          <bgColor theme="9" tint="-0.499984740745262"/>
        </patternFill>
      </fill>
    </dxf>
    <dxf>
      <numFmt numFmtId="178" formatCode="dd\-mmm\-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4"/>
        <color theme="7" tint="0.39997558519241921"/>
        <name val="Calibri"/>
        <family val="2"/>
        <scheme val="minor"/>
      </font>
      <fill>
        <patternFill patternType="solid">
          <fgColor indexed="64"/>
          <bgColor theme="9" tint="-0.499984740745262"/>
        </patternFill>
      </fill>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border diagonalUp="0" diagonalDown="0" outline="0">
        <left style="thin">
          <color auto="1"/>
        </left>
        <right style="thin">
          <color auto="1"/>
        </right>
        <top/>
        <bottom/>
      </border>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border diagonalUp="0" diagonalDown="0">
        <left style="thin">
          <color auto="1"/>
        </left>
        <right style="thin">
          <color auto="1"/>
        </right>
        <top/>
        <bottom/>
        <vertical style="thin">
          <color auto="1"/>
        </vertical>
        <horizontal style="thin">
          <color auto="1"/>
        </horizontal>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center"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1"/>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7" tint="0.39997558519241921"/>
        <name val="Calibri"/>
        <scheme val="minor"/>
      </font>
      <fill>
        <patternFill patternType="solid">
          <fgColor indexed="64"/>
          <bgColor theme="9" tint="-0.499984740745262"/>
        </patternFill>
      </fill>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6" formatCode="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7" formatCode="0.0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6" formatCode="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7" formatCode="0.0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6" formatCode="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7" formatCode="0.0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dxf>
    <dxf>
      <font>
        <b val="0"/>
        <i val="0"/>
        <strike val="0"/>
        <condense val="0"/>
        <extend val="0"/>
        <outline val="0"/>
        <shadow val="0"/>
        <u val="none"/>
        <vertAlign val="baseline"/>
        <sz val="14"/>
        <color theme="0"/>
        <name val="Calibri"/>
        <family val="2"/>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6" formatCode="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7" formatCode="0.0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78" formatCode="dd\-mmm\-yy"/>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79" formatCode="d\-mmm\-yy"/>
      <fill>
        <patternFill patternType="solid">
          <fgColor indexed="64"/>
          <bgColor rgb="FFC00000"/>
        </patternFill>
      </fill>
      <protection locked="0" hidden="0"/>
    </dxf>
    <dxf>
      <font>
        <b val="0"/>
        <i val="0"/>
        <strike val="0"/>
        <condense val="0"/>
        <extend val="0"/>
        <outline val="0"/>
        <shadow val="0"/>
        <u val="none"/>
        <vertAlign val="baseline"/>
        <sz val="14"/>
        <color auto="1"/>
        <name val="Calibri"/>
        <scheme val="minor"/>
      </font>
      <numFmt numFmtId="178" formatCode="dd\-mmm\-yy"/>
      <fill>
        <patternFill patternType="solid">
          <fgColor indexed="64"/>
          <bgColor rgb="FFC0000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1" tint="4.9989318521683403E-2"/>
        <name val="Calibri"/>
        <scheme val="minor"/>
      </font>
      <fill>
        <patternFill patternType="solid">
          <fgColor indexed="64"/>
          <bgColor rgb="FFC00000"/>
        </patternFill>
      </fill>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0" formatCode="General"/>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6" formatCode="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7" formatCode="0.0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79" formatCode="d\-mmm\-yy"/>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79" formatCode="d\-mmm\-yy"/>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0" formatCode="General"/>
      <fill>
        <patternFill patternType="solid">
          <fgColor indexed="64"/>
          <bgColor theme="4" tint="-0.499984740745262"/>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0" formatCode="General"/>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66" formatCode="0.0%"/>
      <fill>
        <patternFill patternType="solid">
          <fgColor indexed="64"/>
          <bgColor rgb="FFFF0000"/>
        </patternFill>
      </fill>
      <protection locked="0" hidden="0"/>
    </dxf>
    <dxf>
      <font>
        <b val="0"/>
        <i val="0"/>
        <strike val="0"/>
        <condense val="0"/>
        <extend val="0"/>
        <outline val="0"/>
        <shadow val="0"/>
        <u val="none"/>
        <vertAlign val="baseline"/>
        <sz val="11"/>
        <color rgb="FFFFFF00"/>
        <name val="Calibri"/>
        <scheme val="minor"/>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67" formatCode="0.000"/>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FF0000"/>
        </patternFill>
      </fill>
      <protection locked="0" hidden="0"/>
    </dxf>
    <dxf>
      <font>
        <b val="0"/>
        <i val="0"/>
        <strike val="0"/>
        <condense val="0"/>
        <extend val="0"/>
        <outline val="0"/>
        <shadow val="0"/>
        <u val="none"/>
        <vertAlign val="baseline"/>
        <sz val="11"/>
        <color rgb="FFFFC000"/>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1"/>
        <color rgb="FFFFFF00"/>
        <name val="Calibri"/>
        <scheme val="minor"/>
      </font>
      <fill>
        <patternFill patternType="none">
          <fgColor indexed="64"/>
          <bgColor indexed="65"/>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ill>
        <patternFill patternType="none">
          <fgColor indexed="64"/>
          <bgColor auto="1"/>
        </patternFill>
      </fill>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theme="7"/>
        <name val="Calibri"/>
        <scheme val="minor"/>
      </font>
      <numFmt numFmtId="166" formatCode="0.0%"/>
      <fill>
        <patternFill patternType="solid">
          <fgColor indexed="64"/>
          <bgColor rgb="FF5B9BD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67" formatCode="0.0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0" formatCode="General"/>
      <fill>
        <patternFill patternType="solid">
          <fgColor indexed="64"/>
          <bgColor theme="4"/>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5B9BD5"/>
        </patternFill>
      </fill>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name val="Calibri"/>
        <scheme val="minor"/>
      </font>
      <numFmt numFmtId="166" formatCode="0.0%"/>
      <fill>
        <patternFill patternType="solid">
          <fgColor indexed="64"/>
          <bgColor theme="1"/>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theme="1"/>
        </patternFill>
      </fill>
      <protection locked="0" hidden="0"/>
    </dxf>
    <dxf>
      <font>
        <b val="0"/>
        <i val="0"/>
        <strike val="0"/>
        <condense val="0"/>
        <extend val="0"/>
        <outline val="0"/>
        <shadow val="0"/>
        <u val="none"/>
        <vertAlign val="baseline"/>
        <sz val="14"/>
        <color theme="7"/>
        <name val="Calibri"/>
        <scheme val="minor"/>
      </font>
      <fill>
        <patternFill patternType="solid">
          <fgColor indexed="64"/>
          <bgColor theme="1"/>
        </patternFill>
      </fill>
      <protection locked="0" hidden="0"/>
    </dxf>
    <dxf>
      <font>
        <b val="0"/>
        <i val="0"/>
        <strike val="0"/>
        <condense val="0"/>
        <extend val="0"/>
        <outline val="0"/>
        <shadow val="0"/>
        <u val="none"/>
        <vertAlign val="baseline"/>
        <sz val="14"/>
        <color theme="7" tint="0.39997558519241921"/>
        <name val="Calibri"/>
        <scheme val="minor"/>
      </font>
      <numFmt numFmtId="167" formatCode="0.0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3" tint="0.79998168889431442"/>
        <name val="Calibri"/>
        <scheme val="minor"/>
      </font>
      <numFmt numFmtId="179" formatCode="d\-mmm\-yy"/>
      <fill>
        <patternFill patternType="solid">
          <fgColor indexed="64"/>
          <bgColor theme="1"/>
        </patternFill>
      </fill>
      <protection locked="0" hidden="0"/>
    </dxf>
    <dxf>
      <font>
        <b val="0"/>
        <i val="0"/>
        <strike val="0"/>
        <condense val="0"/>
        <extend val="0"/>
        <outline val="0"/>
        <shadow val="0"/>
        <u val="none"/>
        <vertAlign val="baseline"/>
        <sz val="14"/>
        <color theme="3" tint="0.79998168889431442"/>
        <name val="Calibri"/>
        <scheme val="minor"/>
      </font>
      <numFmt numFmtId="179" formatCode="d\-mmm\-yy"/>
      <fill>
        <patternFill patternType="solid">
          <fgColor indexed="64"/>
          <bgColor theme="1"/>
        </patternFill>
      </fill>
      <protection locked="0" hidden="0"/>
    </dxf>
    <dxf>
      <font>
        <b val="0"/>
        <i val="0"/>
        <strike val="0"/>
        <condense val="0"/>
        <extend val="0"/>
        <outline val="0"/>
        <shadow val="0"/>
        <u val="none"/>
        <vertAlign val="baseline"/>
        <sz val="14"/>
        <color theme="3" tint="0.79998168889431442"/>
        <name val="Calibri"/>
        <scheme val="minor"/>
      </font>
      <numFmt numFmtId="0" formatCode="General"/>
      <fill>
        <patternFill patternType="solid">
          <fgColor indexed="64"/>
          <bgColor theme="1"/>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theme="1" tint="4.9989318521683403E-2"/>
        </patternFill>
      </fill>
      <protection locked="0" hidden="0"/>
    </dxf>
    <dxf>
      <font>
        <b val="0"/>
        <i val="0"/>
        <strike val="0"/>
        <condense val="0"/>
        <extend val="0"/>
        <outline val="0"/>
        <shadow val="0"/>
        <u val="none"/>
        <vertAlign val="baseline"/>
        <sz val="14"/>
        <color theme="1" tint="4.9989318521683403E-2"/>
        <name val="Calibri"/>
        <scheme val="minor"/>
      </font>
      <fill>
        <patternFill patternType="solid">
          <fgColor indexed="64"/>
          <bgColor theme="1" tint="4.9989318521683403E-2"/>
        </patternFill>
      </fill>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numFmt numFmtId="0" formatCode="General"/>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6" formatCode="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7" formatCode="0.0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79" formatCode="d\-mmm\-yy"/>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79" formatCode="d\-mmm\-yy"/>
      <fill>
        <patternFill patternType="solid">
          <fgColor indexed="64"/>
          <bgColor rgb="FF548235"/>
        </patternFill>
      </fill>
      <protection locked="0" hidden="0"/>
    </dxf>
    <dxf>
      <font>
        <b val="0"/>
        <i val="0"/>
        <strike val="0"/>
        <condense val="0"/>
        <extend val="0"/>
        <outline val="0"/>
        <shadow val="0"/>
        <u val="none"/>
        <vertAlign val="baseline"/>
        <sz val="14"/>
        <color rgb="FFFFC000"/>
        <name val="Calibri"/>
        <scheme val="minor"/>
      </font>
      <numFmt numFmtId="0" formatCode="General"/>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dxf>
  </dxfs>
  <tableStyles count="0" defaultTableStyle="TableStyleMedium2" defaultPivotStyle="PivotStyleLight16"/>
  <colors>
    <mruColors>
      <color rgb="FF548235"/>
      <color rgb="FF5B9BD5"/>
      <color rgb="FFFFFF00"/>
      <color rgb="FFFF0000"/>
      <color rgb="FFC00000"/>
      <color rgb="FFFFFFFF"/>
      <color rgb="FF1F4E78"/>
      <color rgb="FFE8E8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v>
        <stp/>
        <stp>BDP|947221693897376861|22</stp>
        <stp>USSOFED6 Curncy</stp>
        <stp>LAST_PRICE</stp>
        <tr r="H45" s="1"/>
      </tp>
      <tp t="s">
        <v>#N/A Requesting Data...</v>
        <stp/>
        <stp>BDP|5772943704267873211|22</stp>
        <stp>GPSF3A Curncy</stp>
        <stp>LAST_PRICE</stp>
        <tr r="X25" s="1"/>
      </tp>
      <tp t="s">
        <v>#N/A Requesting Data...</v>
        <stp/>
        <stp>BDP|485513379524940503|22</stp>
        <stp>USSOFED2 Curncy</stp>
        <stp>LAST_PRICE</stp>
        <tr r="H41" s="1"/>
      </tp>
      <tp t="s">
        <v>#N/A Requesting Data...</v>
        <stp/>
        <stp>BDP|10354697745969573161|22</stp>
        <stp>CDSF1A BMOD Curncy</stp>
        <stp>LAST_PRICE</stp>
        <tr r="X40" s="1"/>
      </tp>
      <tp t="s">
        <v>#N/A Requesting Data...</v>
        <stp/>
        <stp>BDP|4944552386370874588|22</stp>
        <stp>GPSF1A Curncy</stp>
        <stp>LAST_PRICE</stp>
        <tr r="X23" s="1"/>
      </tp>
      <tp t="s">
        <v>#N/A Requesting Data...</v>
        <stp/>
        <stp>BDP|791649315895821845|22</stp>
        <stp>USSOFED8 Curncy</stp>
        <stp>LAST_PRICE</stp>
        <tr r="H47" s="1"/>
      </tp>
      <tp t="s">
        <v>#N/A Requesting Data...</v>
        <stp/>
        <stp>BDP|17393260605939276838|22</stp>
        <stp>CDSF3A BMOD Curncy</stp>
        <stp>LAST_PRICE</stp>
        <tr r="X42" s="1"/>
      </tp>
      <tp t="s">
        <v>#N/A Requesting Data...</v>
        <stp/>
        <stp>BDP|10391853205392486341|22</stp>
        <stp>CDSF6A BMOD Curncy</stp>
        <stp>LAST_PRICE</stp>
        <tr r="X45" s="1"/>
      </tp>
      <tp t="s">
        <v>#N/A Requesting Data...</v>
        <stp/>
        <stp>BDP|17709929134634554474|22</stp>
        <stp>CDSF4A BMOD Curncy</stp>
        <stp>LAST_PRICE</stp>
        <tr r="X43" s="1"/>
      </tp>
      <tp t="s">
        <v>#N/A Requesting Data...</v>
        <stp/>
        <stp>BDP|12502318677685859796|22</stp>
        <stp>CDSF2A BMOD Curncy</stp>
        <stp>LAST_PRICE</stp>
        <tr r="X41" s="1"/>
      </tp>
      <tp t="s">
        <v>#N/A Requesting Data...</v>
        <stp/>
        <stp>BDP|571900718040740924|22</stp>
        <stp>USSOFED4 Curncy</stp>
        <stp>LAST_PRICE</stp>
        <tr r="H43" s="1"/>
      </tp>
      <tp t="s">
        <v>#N/A Requesting Data...</v>
        <stp/>
        <stp>BDP|14733182110150391094|22</stp>
        <stp>CDSF5A BMOD Curncy</stp>
        <stp>LAST_PRICE</stp>
        <tr r="X44" s="1"/>
      </tp>
      <tp t="s">
        <v>#N/A Requesting Data...</v>
        <stp/>
        <stp>BDP|6268051491074907373|22</stp>
        <stp>NOWA Index</stp>
        <stp>LAST_PRICE</stp>
        <tr r="C57" s="1"/>
      </tp>
      <tp t="s">
        <v>#N/A Requesting Data...2641323210</v>
        <stp/>
        <stp>BDP|14975876880796257881</stp>
        <tr r="X63" s="1"/>
      </tp>
      <tp t="s">
        <v>#N/A Requesting Data...3304672200</v>
        <stp/>
        <stp>BDP|15812964922510677545</stp>
        <tr r="H59" s="1"/>
      </tp>
      <tp t="s">
        <v>#N/A Requesting Data...</v>
        <stp/>
        <stp>BDP|3121914464396905417|22</stp>
        <stp>EESF3A Curncy</stp>
        <stp>LAST_PRICE</stp>
        <tr r="H25" s="1"/>
      </tp>
      <tp t="s">
        <v>#N/A Requesting Data...4081423361</v>
        <stp/>
        <stp>BDP|12807087786440673108</stp>
        <tr r="F10" s="1"/>
      </tp>
      <tp t="s">
        <v>#N/A Requesting Data...3165966711</v>
        <stp/>
        <stp>BDP|17657336383922760544</stp>
        <tr r="F45" s="1"/>
      </tp>
      <tp t="s">
        <v>#N/A Requesting Data...2969676600</v>
        <stp/>
        <stp>BDP|11117417177411292805</stp>
        <tr r="G42" s="1"/>
      </tp>
      <tp t="e">
        <v>#N/A</v>
        <stp/>
        <stp>BDH|13874723085654827357</stp>
        <tr r="H9" s="1"/>
      </tp>
      <tp t="s">
        <v>#N/A Requesting Data...3018923658</v>
        <stp/>
        <stp>BDP|18086465750569971826</stp>
        <tr r="F13" s="1"/>
      </tp>
      <tp t="s">
        <v>#N/A Requesting Data...3157909900</v>
        <stp/>
        <stp>BDP|12335832414013002047</stp>
        <tr r="F48" s="1"/>
      </tp>
      <tp t="s">
        <v>#N/A Requesting Data...2789985364</v>
        <stp/>
        <stp>BDP|11024836056877319335</stp>
        <tr r="H60" s="1"/>
      </tp>
      <tp t="s">
        <v>#N/A Requesting Data...3308100807</v>
        <stp/>
        <stp>BDP|15458840616565412094</stp>
        <tr r="X59" s="1"/>
      </tp>
      <tp t="s">
        <v>#N/A Requesting Data...4026155995</v>
        <stp/>
        <stp>BDP|12280690394214718071</stp>
        <tr r="W25" s="1"/>
      </tp>
      <tp t="s">
        <v>#N/A Requesting Data...3206976957</v>
        <stp/>
        <stp>BDP|14940804925551655647</stp>
        <tr r="G8" s="1"/>
      </tp>
      <tp t="s">
        <v>#N/A Requesting Data...3239364501</v>
        <stp/>
        <stp>BDP|16589957622124148036</stp>
        <tr r="W63" s="1"/>
      </tp>
      <tp t="s">
        <v>#N/A Requesting Data...3455942565</v>
        <stp/>
        <stp>BDP|15612379720935131854</stp>
        <tr r="G7" s="1"/>
      </tp>
      <tp t="s">
        <v>#N/A Requesting Data...3313521376</v>
        <stp/>
        <stp>BDP|16853223085307842230</stp>
        <tr r="G41" s="1"/>
      </tp>
      <tp t="s">
        <v>#N/A Requesting Data...3085353705</v>
        <stp/>
        <stp>BDP|13950528957743357992</stp>
        <tr r="F58" s="1"/>
      </tp>
      <tp t="s">
        <v>#N/A Requesting Data...3270292270</v>
        <stp/>
        <stp>BDP|12847671298881746236</stp>
        <tr r="W26" s="1"/>
      </tp>
      <tp t="s">
        <v>#N/A Requesting Data...3280388073</v>
        <stp/>
        <stp>BDP|11205764494265656445</stp>
        <tr r="F62" s="1"/>
      </tp>
      <tp t="s">
        <v>#N/A Requesting Data...3098440369</v>
        <stp/>
        <stp>BDP|16717194746629341531</stp>
        <tr r="F11" s="1"/>
      </tp>
      <tp t="s">
        <v>#N/A Requesting Data...2761180444</v>
        <stp/>
        <stp>BDP|11398592307689136275</stp>
        <tr r="V8" s="1"/>
      </tp>
      <tp t="s">
        <v>#N/A Requesting Data...3425187154</v>
        <stp/>
        <stp>BDP|15186705819985466974</stp>
        <tr r="W41" s="1"/>
      </tp>
      <tp t="s">
        <v>#N/A Requesting Data...3830127623</v>
        <stp/>
        <stp>BDP|13962716963607010967</stp>
        <tr r="W11" s="1"/>
      </tp>
      <tp t="s">
        <v>#N/A Requesting Data...2797252437</v>
        <stp/>
        <stp>BDP|12688229847679233107</stp>
        <tr r="H77" s="1"/>
      </tp>
      <tp t="s">
        <v>#N/A Requesting Data...2937096487</v>
        <stp/>
        <stp>BDP|13110104882125143301</stp>
        <tr r="F26" s="1"/>
        <tr r="G25" s="1"/>
      </tp>
      <tp t="s">
        <v>#N/A Requesting Data...3908049714</v>
        <stp/>
        <stp>BDP|10682418761027158931</stp>
        <tr r="G23" s="1"/>
        <tr r="F24" s="1"/>
      </tp>
      <tp t="s">
        <v>#N/A Requesting Data...4224942457</v>
        <stp/>
        <stp>BDP|13532801358446028558</stp>
        <tr r="F46" s="1"/>
      </tp>
      <tp t="s">
        <v>#N/A Requesting Data...</v>
        <stp/>
        <stp>BDP|6612017046318134270|22</stp>
        <stp>EESF6A Curncy</stp>
        <stp>LAST_PRICE</stp>
        <tr r="H28" s="1"/>
      </tp>
      <tp t="s">
        <v>#N/A Requesting Data...</v>
        <stp/>
        <stp>BDP|7733959897817283812|22</stp>
        <stp>EESF7A Curncy</stp>
        <stp>LAST_PRICE</stp>
        <tr r="H29" s="1"/>
      </tp>
      <tp t="s">
        <v>#N/A Requesting Data...3251189962</v>
        <stp/>
        <stp>BDP|18361340499476182905</stp>
        <tr r="V12" s="1"/>
      </tp>
      <tp t="s">
        <v>#N/A Requesting Data...3966062216</v>
        <stp/>
        <stp>BDP|18064276163881677011</stp>
        <tr r="W12" s="1"/>
      </tp>
      <tp t="s">
        <v>#N/A Requesting Data...2940790107</v>
        <stp/>
        <stp>BDP|11101609109218925235</stp>
        <tr r="H74" s="1"/>
      </tp>
      <tp t="s">
        <v>#N/A Requesting Data...3427130809</v>
        <stp/>
        <stp>BDP|13669820846676192457</stp>
        <tr r="G45" s="1"/>
      </tp>
      <tp t="s">
        <v>#N/A Requesting Data...2937046433</v>
        <stp/>
        <stp>BDP|12780948676948925674</stp>
        <tr r="W9" s="1"/>
      </tp>
      <tp t="s">
        <v>#N/A Requesting Data...2998226063</v>
        <stp/>
        <stp>BDP|18038491957509212268</stp>
        <tr r="F57" s="1"/>
      </tp>
      <tp t="s">
        <v>#N/A Requesting Data...3974421687</v>
        <stp/>
        <stp>BDP|17333180193124601947</stp>
        <tr r="W23" s="1"/>
      </tp>
      <tp t="s">
        <v>#N/A Requesting Data...2929998748</v>
        <stp/>
        <stp>BDP|12241434814344203167</stp>
        <tr r="W10" s="1"/>
      </tp>
      <tp t="s">
        <v>#N/A Requesting Data...3207497350</v>
        <stp/>
        <stp>BDP|14811192151746810484</stp>
        <tr r="F12" s="1"/>
      </tp>
      <tp t="s">
        <v>#N/A Requesting Data...3976604070</v>
        <stp/>
        <stp>BDP|13022147940866104206</stp>
        <tr r="V42" s="1"/>
      </tp>
      <tp t="e">
        <v>#N/A</v>
        <stp/>
        <stp>BDH|15831823515417832989</stp>
        <tr r="H13" s="1"/>
      </tp>
      <tp t="s">
        <v>#N/A Requesting Data...3812503055</v>
        <stp/>
        <stp>BDP|10622669367885234626</stp>
        <tr r="H76" s="1"/>
      </tp>
      <tp t="s">
        <v>#N/A Requesting Data...4137053524</v>
        <stp/>
        <stp>BDP|16586986568058533267</stp>
        <tr r="F74" s="1"/>
      </tp>
      <tp t="s">
        <v>#N/A Requesting Data...4136946115</v>
        <stp/>
        <stp>BDP|17488770724588181908</stp>
        <tr r="G47" s="1"/>
      </tp>
      <tp t="s">
        <v>#N/A Requesting Data...2888951150</v>
        <stp/>
        <stp>BDP|18409750277328704376</stp>
        <tr r="F44" s="1"/>
      </tp>
      <tp t="s">
        <v>#N/A Requesting Data...</v>
        <stp/>
        <stp>BDP|7820292816855524422|22</stp>
        <stp>EESF5A Curncy</stp>
        <stp>LAST_PRICE</stp>
        <tr r="H27" s="1"/>
      </tp>
      <tp t="s">
        <v>#N/A Requesting Data...3496234122</v>
        <stp/>
        <stp>BDP|17106745523007892500</stp>
        <tr r="G75" s="1"/>
      </tp>
      <tp t="s">
        <v>#N/A Requesting Data...4009309530</v>
        <stp/>
        <stp>BDP|13723162006452154076</stp>
        <tr r="F77" s="1"/>
      </tp>
      <tp t="s">
        <v>#N/A Requesting Data...3684244697</v>
        <stp/>
        <stp>BDP|10013131870361379730</stp>
        <tr r="V13" s="1"/>
      </tp>
      <tp t="s">
        <v>#N/A Requesting Data...2964297266</v>
        <stp/>
        <stp>BDP|15799216899797201852</stp>
        <tr r="G40" s="1"/>
      </tp>
      <tp t="s">
        <v>#N/A Requesting Data...4008701243</v>
        <stp/>
        <stp>BDP|13602993687010350300</stp>
        <tr r="W7" s="1"/>
      </tp>
      <tp t="s">
        <v>#N/A Requesting Data...3509255178</v>
        <stp/>
        <stp>BDP|14831002927354163327</stp>
        <tr r="W43" s="1"/>
      </tp>
      <tp t="s">
        <v>#N/A Requesting Data...4030907053</v>
        <stp/>
        <stp>BDP|14885990393202579764</stp>
        <tr r="F40" s="1"/>
      </tp>
      <tp t="s">
        <v>#N/A Requesting Data...3434237122</v>
        <stp/>
        <stp>BDP|14334091055465685594</stp>
        <tr r="F43" s="1"/>
      </tp>
      <tp t="s">
        <v>#N/A Requesting Data...3474918368</v>
        <stp/>
        <stp>BDP|16403097355445946715</stp>
        <tr r="V60" s="1"/>
      </tp>
      <tp t="s">
        <v>#N/A Requesting Data...</v>
        <stp/>
        <stp>BDP|7876282716554900400|22</stp>
        <stp>EESF1A Curncy</stp>
        <stp>LAST_PRICE</stp>
        <tr r="H23" s="1"/>
      </tp>
      <tp t="s">
        <v>#N/A Requesting Data...</v>
        <stp/>
        <stp>BDP|4972548601661474478|22</stp>
        <stp>FEDL01 Index</stp>
        <stp>LAST_PRICE</stp>
        <tr r="C40" s="1"/>
        <tr r="C41" s="1"/>
      </tp>
      <tp t="s">
        <v>#N/A Requesting Data...4284387908</v>
        <stp/>
        <stp>BDP|10949686428447387510</stp>
        <tr r="F59" s="1"/>
      </tp>
      <tp t="s">
        <v>#N/A Requesting Data...</v>
        <stp/>
        <stp>BDP|1377644801674531031|22</stp>
        <stp>EESF2A Curncy</stp>
        <stp>LAST_PRICE</stp>
        <tr r="H24" s="1"/>
      </tp>
      <tp t="s">
        <v>#N/A Requesting Data...3741302517</v>
        <stp/>
        <stp>BDP|10416316539093862530</stp>
        <tr r="V30" s="1"/>
      </tp>
      <tp t="s">
        <v>#N/A Requesting Data...3285242382</v>
        <stp/>
        <stp>BDP|16795429010550148536</stp>
        <tr r="F78" s="1"/>
      </tp>
      <tp t="s">
        <v>#N/A Requesting Data...3188595270</v>
        <stp/>
        <stp>BDP|14522086108485806606</stp>
        <tr r="G44" s="1"/>
      </tp>
      <tp t="s">
        <v>#N/A Requesting Data...4221076010</v>
        <stp/>
        <stp>BDP|12462871796334770014</stp>
        <tr r="W64" s="1"/>
      </tp>
      <tp t="s">
        <v>#N/A Requesting Data...3271395016</v>
        <stp/>
        <stp>BDP|12116262712962534442</stp>
        <tr r="G76" s="1"/>
      </tp>
      <tp t="s">
        <v>#N/A Requesting Data...4104346551</v>
        <stp/>
        <stp>BDP|17465520049342156062</stp>
        <tr r="G74" s="1"/>
      </tp>
      <tp t="s">
        <v>#N/A Requesting Data...3137461434</v>
        <stp/>
        <stp>BDP|16833537451324173602</stp>
        <tr r="F75" s="1"/>
      </tp>
      <tp t="s">
        <v>#N/A Requesting Data...3770145823</v>
        <stp/>
        <stp>BDP|15754600934061394523</stp>
        <tr r="V24" s="1"/>
      </tp>
      <tp t="s">
        <v>#N/A Requesting Data...4222649590</v>
        <stp/>
        <stp>BDP|10096282037213176738</stp>
        <tr r="G57" s="1"/>
      </tp>
      <tp t="s">
        <v>#N/A Requesting Data...3013765869</v>
        <stp/>
        <stp>BDP|10390305669172509230</stp>
        <tr r="W62" s="1"/>
      </tp>
      <tp t="s">
        <v>#N/A Requesting Data...3295812857</v>
        <stp/>
        <stp>BDP|14291554509954861085</stp>
        <tr r="V27" s="1"/>
      </tp>
      <tp t="s">
        <v>#N/A Requesting Data...3868952268</v>
        <stp/>
        <stp>BDP|16328593612554989348</stp>
        <tr r="V59" s="1"/>
      </tp>
      <tp t="s">
        <v>#N/A Requesting Data...4150698057</v>
        <stp/>
        <stp>BDP|12789141851475525615</stp>
        <tr r="W30" s="1"/>
      </tp>
      <tp t="s">
        <v>#N/A Requesting Data...4154966609</v>
        <stp/>
        <stp>BDP|16185402206691276632</stp>
        <tr r="F47" s="1"/>
      </tp>
      <tp t="s">
        <v>#N/A Requesting Data...</v>
        <stp/>
        <stp>BDP|659887042132516127|22</stp>
        <stp>GPSF8A Curncy</stp>
        <stp>LAST_PRICE</stp>
        <tr r="X30" s="1"/>
      </tp>
      <tp t="s">
        <v>#N/A Requesting Data...</v>
        <stp/>
        <stp>BDP|776822316515337698|22</stp>
        <stp>GPSF5A Curncy</stp>
        <stp>LAST_PRICE</stp>
        <tr r="X27" s="1"/>
      </tp>
      <tp t="s">
        <v>#N/A Requesting Data...</v>
        <stp/>
        <stp>BDP|15074316450468533671|22</stp>
        <stp>CAONREPO Index</stp>
        <stp>LAST_PRICE</stp>
        <tr r="S40" s="1"/>
        <tr r="S41" s="1"/>
      </tp>
      <tp t="s">
        <v>#N/A Requesting Data...3750029849</v>
        <stp/>
        <stp>BDP|9592839051538089081</stp>
        <tr r="G78" s="1"/>
      </tp>
      <tp t="s">
        <v>#N/A Requesting Data...3376702408</v>
        <stp/>
        <stp>BDP|7986515546289839361</stp>
        <tr r="W57" s="1"/>
      </tp>
      <tp t="s">
        <v>#N/A Requesting Data...3999554032</v>
        <stp/>
        <stp>BDP|8295793038648344806</stp>
        <tr r="V62" s="1"/>
      </tp>
      <tp t="s">
        <v>#N/A Requesting Data...4093799357</v>
        <stp/>
        <stp>BDP|9181707437748656975</stp>
        <tr r="V46" s="1"/>
      </tp>
      <tp t="s">
        <v>#N/A Requesting Data...3593351685</v>
        <stp/>
        <stp>BDP|6074746737087786866</stp>
        <tr r="H62" s="1"/>
      </tp>
      <tp t="s">
        <v>#N/A Requesting Data...3520188495</v>
        <stp/>
        <stp>BDP|6364118370038288549</stp>
        <tr r="V58" s="1"/>
      </tp>
      <tp t="s">
        <v>#N/A Requesting Data...3506862480</v>
        <stp/>
        <stp>BDP|5606160123869837111</stp>
        <tr r="G77" s="1"/>
      </tp>
      <tp t="s">
        <v>#N/A Requesting Data...3587836363</v>
        <stp/>
        <stp>BDP|9545182996506125912</stp>
        <tr r="V28" s="1"/>
      </tp>
      <tp t="s">
        <v>#N/A Requesting Data...</v>
        <stp/>
        <stp>BDP|11077272328629082380|22</stp>
        <stp>EESF8A Curncy</stp>
        <stp>LAST_PRICE</stp>
        <tr r="H30" s="1"/>
      </tp>
      <tp t="s">
        <v>#N/A Requesting Data...3724385858</v>
        <stp/>
        <stp>BDP|4921939325756218748</stp>
        <tr r="W42" s="1"/>
      </tp>
      <tp t="s">
        <v>#N/A Requesting Data...4054852019</v>
        <stp/>
        <stp>BDP|3069901058910561117</stp>
        <tr r="F29" s="1"/>
        <tr r="G28" s="1"/>
      </tp>
      <tp t="s">
        <v>#N/A Requesting Data...3875479820</v>
        <stp/>
        <stp>BDP|5633299302089107094</stp>
        <tr r="G58" s="1"/>
      </tp>
      <tp t="s">
        <v>#N/A Requesting Data...3586349394</v>
        <stp/>
        <stp>BDP|9915064008734607341</stp>
        <tr r="G10" s="1"/>
      </tp>
      <tp t="s">
        <v>#N/A Requesting Data...</v>
        <stp/>
        <stp>BDP|15854219342551243290|22</stp>
        <stp>ESTRON Index</stp>
        <stp>LAST_PRICE</stp>
        <tr r="C23" s="1"/>
      </tp>
      <tp t="s">
        <v>#N/A Requesting Data...</v>
        <stp/>
        <stp>BDP|16943008412096016622|22</stp>
        <stp>USSOFED1 Curncy</stp>
        <stp>LAST_PRICE</stp>
        <tr r="H40" s="1"/>
      </tp>
      <tp t="s">
        <v>#N/A Requesting Data...3585923265</v>
        <stp/>
        <stp>BDP|9888642514465185327</stp>
        <tr r="G61" s="1"/>
      </tp>
      <tp t="s">
        <v>#N/A Requesting Data...3995486079</v>
        <stp/>
        <stp>BDP|8809862370909130680</stp>
        <tr r="F42" s="1"/>
      </tp>
      <tp t="s">
        <v>#N/A Requesting Data...4158559809</v>
        <stp/>
        <stp>BDP|8280147111141623152</stp>
        <tr r="V57" s="1"/>
      </tp>
      <tp t="s">
        <v>#N/A Requesting Data...</v>
        <stp/>
        <stp>BDP|17482446307717774590|22</stp>
        <stp>USSOFED7 Curncy</stp>
        <stp>LAST_PRICE</stp>
        <tr r="H46" s="1"/>
      </tp>
      <tp t="s">
        <v>#N/A Requesting Data...3325768516</v>
        <stp/>
        <stp>BDP|8249752676139170883</stp>
        <tr r="H75" s="1"/>
      </tp>
      <tp t="s">
        <v>#N/A Requesting Data...3525289485</v>
        <stp/>
        <stp>BDP|3787932872127413312</stp>
        <tr r="W28" s="1"/>
      </tp>
      <tp t="e">
        <v>#N/A</v>
        <stp/>
        <stp>BDH|5426437891501129061</stp>
        <tr r="H8" s="1"/>
      </tp>
      <tp t="s">
        <v>#N/A Requesting Data...3313858217</v>
        <stp/>
        <stp>BDP|9276884140604936853</stp>
        <tr r="F76" s="1"/>
      </tp>
      <tp t="s">
        <v>#N/A Requesting Data...3966168212</v>
        <stp/>
        <stp>BDP|5976849989755719967</stp>
        <tr r="V45" s="1"/>
      </tp>
      <tp t="e">
        <v>#N/A</v>
        <stp/>
        <stp>BDH|3277923219442140334</stp>
        <tr r="H11" s="1"/>
      </tp>
      <tp t="s">
        <v>#N/A Requesting Data...3967148095</v>
        <stp/>
        <stp>BDP|6730334800717956833</stp>
        <tr r="H58" s="1"/>
      </tp>
      <tp t="s">
        <v>#N/A Requesting Data...3894280079</v>
        <stp/>
        <stp>BDP|4473089809886305896</stp>
        <tr r="V11" s="1"/>
      </tp>
      <tp t="s">
        <v>#N/A Requesting Data...3262959275</v>
        <stp/>
        <stp>BDP|5827821716272458459</stp>
        <tr r="G48" s="1"/>
      </tp>
      <tp t="s">
        <v>#N/A Requesting Data...3420528510</v>
        <stp/>
        <stp>BDP|6564323096364634246</stp>
        <tr r="F7" s="1"/>
      </tp>
      <tp t="s">
        <v>#N/A Requesting Data...3706582030</v>
        <stp/>
        <stp>BDP|5139234374792195814</stp>
        <tr r="X64" s="1"/>
      </tp>
      <tp t="s">
        <v>#N/A Requesting Data...4018366955</v>
        <stp/>
        <stp>BDP|2907371463669224504</stp>
        <tr r="V41" s="1"/>
      </tp>
      <tp t="e">
        <v>#N/A</v>
        <stp/>
        <stp>BDH|9902626791618318581</stp>
        <tr r="H12" s="1"/>
      </tp>
      <tp t="e">
        <v>#N/A</v>
        <stp/>
        <stp>BDH|3444679384253296512</stp>
        <tr r="H10" s="1"/>
      </tp>
      <tp t="s">
        <v>#N/A Requesting Data...3622112233</v>
        <stp/>
        <stp>BDP|7937211957065282148</stp>
        <tr r="V9" s="1"/>
      </tp>
      <tp t="s">
        <v>#N/A Requesting Data...3730730066</v>
        <stp/>
        <stp>BDP|7853317867133199509</stp>
        <tr r="V61" s="1"/>
      </tp>
      <tp t="s">
        <v>#N/A Requesting Data...3638563158</v>
        <stp/>
        <stp>BDP|2776910842989754208</stp>
        <tr r="G43" s="1"/>
      </tp>
      <tp t="s">
        <v>#N/A Requesting Data...4162312914</v>
        <stp/>
        <stp>BDP|1217009943802207353</stp>
        <tr r="W27" s="1"/>
      </tp>
      <tp t="s">
        <v>#N/A Requesting Data...</v>
        <stp/>
        <stp>BDP|10410836380187779671|22</stp>
        <stp>USSOFED5 Curncy</stp>
        <stp>LAST_PRICE</stp>
        <tr r="H44" s="1"/>
      </tp>
      <tp t="s">
        <v>#N/A Requesting Data...3470547576</v>
        <stp/>
        <stp>BDP|1879253554994713760</stp>
        <tr r="G12" s="1"/>
      </tp>
      <tp t="s">
        <v>#N/A Requesting Data...3600560882</v>
        <stp/>
        <stp>BDP|4241748649980760276</stp>
        <tr r="X62" s="1"/>
      </tp>
      <tp t="s">
        <v>#N/A Requesting Data...3706928756</v>
        <stp/>
        <stp>BDP|7872901753028348693</stp>
        <tr r="F23" s="1"/>
      </tp>
      <tp t="s">
        <v>#N/A Requesting Data...4233301753</v>
        <stp/>
        <stp>BDP|8546200589567914020</stp>
        <tr r="V43" s="1"/>
      </tp>
      <tp t="s">
        <v>#N/A Requesting Data...3605213537</v>
        <stp/>
        <stp>BDP|4165299556821125787</stp>
        <tr r="H57" s="1"/>
      </tp>
      <tp t="s">
        <v>#N/A Requesting Data...3377107137</v>
        <stp/>
        <stp>BDP|5437321275791416643</stp>
        <tr r="X61" s="1"/>
      </tp>
      <tp t="s">
        <v>#N/A Requesting Data...3705297134</v>
        <stp/>
        <stp>BDP|1467437451274901293</stp>
        <tr r="G27" s="1"/>
        <tr r="F28" s="1"/>
      </tp>
      <tp t="s">
        <v>#N/A Requesting Data...</v>
        <stp/>
        <stp>BDP|12461019971843682291|22</stp>
        <stp>USSOFED9 Curncy</stp>
        <stp>LAST_PRICE</stp>
        <tr r="H48" s="1"/>
      </tp>
      <tp t="s">
        <v>#N/A Requesting Data...3710509969</v>
        <stp/>
        <stp>BDP|5134725328436717173</stp>
        <tr r="W58" s="1"/>
      </tp>
      <tp t="s">
        <v>#N/A Requesting Data...3764419966</v>
        <stp/>
        <stp>BDP|4856626335101595729</stp>
        <tr r="V25" s="1"/>
      </tp>
      <tp t="s">
        <v>#N/A Requesting Data...4261243934</v>
        <stp/>
        <stp>BDP|3886739466556467300</stp>
        <tr r="G11" s="1"/>
      </tp>
      <tp t="s">
        <v>#N/A Requesting Data...4232673759</v>
        <stp/>
        <stp>BDP|5136169810836208479</stp>
        <tr r="V31" s="1"/>
      </tp>
      <tp t="s">
        <v>#N/A Requesting Data...3981643730</v>
        <stp/>
        <stp>BDP|4757442362581496064</stp>
        <tr r="F61" s="1"/>
      </tp>
      <tp t="s">
        <v>#N/A Requesting Data...3267012137</v>
        <stp/>
        <stp>BDP|4779035141170487766</stp>
        <tr r="G26" s="1"/>
        <tr r="F27" s="1"/>
      </tp>
      <tp t="s">
        <v>#N/A Requesting Data...3715678024</v>
        <stp/>
        <stp>BDP|7130600624482495657</stp>
        <tr r="V63" s="1"/>
      </tp>
      <tp t="s">
        <v>#N/A Requesting Data...</v>
        <stp/>
        <stp>BDP|15496296342568067971|22</stp>
        <stp>EESF4A Curncy</stp>
        <stp>LAST_PRICE</stp>
        <tr r="H26" s="1"/>
      </tp>
      <tp t="s">
        <v>#N/A Requesting Data...4164887039</v>
        <stp/>
        <stp>BDP|2870083391188465411</stp>
        <tr r="V23" s="1"/>
      </tp>
      <tp t="s">
        <v>#N/A Requesting Data...3640806755</v>
        <stp/>
        <stp>BDP|6186569373312683176</stp>
        <tr r="F8" s="1"/>
      </tp>
      <tp t="s">
        <v>#N/A Requesting Data...</v>
        <stp/>
        <stp>BDP|17198151629296878098|22</stp>
        <stp>USSOFED3 Curncy</stp>
        <stp>LAST_PRICE</stp>
        <tr r="H42" s="1"/>
      </tp>
      <tp t="s">
        <v>#N/A Requesting Data...3343926841</v>
        <stp/>
        <stp>BDP|1033462754747081782</stp>
        <tr r="H78" s="1"/>
      </tp>
      <tp t="s">
        <v>#N/A Requesting Data...3372137474</v>
        <stp/>
        <stp>BDP|6897355441602756359</stp>
        <tr r="W40" s="1"/>
      </tp>
      <tp t="s">
        <v>#N/A Requesting Data...3873115983</v>
        <stp/>
        <stp>BDP|3516396902737798781</stp>
        <tr r="V40" s="1"/>
      </tp>
      <tp t="s">
        <v>#N/A Requesting Data...3341874061</v>
        <stp/>
        <stp>BDP|5269083250553182220</stp>
        <tr r="W59" s="1"/>
      </tp>
      <tp t="s">
        <v>#N/A Requesting Data...4167727382</v>
        <stp/>
        <stp>BDP|2710347478581589678</stp>
        <tr r="H61" s="1"/>
      </tp>
      <tp t="s">
        <v>#N/A Requesting Data...3631190273</v>
        <stp/>
        <stp>BDP|9932914645282549779</stp>
        <tr r="G13" s="1"/>
      </tp>
      <tp t="s">
        <v>#N/A Requesting Data...3367443918</v>
        <stp/>
        <stp>BDP|9146937725144463702</stp>
        <tr r="V10" s="1"/>
      </tp>
      <tp t="e">
        <v>#N/A</v>
        <stp/>
        <stp>BDH|4174354109416126311</stp>
        <tr r="H7" s="1"/>
      </tp>
      <tp t="s">
        <v>#N/A Requesting Data...3400941668</v>
        <stp/>
        <stp>BDP|2501317711656523409</stp>
        <tr r="W13" s="1"/>
      </tp>
      <tp t="s">
        <v>#N/A Requesting Data...4043586900</v>
        <stp/>
        <stp>BDP|4240706973801688768</stp>
        <tr r="X60" s="1"/>
      </tp>
      <tp t="s">
        <v>#N/A Requesting Data...3667334348</v>
        <stp/>
        <stp>BDP|7182672181473667870</stp>
        <tr r="V44" s="1"/>
      </tp>
      <tp t="s">
        <v>#N/A Requesting Data...4145447764</v>
        <stp/>
        <stp>BDP|7388321111811715612</stp>
        <tr r="V7" s="1"/>
      </tp>
      <tp t="s">
        <v>#N/A Requesting Data...3487099358</v>
        <stp/>
        <stp>BDP|7339033322640049775</stp>
        <tr r="W46" s="1"/>
      </tp>
      <tp t="s">
        <v>#N/A Requesting Data...3424228778</v>
        <stp/>
        <stp>BDP|6810295862083925215</stp>
        <tr r="W61" s="1"/>
      </tp>
      <tp t="s">
        <v>#N/A Requesting Data...4218042162</v>
        <stp/>
        <stp>BDP|4361306903447349384</stp>
        <tr r="V26" s="1"/>
      </tp>
      <tp t="s">
        <v>#N/A Requesting Data...3370024013</v>
        <stp/>
        <stp>BDP|6859881372909916350</stp>
        <tr r="G59" s="1"/>
      </tp>
      <tp t="s">
        <v>#N/A Requesting Data...4093626292</v>
        <stp/>
        <stp>BDP|9459319493602826232</stp>
        <tr r="G29" s="1"/>
      </tp>
      <tp t="s">
        <v>#N/A Requesting Data...3395545436</v>
        <stp/>
        <stp>BDP|2757642067208016996</stp>
        <tr r="G60" s="1"/>
      </tp>
      <tp t="s">
        <v>#N/A Requesting Data...</v>
        <stp/>
        <stp>BDP|11335693773265894433|22</stp>
        <stp>SWESTR Index</stp>
        <stp>LAST_PRICE</stp>
        <tr r="C74" s="1"/>
      </tp>
      <tp t="s">
        <v>#N/A Requesting Data...3756297916</v>
        <stp/>
        <stp>BDP|6651064066380713332</stp>
        <tr r="W45" s="1"/>
      </tp>
      <tp t="s">
        <v>#N/A Requesting Data...4215981250</v>
        <stp/>
        <stp>BDP|1044109905826494507</stp>
        <tr r="F9" s="1"/>
      </tp>
      <tp t="s">
        <v>#N/A Requesting Data...3721260641</v>
        <stp/>
        <stp>BDP|2815005479787547123</stp>
        <tr r="G9" s="1"/>
      </tp>
      <tp t="s">
        <v>#N/A Requesting Data...4135144726</v>
        <stp/>
        <stp>BDP|8685638286692647702</stp>
        <tr r="V64" s="1"/>
      </tp>
      <tp t="s">
        <v>#N/A Requesting Data...4271654944</v>
        <stp/>
        <stp>BDP|8587239022603305824</stp>
        <tr r="W29" s="1"/>
      </tp>
      <tp t="s">
        <v>#N/A Requesting Data...</v>
        <stp/>
        <stp>BDP|15545815630501577349|22</stp>
        <stp>GPSF6A Curncy</stp>
        <stp>LAST_PRICE</stp>
        <tr r="X28" s="1"/>
      </tp>
      <tp t="s">
        <v>#N/A Requesting Data...</v>
        <stp/>
        <stp>BDP|14225083363718675090|22</stp>
        <stp>GPSF4A Curncy</stp>
        <stp>LAST_PRICE</stp>
        <tr r="X26" s="1"/>
      </tp>
      <tp t="s">
        <v>#N/A Requesting Data...4155953525</v>
        <stp/>
        <stp>BDP|71535846858523752</stp>
        <tr r="G62" s="1"/>
      </tp>
      <tp t="s">
        <v>#N/A Requesting Data...4135750500</v>
        <stp/>
        <stp>BDP|94302757511321608</stp>
        <tr r="V29" s="1"/>
      </tp>
      <tp t="s">
        <v>#N/A Requesting Data...3804105050</v>
        <stp/>
        <stp>BDP|56221900604307681</stp>
        <tr r="F60" s="1"/>
      </tp>
      <tp t="s">
        <v>#N/A Requesting Data...</v>
        <stp/>
        <stp>BDP|16456832398703979267|22</stp>
        <stp>GPSF7A Curncy</stp>
        <stp>LAST_PRICE</stp>
        <tr r="X29" s="1"/>
      </tp>
      <tp t="s">
        <v>#N/A Requesting Data...3802837921</v>
        <stp/>
        <stp>BDP|44593223292851729</stp>
        <tr r="W60" s="1"/>
      </tp>
      <tp t="s">
        <v>#N/A Requesting Data...</v>
        <stp/>
        <stp>BDP|14826613830283819122|22</stp>
        <stp>GPSF2A Curncy</stp>
        <stp>LAST_PRICE</stp>
        <tr r="X24" s="1"/>
      </tp>
      <tp t="s">
        <v>#N/A Requesting Data...3529768649</v>
        <stp/>
        <stp>BDP|278277844100455232</stp>
        <tr r="W24" s="1"/>
      </tp>
      <tp t="s">
        <v>#N/A Requesting Data...</v>
        <stp/>
        <stp>BDP|1737245422530336775|22</stp>
        <stp>NDSF7A NABZ Curncy</stp>
        <stp>LAST_PRICE</stp>
        <tr r="X13" s="1"/>
      </tp>
      <tp t="s">
        <v>#N/A Requesting Data...3816402838</v>
        <stp/>
        <stp>BDP|678258621111578724</stp>
        <tr r="G46" s="1"/>
      </tp>
      <tp t="s">
        <v>#N/A Requesting Data...</v>
        <stp/>
        <stp>BDP|11255576101598550561|22</stp>
        <stp>MUTKCALM MTRT Index</stp>
        <stp>LAST_PRICE</stp>
        <tr r="S57" s="1"/>
      </tp>
      <tp t="s">
        <v>#N/A Requesting Data...</v>
        <stp/>
        <stp>BDP|7203271912643171271|22</stp>
        <stp>NDSF5A NABZ Curncy</stp>
        <stp>LAST_PRICE</stp>
        <tr r="X11" s="1"/>
      </tp>
      <tp t="s">
        <v>#N/A Requesting Data...</v>
        <stp/>
        <stp>BDP|4335829585710165503|22</stp>
        <stp>SONIO/N Index</stp>
        <stp>LAST_PRICE</stp>
        <tr r="S23" s="1"/>
      </tp>
      <tp t="s">
        <v>#N/A Requesting Data...3392959644</v>
        <stp/>
        <stp>BDP|262049370362359791</stp>
        <tr r="G24" s="1"/>
        <tr r="F25" s="1"/>
      </tp>
      <tp t="s">
        <v>#N/A Requesting Data...4066701071</v>
        <stp/>
        <stp>BDP|128894537261895641</stp>
        <tr r="W8" s="1"/>
      </tp>
      <tp t="s">
        <v>#N/A Requesting Data...</v>
        <stp/>
        <stp>BDP|3171893996220733747|22</stp>
        <stp>NDSF3A NABZ Curncy</stp>
        <stp>LAST_PRICE</stp>
        <tr r="X9" s="1"/>
      </tp>
      <tp t="s">
        <v>#N/A Requesting Data...3436564956</v>
        <stp/>
        <stp>BDP|803934579948999968</stp>
        <tr r="X57" s="1"/>
      </tp>
      <tp t="s">
        <v>#N/A Requesting Data...3449076128</v>
        <stp/>
        <stp>BDP|917088651392837904</stp>
        <tr r="F41" s="1"/>
      </tp>
      <tp t="s">
        <v>#N/A Requesting Data...3462047745</v>
        <stp/>
        <stp>BDP|318300172685637936</stp>
        <tr r="X58" s="1"/>
      </tp>
      <tp t="s">
        <v>#N/A Requesting Data...</v>
        <stp/>
        <stp>BDP|3263895424842345266|22</stp>
        <stp>NDSF2A NABZ Curncy</stp>
        <stp>LAST_PRICE</stp>
        <tr r="X8" s="1"/>
      </tp>
      <tp t="s">
        <v>#N/A Requesting Data...</v>
        <stp/>
        <stp>BDP|7339125760877933829|22</stp>
        <stp>NDSF6A NABZ Curncy</stp>
        <stp>LAST_PRICE</stp>
        <tr r="X12" s="1"/>
      </tp>
      <tp t="s">
        <v>#N/A Requesting Data...3870414823</v>
        <stp/>
        <stp>BDP|380605116619067419</stp>
        <tr r="W44" s="1"/>
      </tp>
      <tp t="s">
        <v>#N/A Requesting Data...</v>
        <stp/>
        <stp>BDP|2881311484412554335|22</stp>
        <stp>NDSF1A NABZ Curncy</stp>
        <stp>LAST_PRICE</stp>
        <tr r="X7" s="1"/>
      </tp>
      <tp t="s">
        <v>#N/A Requesting Data...</v>
        <stp/>
        <stp>BDP|1316774267233120295|22</stp>
        <stp>NDSF4A NABZ Curncy</stp>
        <stp>LAST_PRICE</stp>
        <tr r="X10" s="1"/>
      </tp>
      <tp t="s">
        <v>#N/A Requesting Data...</v>
        <stp/>
        <stp>BDP|1777030564193245699|22</stp>
        <stp>CDSF7A BMOD Curncy</stp>
        <stp>LAST_PRICE</stp>
        <tr r="X46" s="1"/>
      </tp>
      <tp t="s">
        <v>#N/A Requesting Data...</v>
        <stp/>
        <stp>BDP|5250982032469233595|22</stp>
        <stp>RBACOR Index</stp>
        <stp>LAST_PRICE</stp>
        <tr r="C7" s="1"/>
      </tp>
      <tp t="s">
        <v>#N/A Requesting Data...</v>
        <stp/>
        <stp>BDP|4342393306307036417|22</stp>
        <stp>NZOCRS Index</stp>
        <stp>LAST_PRICE</stp>
        <tr r="S7" s="1"/>
        <tr r="S8"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volatileDependencies" Target="volatileDependenci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9526</xdr:colOff>
      <xdr:row>4</xdr:row>
      <xdr:rowOff>0</xdr:rowOff>
    </xdr:from>
    <xdr:to>
      <xdr:col>0</xdr:col>
      <xdr:colOff>485776</xdr:colOff>
      <xdr:row>16</xdr:row>
      <xdr:rowOff>161925</xdr:rowOff>
    </xdr:to>
    <xdr:sp macro="[0]!Module11.AU_upd_store" textlink="">
      <xdr:nvSpPr>
        <xdr:cNvPr id="4" name="Rectangle: Rounded Corners 3">
          <a:extLst>
            <a:ext uri="{FF2B5EF4-FFF2-40B4-BE49-F238E27FC236}">
              <a16:creationId xmlns:a16="http://schemas.microsoft.com/office/drawing/2014/main" id="{40A1F1AB-3C9B-46C0-8C1A-A044221C77FC}"/>
            </a:ext>
          </a:extLst>
        </xdr:cNvPr>
        <xdr:cNvSpPr/>
      </xdr:nvSpPr>
      <xdr:spPr>
        <a:xfrm>
          <a:off x="9526" y="0"/>
          <a:ext cx="476250" cy="2447925"/>
        </a:xfrm>
        <a:prstGeom prst="roundRect">
          <a:avLst/>
        </a:prstGeom>
        <a:solidFill>
          <a:schemeClr val="accent6">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solidFill>
                <a:schemeClr val="bg1"/>
              </a:solidFill>
            </a:rPr>
            <a:t>UPDATE</a:t>
          </a:r>
          <a:r>
            <a:rPr lang="en-US" sz="1600" baseline="0">
              <a:solidFill>
                <a:schemeClr val="bg1"/>
              </a:solidFill>
            </a:rPr>
            <a:t> </a:t>
          </a:r>
          <a:r>
            <a:rPr lang="en-US" sz="1600">
              <a:solidFill>
                <a:schemeClr val="bg1"/>
              </a:solidFill>
            </a:rPr>
            <a:t>&amp;</a:t>
          </a:r>
          <a:r>
            <a:rPr lang="en-US" sz="1600" baseline="0">
              <a:solidFill>
                <a:schemeClr val="bg1"/>
              </a:solidFill>
            </a:rPr>
            <a:t> </a:t>
          </a:r>
          <a:r>
            <a:rPr lang="en-US" sz="1600">
              <a:solidFill>
                <a:schemeClr val="bg1"/>
              </a:solidFill>
            </a:rPr>
            <a:t>STORE</a:t>
          </a:r>
        </a:p>
      </xdr:txBody>
    </xdr:sp>
    <xdr:clientData/>
  </xdr:twoCellAnchor>
  <xdr:twoCellAnchor>
    <xdr:from>
      <xdr:col>16</xdr:col>
      <xdr:colOff>19050</xdr:colOff>
      <xdr:row>4</xdr:row>
      <xdr:rowOff>0</xdr:rowOff>
    </xdr:from>
    <xdr:to>
      <xdr:col>16</xdr:col>
      <xdr:colOff>600075</xdr:colOff>
      <xdr:row>16</xdr:row>
      <xdr:rowOff>9525</xdr:rowOff>
    </xdr:to>
    <xdr:sp macro="[0]!Module1.NZ_upd_store" textlink="">
      <xdr:nvSpPr>
        <xdr:cNvPr id="2" name="Rectangle: Rounded Corners 1">
          <a:extLst>
            <a:ext uri="{FF2B5EF4-FFF2-40B4-BE49-F238E27FC236}">
              <a16:creationId xmlns:a16="http://schemas.microsoft.com/office/drawing/2014/main" id="{80B91A21-BD73-480E-AB2F-2A2D908D03FB}"/>
            </a:ext>
          </a:extLst>
        </xdr:cNvPr>
        <xdr:cNvSpPr/>
      </xdr:nvSpPr>
      <xdr:spPr>
        <a:xfrm>
          <a:off x="11849100" y="0"/>
          <a:ext cx="581025" cy="2295525"/>
        </a:xfrm>
        <a:prstGeom prst="roundRect">
          <a:avLst/>
        </a:prstGeom>
        <a:solidFill>
          <a:schemeClr val="tx1">
            <a:lumMod val="95000"/>
            <a:lumOff val="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 &amp; STORE</a:t>
          </a:r>
        </a:p>
      </xdr:txBody>
    </xdr:sp>
    <xdr:clientData/>
  </xdr:twoCellAnchor>
  <xdr:twoCellAnchor>
    <xdr:from>
      <xdr:col>16</xdr:col>
      <xdr:colOff>38100</xdr:colOff>
      <xdr:row>19</xdr:row>
      <xdr:rowOff>180975</xdr:rowOff>
    </xdr:from>
    <xdr:to>
      <xdr:col>16</xdr:col>
      <xdr:colOff>600075</xdr:colOff>
      <xdr:row>33</xdr:row>
      <xdr:rowOff>9525</xdr:rowOff>
    </xdr:to>
    <xdr:sp macro="[0]!Module1.UK_upd_store" textlink="">
      <xdr:nvSpPr>
        <xdr:cNvPr id="5" name="Rectangle: Rounded Corners 4">
          <a:extLst>
            <a:ext uri="{FF2B5EF4-FFF2-40B4-BE49-F238E27FC236}">
              <a16:creationId xmlns:a16="http://schemas.microsoft.com/office/drawing/2014/main" id="{D787F9B2-AE3F-4BCE-9D6B-307607B617CF}"/>
            </a:ext>
          </a:extLst>
        </xdr:cNvPr>
        <xdr:cNvSpPr/>
      </xdr:nvSpPr>
      <xdr:spPr>
        <a:xfrm>
          <a:off x="11868150" y="3228975"/>
          <a:ext cx="561975" cy="24955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0</xdr:col>
      <xdr:colOff>0</xdr:colOff>
      <xdr:row>20</xdr:row>
      <xdr:rowOff>9525</xdr:rowOff>
    </xdr:from>
    <xdr:to>
      <xdr:col>0</xdr:col>
      <xdr:colOff>495300</xdr:colOff>
      <xdr:row>32</xdr:row>
      <xdr:rowOff>180975</xdr:rowOff>
    </xdr:to>
    <xdr:sp macro="[0]!Module1.EU_upd_store" textlink="">
      <xdr:nvSpPr>
        <xdr:cNvPr id="6" name="Rectangle: Rounded Corners 5">
          <a:extLst>
            <a:ext uri="{FF2B5EF4-FFF2-40B4-BE49-F238E27FC236}">
              <a16:creationId xmlns:a16="http://schemas.microsoft.com/office/drawing/2014/main" id="{A050A205-5498-4693-B49C-F9C8786C92D5}"/>
            </a:ext>
          </a:extLst>
        </xdr:cNvPr>
        <xdr:cNvSpPr/>
      </xdr:nvSpPr>
      <xdr:spPr>
        <a:xfrm>
          <a:off x="0" y="3248025"/>
          <a:ext cx="495300" cy="2457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0</xdr:col>
      <xdr:colOff>0</xdr:colOff>
      <xdr:row>37</xdr:row>
      <xdr:rowOff>31749</xdr:rowOff>
    </xdr:from>
    <xdr:to>
      <xdr:col>1</xdr:col>
      <xdr:colOff>0</xdr:colOff>
      <xdr:row>51</xdr:row>
      <xdr:rowOff>22224</xdr:rowOff>
    </xdr:to>
    <xdr:sp macro="[0]!Module11.US_upd_store" textlink="">
      <xdr:nvSpPr>
        <xdr:cNvPr id="8" name="Rectangle: Rounded Corners 7">
          <a:extLst>
            <a:ext uri="{FF2B5EF4-FFF2-40B4-BE49-F238E27FC236}">
              <a16:creationId xmlns:a16="http://schemas.microsoft.com/office/drawing/2014/main" id="{F2FCDA59-B003-466B-9657-6318E2A114F8}"/>
            </a:ext>
          </a:extLst>
        </xdr:cNvPr>
        <xdr:cNvSpPr/>
      </xdr:nvSpPr>
      <xdr:spPr>
        <a:xfrm>
          <a:off x="0" y="8810624"/>
          <a:ext cx="492125" cy="3324225"/>
        </a:xfrm>
        <a:prstGeom prst="roundRect">
          <a:avLst/>
        </a:prstGeom>
        <a:solidFill>
          <a:srgbClr val="1F4E7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16</xdr:col>
      <xdr:colOff>123825</xdr:colOff>
      <xdr:row>36</xdr:row>
      <xdr:rowOff>180974</xdr:rowOff>
    </xdr:from>
    <xdr:to>
      <xdr:col>17</xdr:col>
      <xdr:colOff>0</xdr:colOff>
      <xdr:row>50</xdr:row>
      <xdr:rowOff>19049</xdr:rowOff>
    </xdr:to>
    <xdr:sp macro="[0]!Module11.CD_upd_store" textlink="">
      <xdr:nvSpPr>
        <xdr:cNvPr id="9" name="Rectangle: Rounded Corners 8">
          <a:extLst>
            <a:ext uri="{FF2B5EF4-FFF2-40B4-BE49-F238E27FC236}">
              <a16:creationId xmlns:a16="http://schemas.microsoft.com/office/drawing/2014/main" id="{0C6F44C0-B0C6-4EBF-B6FB-569AF053363B}"/>
            </a:ext>
          </a:extLst>
        </xdr:cNvPr>
        <xdr:cNvSpPr/>
      </xdr:nvSpPr>
      <xdr:spPr>
        <a:xfrm>
          <a:off x="11953875" y="6467474"/>
          <a:ext cx="485775" cy="2505075"/>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20</xdr:col>
      <xdr:colOff>80433</xdr:colOff>
      <xdr:row>69</xdr:row>
      <xdr:rowOff>215902</xdr:rowOff>
    </xdr:from>
    <xdr:to>
      <xdr:col>24</xdr:col>
      <xdr:colOff>443441</xdr:colOff>
      <xdr:row>72</xdr:row>
      <xdr:rowOff>12701</xdr:rowOff>
    </xdr:to>
    <xdr:sp macro="[0]!recalculate_history" textlink="">
      <xdr:nvSpPr>
        <xdr:cNvPr id="3" name="Rectangle: Rounded Corners 2">
          <a:extLst>
            <a:ext uri="{FF2B5EF4-FFF2-40B4-BE49-F238E27FC236}">
              <a16:creationId xmlns:a16="http://schemas.microsoft.com/office/drawing/2014/main" id="{C7B0F5ED-9038-40D7-AF40-57335BB8C7DF}"/>
            </a:ext>
          </a:extLst>
        </xdr:cNvPr>
        <xdr:cNvSpPr/>
      </xdr:nvSpPr>
      <xdr:spPr>
        <a:xfrm>
          <a:off x="20035308" y="16614777"/>
          <a:ext cx="3665008" cy="542924"/>
        </a:xfrm>
        <a:prstGeom prst="roundRect">
          <a:avLst>
            <a:gd name="adj" fmla="val 16667"/>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bg1"/>
              </a:solidFill>
            </a:rPr>
            <a:t>Recalculate History</a:t>
          </a:r>
        </a:p>
      </xdr:txBody>
    </xdr:sp>
    <xdr:clientData/>
  </xdr:twoCellAnchor>
  <xdr:twoCellAnchor>
    <xdr:from>
      <xdr:col>16</xdr:col>
      <xdr:colOff>428625</xdr:colOff>
      <xdr:row>69</xdr:row>
      <xdr:rowOff>174625</xdr:rowOff>
    </xdr:from>
    <xdr:to>
      <xdr:col>19</xdr:col>
      <xdr:colOff>190500</xdr:colOff>
      <xdr:row>73</xdr:row>
      <xdr:rowOff>0</xdr:rowOff>
    </xdr:to>
    <xdr:sp macro="[0]!CreateOISRuns" textlink="">
      <xdr:nvSpPr>
        <xdr:cNvPr id="7" name="Rectangle 6">
          <a:extLst>
            <a:ext uri="{FF2B5EF4-FFF2-40B4-BE49-F238E27FC236}">
              <a16:creationId xmlns:a16="http://schemas.microsoft.com/office/drawing/2014/main" id="{5A1F30DD-4DBC-866C-9D06-61C1571508A9}"/>
            </a:ext>
          </a:extLst>
        </xdr:cNvPr>
        <xdr:cNvSpPr/>
      </xdr:nvSpPr>
      <xdr:spPr>
        <a:xfrm>
          <a:off x="15494000" y="16573500"/>
          <a:ext cx="3444875" cy="809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t>Generate file</a:t>
          </a:r>
        </a:p>
      </xdr:txBody>
    </xdr:sp>
    <xdr:clientData/>
  </xdr:twoCellAnchor>
  <xdr:twoCellAnchor>
    <xdr:from>
      <xdr:col>0</xdr:col>
      <xdr:colOff>0</xdr:colOff>
      <xdr:row>53</xdr:row>
      <xdr:rowOff>206375</xdr:rowOff>
    </xdr:from>
    <xdr:to>
      <xdr:col>1</xdr:col>
      <xdr:colOff>0</xdr:colOff>
      <xdr:row>67</xdr:row>
      <xdr:rowOff>196850</xdr:rowOff>
    </xdr:to>
    <xdr:sp macro="[0]!NOK_upd_store" textlink="">
      <xdr:nvSpPr>
        <xdr:cNvPr id="11" name="Rectangle: Rounded Corners 10">
          <a:extLst>
            <a:ext uri="{FF2B5EF4-FFF2-40B4-BE49-F238E27FC236}">
              <a16:creationId xmlns:a16="http://schemas.microsoft.com/office/drawing/2014/main" id="{87FB0FBA-F423-445C-8ABE-95C2203395F4}"/>
            </a:ext>
          </a:extLst>
        </xdr:cNvPr>
        <xdr:cNvSpPr/>
      </xdr:nvSpPr>
      <xdr:spPr>
        <a:xfrm>
          <a:off x="0" y="12795250"/>
          <a:ext cx="492125" cy="3324225"/>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16</xdr:col>
      <xdr:colOff>111125</xdr:colOff>
      <xdr:row>54</xdr:row>
      <xdr:rowOff>0</xdr:rowOff>
    </xdr:from>
    <xdr:to>
      <xdr:col>17</xdr:col>
      <xdr:colOff>0</xdr:colOff>
      <xdr:row>67</xdr:row>
      <xdr:rowOff>228600</xdr:rowOff>
    </xdr:to>
    <xdr:sp macro="[0]!JPY_upd_store" textlink="">
      <xdr:nvSpPr>
        <xdr:cNvPr id="12" name="Rectangle: Rounded Corners 11">
          <a:extLst>
            <a:ext uri="{FF2B5EF4-FFF2-40B4-BE49-F238E27FC236}">
              <a16:creationId xmlns:a16="http://schemas.microsoft.com/office/drawing/2014/main" id="{6CBBBB01-05F9-442F-B966-86C7377E5C4A}"/>
            </a:ext>
          </a:extLst>
        </xdr:cNvPr>
        <xdr:cNvSpPr/>
      </xdr:nvSpPr>
      <xdr:spPr>
        <a:xfrm>
          <a:off x="14446250" y="12827000"/>
          <a:ext cx="492125" cy="3324225"/>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0</xdr:col>
      <xdr:colOff>0</xdr:colOff>
      <xdr:row>71</xdr:row>
      <xdr:rowOff>0</xdr:rowOff>
    </xdr:from>
    <xdr:to>
      <xdr:col>1</xdr:col>
      <xdr:colOff>0</xdr:colOff>
      <xdr:row>84</xdr:row>
      <xdr:rowOff>228600</xdr:rowOff>
    </xdr:to>
    <xdr:sp macro="[0]!SEK_upd_store" textlink="">
      <xdr:nvSpPr>
        <xdr:cNvPr id="13" name="Rectangle: Rounded Corners 12">
          <a:extLst>
            <a:ext uri="{FF2B5EF4-FFF2-40B4-BE49-F238E27FC236}">
              <a16:creationId xmlns:a16="http://schemas.microsoft.com/office/drawing/2014/main" id="{2411E54B-C68A-4322-8598-AEBA3DC7628C}"/>
            </a:ext>
          </a:extLst>
        </xdr:cNvPr>
        <xdr:cNvSpPr/>
      </xdr:nvSpPr>
      <xdr:spPr>
        <a:xfrm>
          <a:off x="0" y="16906875"/>
          <a:ext cx="492125" cy="3324225"/>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mc:AlternateContent xmlns:mc="http://schemas.openxmlformats.org/markup-compatibility/2006">
    <mc:Choice xmlns:a14="http://schemas.microsoft.com/office/drawing/2010/main" Requires="a14">
      <xdr:twoCellAnchor>
        <xdr:from>
          <xdr:col>15</xdr:col>
          <xdr:colOff>0</xdr:colOff>
          <xdr:row>1</xdr:row>
          <xdr:rowOff>0</xdr:rowOff>
        </xdr:from>
        <xdr:to>
          <xdr:col>17</xdr:col>
          <xdr:colOff>228600</xdr:colOff>
          <xdr:row>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STORE ALL + RUNS PAGE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Coverage%20&amp;%20Counterparties\Central%20Bank%20OIS%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sheetName val="Historical_AU"/>
      <sheetName val="Historical_NZ"/>
      <sheetName val="Historical_EU"/>
      <sheetName val="Historical_UK"/>
      <sheetName val="Historical_CD"/>
      <sheetName val="Historical_US"/>
      <sheetName val="Sheet2"/>
      <sheetName val="VANDIT"/>
      <sheetName val="Screenshot"/>
      <sheetName val="Brett Charts"/>
      <sheetName val="Blast"/>
    </sheetNames>
    <sheetDataSet>
      <sheetData sheetId="0">
        <row r="2">
          <cell r="U2" t="str">
            <v>Meeting</v>
          </cell>
          <cell r="V2" t="str">
            <v>StartDate</v>
          </cell>
          <cell r="X2" t="str">
            <v>Rate</v>
          </cell>
          <cell r="Z2" t="str">
            <v>Priced In (Total)</v>
          </cell>
          <cell r="AB2" t="str">
            <v>1d Chg</v>
          </cell>
        </row>
        <row r="16">
          <cell r="E16" t="str">
            <v>ECB</v>
          </cell>
          <cell r="U16" t="str">
            <v>MPC</v>
          </cell>
        </row>
        <row r="17">
          <cell r="E17" t="str">
            <v>Meeting</v>
          </cell>
          <cell r="F17" t="str">
            <v>StartDate</v>
          </cell>
          <cell r="H17" t="str">
            <v>Rate</v>
          </cell>
          <cell r="J17" t="str">
            <v>Priced In (Total)</v>
          </cell>
          <cell r="L17" t="str">
            <v>1d Chg</v>
          </cell>
          <cell r="U17" t="str">
            <v>Meeting</v>
          </cell>
          <cell r="V17" t="str">
            <v>StartDate</v>
          </cell>
          <cell r="X17" t="str">
            <v>Rate</v>
          </cell>
          <cell r="Z17" t="str">
            <v>Priced In (Total)</v>
          </cell>
          <cell r="AB17" t="str">
            <v>1d Chg</v>
          </cell>
        </row>
        <row r="33">
          <cell r="E33" t="str">
            <v>FOMC</v>
          </cell>
          <cell r="U33" t="str">
            <v>BoC</v>
          </cell>
        </row>
        <row r="34">
          <cell r="E34" t="str">
            <v>Meeting</v>
          </cell>
          <cell r="F34" t="str">
            <v>StartDate</v>
          </cell>
          <cell r="H34" t="str">
            <v>Rate</v>
          </cell>
          <cell r="J34" t="str">
            <v>Priced In (Total)</v>
          </cell>
          <cell r="L34" t="str">
            <v>1d Chg</v>
          </cell>
          <cell r="U34" t="str">
            <v>Meeting</v>
          </cell>
          <cell r="V34" t="str">
            <v>StartDate</v>
          </cell>
          <cell r="X34" t="str">
            <v>Rate</v>
          </cell>
          <cell r="Z34" t="str">
            <v>Priced In (Total)</v>
          </cell>
          <cell r="AB34" t="str">
            <v>1d Chg</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urrent_au" displayName="current_au" ref="D6:N17" totalsRowShown="0" headerRowDxfId="230" dataDxfId="229">
  <autoFilter ref="D6:N17" xr:uid="{00000000-0009-0000-0100-000002000000}"/>
  <tableColumns count="11">
    <tableColumn id="1" xr3:uid="{00000000-0010-0000-0000-000001000000}" name="CurrentDate" dataDxfId="228"/>
    <tableColumn id="2" xr3:uid="{00000000-0010-0000-0000-000002000000}" name="Meeting" dataDxfId="227" dataCellStyle="Normal 2">
      <calculatedColumnFormula>TEXT(F7, "mmm")</calculatedColumnFormula>
    </tableColumn>
    <tableColumn id="3" xr3:uid="{00000000-0010-0000-0000-000003000000}" name="StartDate" dataDxfId="226" dataCellStyle="Normal 2"/>
    <tableColumn id="4" xr3:uid="{00000000-0010-0000-0000-000004000000}" name="EndDate" dataDxfId="225" dataCellStyle="Normal 2"/>
    <tableColumn id="5" xr3:uid="{00000000-0010-0000-0000-000005000000}" name="Rate" dataDxfId="224" dataCellStyle="Normal 2"/>
    <tableColumn id="9" xr3:uid="{00000000-0010-0000-0000-000009000000}" name="StepDelta" dataDxfId="223" dataCellStyle="Normal 2"/>
    <tableColumn id="10" xr3:uid="{00000000-0010-0000-0000-00000A000000}" name="Priced In(Total)" dataDxfId="222" dataCellStyle="Normal 2">
      <calculatedColumnFormula>(H7-$C$7)*100</calculatedColumnFormula>
    </tableColumn>
    <tableColumn id="11" xr3:uid="{00000000-0010-0000-0000-00000B000000}" name="Percent" dataDxfId="221" dataCellStyle="Normal 2">
      <calculatedColumnFormula>((J7)/25)</calculatedColumnFormula>
    </tableColumn>
    <tableColumn id="12" xr3:uid="{00000000-0010-0000-0000-00000C000000}" name="1d Chg" dataDxfId="220"/>
    <tableColumn id="13" xr3:uid="{00000000-0010-0000-0000-00000D000000}" name="1w Chg" dataDxfId="219"/>
    <tableColumn id="14" xr3:uid="{00000000-0010-0000-0000-00000E000000}" name="1m Chg" dataDxfId="2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rrent_nz" displayName="current_nz" ref="T6:AE17" totalsRowShown="0" headerRowDxfId="217" dataDxfId="216">
  <autoFilter ref="T6:AE17" xr:uid="{00000000-0009-0000-0100-000001000000}"/>
  <tableColumns count="12">
    <tableColumn id="1" xr3:uid="{00000000-0010-0000-0100-000001000000}" name="CurrentDate" dataDxfId="215"/>
    <tableColumn id="2" xr3:uid="{00000000-0010-0000-0100-000002000000}" name="Meeting" dataDxfId="214" dataCellStyle="Normal 2">
      <calculatedColumnFormula>TEXT(V7, "mmm")</calculatedColumnFormula>
    </tableColumn>
    <tableColumn id="3" xr3:uid="{00000000-0010-0000-0100-000003000000}" name="StartDate" dataDxfId="213" dataCellStyle="Normal 2"/>
    <tableColumn id="4" xr3:uid="{00000000-0010-0000-0100-000004000000}" name="EndDate" dataDxfId="212" dataCellStyle="Normal 2"/>
    <tableColumn id="5" xr3:uid="{00000000-0010-0000-0100-000005000000}" name="Rate" dataDxfId="211"/>
    <tableColumn id="9" xr3:uid="{00000000-0010-0000-0100-000009000000}" name="StepDelta" dataDxfId="210" dataCellStyle="Normal 2"/>
    <tableColumn id="10" xr3:uid="{00000000-0010-0000-0100-00000A000000}" name="Priced In(Total)" dataDxfId="209" dataCellStyle="Normal 2">
      <calculatedColumnFormula>(X7-$S$7)*100</calculatedColumnFormula>
    </tableColumn>
    <tableColumn id="11" xr3:uid="{00000000-0010-0000-0100-00000B000000}" name="Percent" dataDxfId="208" dataCellStyle="Normal 2">
      <calculatedColumnFormula>((Z7)/25)</calculatedColumnFormula>
    </tableColumn>
    <tableColumn id="12" xr3:uid="{00000000-0010-0000-0100-00000C000000}" name="1d Chg" dataDxfId="207"/>
    <tableColumn id="13" xr3:uid="{00000000-0010-0000-0100-00000D000000}" name="1w Chg" dataDxfId="206"/>
    <tableColumn id="14" xr3:uid="{00000000-0010-0000-0100-00000E000000}" name="1m Chg" dataDxfId="205"/>
    <tableColumn id="6" xr3:uid="{0062D317-76FC-45B5-8FD9-525C19990E4A}" name="Column1" dataDxfId="20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current_eu" displayName="current_eu" ref="D22:N34" totalsRowShown="0" headerRowDxfId="203" dataDxfId="202">
  <autoFilter ref="D22:N34" xr:uid="{00000000-0009-0000-0100-000004000000}"/>
  <tableColumns count="11">
    <tableColumn id="1" xr3:uid="{00000000-0010-0000-0200-000001000000}" name="CurrentDate" dataDxfId="201"/>
    <tableColumn id="2" xr3:uid="{00000000-0010-0000-0200-000002000000}" name="Meeting" dataDxfId="200" dataCellStyle="Normal 2">
      <calculatedColumnFormula>TEXT(F23, "mmm")</calculatedColumnFormula>
    </tableColumn>
    <tableColumn id="3" xr3:uid="{00000000-0010-0000-0200-000003000000}" name="StartDate" dataDxfId="199"/>
    <tableColumn id="4" xr3:uid="{00000000-0010-0000-0200-000004000000}" name="EndDate" dataDxfId="198"/>
    <tableColumn id="5" xr3:uid="{00000000-0010-0000-0200-000005000000}" name="Rate" dataDxfId="197"/>
    <tableColumn id="9" xr3:uid="{00000000-0010-0000-0200-000009000000}" name="StepDelta" dataDxfId="196" dataCellStyle="Normal 2"/>
    <tableColumn id="10" xr3:uid="{00000000-0010-0000-0200-00000A000000}" name="Priced In(Total)" dataDxfId="195" dataCellStyle="Normal 2">
      <calculatedColumnFormula>(H23-$C$23)*100</calculatedColumnFormula>
    </tableColumn>
    <tableColumn id="11" xr3:uid="{00000000-0010-0000-0200-00000B000000}" name="Percent" dataDxfId="194" dataCellStyle="Normal 2">
      <calculatedColumnFormula>((J23)/25)</calculatedColumnFormula>
    </tableColumn>
    <tableColumn id="12" xr3:uid="{00000000-0010-0000-0200-00000C000000}" name="1d Chg" dataDxfId="193"/>
    <tableColumn id="13" xr3:uid="{00000000-0010-0000-0200-00000D000000}" name="1w Chg" dataDxfId="192"/>
    <tableColumn id="14" xr3:uid="{00000000-0010-0000-0200-00000E000000}" name="1m Chg" dataDxfId="19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current_uk" displayName="current_uk" ref="T22:AD34" totalsRowShown="0" headerRowDxfId="190" dataDxfId="189" totalsRowDxfId="188">
  <autoFilter ref="T22:AD34" xr:uid="{00000000-0009-0000-0100-000005000000}"/>
  <tableColumns count="11">
    <tableColumn id="1" xr3:uid="{00000000-0010-0000-0300-000001000000}" name="CurrentDate" dataDxfId="187" totalsRowDxfId="186"/>
    <tableColumn id="2" xr3:uid="{00000000-0010-0000-0300-000002000000}" name="Meeting" dataDxfId="185" totalsRowDxfId="184" dataCellStyle="Normal 2"/>
    <tableColumn id="3" xr3:uid="{00000000-0010-0000-0300-000003000000}" name="StartDate" dataDxfId="183"/>
    <tableColumn id="4" xr3:uid="{00000000-0010-0000-0300-000004000000}" name="EndDate" dataDxfId="182"/>
    <tableColumn id="5" xr3:uid="{00000000-0010-0000-0300-000005000000}" name="Rate" dataDxfId="181"/>
    <tableColumn id="9" xr3:uid="{00000000-0010-0000-0300-000009000000}" name="StepDelta" dataDxfId="180"/>
    <tableColumn id="10" xr3:uid="{00000000-0010-0000-0300-00000A000000}" name="Priced In(Total)" dataDxfId="179" totalsRowDxfId="178">
      <calculatedColumnFormula>(X23-$S$23)*100</calculatedColumnFormula>
    </tableColumn>
    <tableColumn id="11" xr3:uid="{00000000-0010-0000-0300-00000B000000}" name="Percent" dataDxfId="177">
      <calculatedColumnFormula>((Z23)/25)</calculatedColumnFormula>
    </tableColumn>
    <tableColumn id="12" xr3:uid="{00000000-0010-0000-0300-00000C000000}" name="1d Chg" dataDxfId="176"/>
    <tableColumn id="13" xr3:uid="{00000000-0010-0000-0300-00000D000000}" name="1w Chg" dataDxfId="175"/>
    <tableColumn id="14" xr3:uid="{00000000-0010-0000-0300-00000E000000}" name="1m Chg" dataDxfId="17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current_us" displayName="current_us" ref="D39:N51" totalsRowShown="0" headerRowDxfId="173" dataDxfId="172">
  <autoFilter ref="D39:N51" xr:uid="{00000000-0009-0000-0100-000006000000}"/>
  <tableColumns count="11">
    <tableColumn id="1" xr3:uid="{00000000-0010-0000-0400-000001000000}" name="CurrentDate" dataDxfId="171"/>
    <tableColumn id="2" xr3:uid="{00000000-0010-0000-0400-000002000000}" name="Meeting" dataDxfId="170" dataCellStyle="Normal 2">
      <calculatedColumnFormula>TEXT(F40, "mmm")</calculatedColumnFormula>
    </tableColumn>
    <tableColumn id="3" xr3:uid="{00000000-0010-0000-0400-000003000000}" name="StartDate" dataDxfId="169" dataCellStyle="Normal 2"/>
    <tableColumn id="4" xr3:uid="{00000000-0010-0000-0400-000004000000}" name="EndDate" dataDxfId="168" dataCellStyle="Normal 2"/>
    <tableColumn id="5" xr3:uid="{00000000-0010-0000-0400-000005000000}" name="Rate" dataDxfId="167" dataCellStyle="Normal 2"/>
    <tableColumn id="9" xr3:uid="{00000000-0010-0000-0400-000009000000}" name="StepDelta" dataDxfId="166" dataCellStyle="Normal 2"/>
    <tableColumn id="10" xr3:uid="{00000000-0010-0000-0400-00000A000000}" name="Priced In(Total)" dataDxfId="165" dataCellStyle="Normal 2">
      <calculatedColumnFormula>(H40-$C$40)*100</calculatedColumnFormula>
    </tableColumn>
    <tableColumn id="11" xr3:uid="{00000000-0010-0000-0400-00000B000000}" name="Percent" dataDxfId="164" dataCellStyle="Normal 2">
      <calculatedColumnFormula>((J40)/25)</calculatedColumnFormula>
    </tableColumn>
    <tableColumn id="12" xr3:uid="{00000000-0010-0000-0400-00000C000000}" name="1d Chg" dataDxfId="163"/>
    <tableColumn id="13" xr3:uid="{00000000-0010-0000-0400-00000D000000}" name="1w Chg" dataDxfId="162"/>
    <tableColumn id="14" xr3:uid="{00000000-0010-0000-0400-00000E000000}" name="1m Chg" dataDxfId="16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current_cd" displayName="current_cd" ref="T39:AD51" totalsRowShown="0" headerRowDxfId="160" dataDxfId="159">
  <autoFilter ref="T39:AD51" xr:uid="{00000000-0009-0000-0100-000007000000}"/>
  <tableColumns count="11">
    <tableColumn id="1" xr3:uid="{00000000-0010-0000-0500-000001000000}" name="CurrentDate" dataDxfId="158"/>
    <tableColumn id="2" xr3:uid="{00000000-0010-0000-0500-000002000000}" name="Meeting" dataDxfId="157" dataCellStyle="Normal 2">
      <calculatedColumnFormula>TEXT(V40, "mmm")</calculatedColumnFormula>
    </tableColumn>
    <tableColumn id="3" xr3:uid="{00000000-0010-0000-0500-000003000000}" name="StartDate" dataDxfId="156" dataCellStyle="Normal 2"/>
    <tableColumn id="4" xr3:uid="{00000000-0010-0000-0500-000004000000}" name="EndDate" dataDxfId="155" dataCellStyle="Normal 2">
      <calculatedColumnFormula array="1">_xll.BDP("CDSF1A Curncy","MATURITY")</calculatedColumnFormula>
    </tableColumn>
    <tableColumn id="5" xr3:uid="{00000000-0010-0000-0500-000005000000}" name="Rate" dataDxfId="154" dataCellStyle="Normal 2"/>
    <tableColumn id="9" xr3:uid="{00000000-0010-0000-0500-000009000000}" name="StepDelta" dataDxfId="153" dataCellStyle="Normal 2"/>
    <tableColumn id="10" xr3:uid="{00000000-0010-0000-0500-00000A000000}" name="Priced In(Total)" dataDxfId="152" dataCellStyle="Normal 2">
      <calculatedColumnFormula>(X40-$S$40)*100</calculatedColumnFormula>
    </tableColumn>
    <tableColumn id="11" xr3:uid="{00000000-0010-0000-0500-00000B000000}" name="Percent" dataDxfId="151" dataCellStyle="Normal 2">
      <calculatedColumnFormula>((Z40)/25)</calculatedColumnFormula>
    </tableColumn>
    <tableColumn id="12" xr3:uid="{00000000-0010-0000-0500-00000C000000}" name="1d Chg" dataDxfId="150"/>
    <tableColumn id="13" xr3:uid="{00000000-0010-0000-0500-00000D000000}" name="1w Chg" dataDxfId="149"/>
    <tableColumn id="14" xr3:uid="{00000000-0010-0000-0500-00000E000000}" name="1m Chg" dataDxfId="14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394973-5A21-477B-BC49-B67C1AB4D69A}" name="current_nok" displayName="current_nok" ref="D56:N68" totalsRowShown="0" headerRowDxfId="147" dataDxfId="146">
  <autoFilter ref="D56:N68" xr:uid="{BD394973-5A21-477B-BC49-B67C1AB4D69A}"/>
  <tableColumns count="11">
    <tableColumn id="1" xr3:uid="{39062E9A-28A7-4AD4-B8AE-298AAA860222}" name="CurrentDate" dataDxfId="145"/>
    <tableColumn id="2" xr3:uid="{692BE9CD-2F82-4471-811F-7561D66C5970}" name="Meeting" dataDxfId="144" dataCellStyle="Normal 2">
      <calculatedColumnFormula>TEXT(F57, "mmm")</calculatedColumnFormula>
    </tableColumn>
    <tableColumn id="3" xr3:uid="{FC03AF2C-74A1-4106-B709-E4DDB6855936}" name="StartDate" dataDxfId="143" dataCellStyle="Normal 2"/>
    <tableColumn id="4" xr3:uid="{E370220C-F193-4E8B-B72E-BC5E23DE59A4}" name="EndDate" dataDxfId="142" dataCellStyle="Normal 2"/>
    <tableColumn id="5" xr3:uid="{2DF57917-32E1-4F99-AD36-056EDEE3F7AB}" name="Rate" dataDxfId="141" dataCellStyle="Normal 2"/>
    <tableColumn id="9" xr3:uid="{21A8CE3D-B1C5-45F2-839A-63CC22C242A3}" name="StepDelta" dataDxfId="140" dataCellStyle="Normal 2"/>
    <tableColumn id="10" xr3:uid="{24213EB8-5573-4264-B9C7-5C674A70152C}" name="Priced In(Total)" dataDxfId="139" dataCellStyle="Normal 2">
      <calculatedColumnFormula>(H57-$C$40)*100</calculatedColumnFormula>
    </tableColumn>
    <tableColumn id="11" xr3:uid="{5D05E246-9CDA-46DD-BA28-3827D230B519}" name="Percent" dataDxfId="138" dataCellStyle="Normal 2">
      <calculatedColumnFormula>((J57)/25)</calculatedColumnFormula>
    </tableColumn>
    <tableColumn id="12" xr3:uid="{7A422D36-691A-45CE-AF7E-876CFFEDB259}" name="1d Chg" dataDxfId="137"/>
    <tableColumn id="13" xr3:uid="{620BB4E9-536E-489C-AB64-5816D698DC18}" name="1w Chg" dataDxfId="136"/>
    <tableColumn id="14" xr3:uid="{2454D52B-2E06-4E25-863C-2FC5C643F8AB}" name="1m Chg" dataDxfId="1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21DAC72-B0FF-49C6-8321-63D581AC6B52}" name="current_jpy" displayName="current_jpy" ref="T56:AD68" totalsRowShown="0" headerRowDxfId="134" dataDxfId="133">
  <autoFilter ref="T56:AD68" xr:uid="{D21DAC72-B0FF-49C6-8321-63D581AC6B52}"/>
  <tableColumns count="11">
    <tableColumn id="1" xr3:uid="{2E3072CE-A732-4EBE-8B74-BE19D604F15C}" name="CurrentDate" dataDxfId="132"/>
    <tableColumn id="2" xr3:uid="{B25D588E-235C-4B5B-81E9-9852051A3770}" name="Meeting" dataDxfId="131" dataCellStyle="Normal 2">
      <calculatedColumnFormula>TEXT(V57, "mmm")</calculatedColumnFormula>
    </tableColumn>
    <tableColumn id="3" xr3:uid="{9717C11E-9221-4A87-BA8F-FE08829458B2}" name="StartDate" dataDxfId="130" dataCellStyle="Normal 2"/>
    <tableColumn id="4" xr3:uid="{15E04482-A0A1-429E-8F78-67FB45012108}" name="EndDate" dataDxfId="129" dataCellStyle="Normal 2"/>
    <tableColumn id="5" xr3:uid="{6EF43B92-A42C-4B87-8E63-41F452D3A6AB}" name="Rate" dataDxfId="128" dataCellStyle="Normal 2"/>
    <tableColumn id="9" xr3:uid="{F57568AD-1A6B-410D-AB1C-6D9041894EDF}" name="StepDelta" dataDxfId="127" dataCellStyle="Normal 2"/>
    <tableColumn id="10" xr3:uid="{E1581CB0-15E6-4A98-9FF4-CF6941FB1E90}" name="Priced In(Total)" dataDxfId="126" dataCellStyle="Normal 2">
      <calculatedColumnFormula>(X57-$C$40)*100</calculatedColumnFormula>
    </tableColumn>
    <tableColumn id="11" xr3:uid="{C1554506-6D6D-4F8B-A08C-2BBB81D2AB6C}" name="Percent" dataDxfId="125" dataCellStyle="Normal 2">
      <calculatedColumnFormula>((Z57)/25)</calculatedColumnFormula>
    </tableColumn>
    <tableColumn id="12" xr3:uid="{34C86337-389E-40D9-843A-F8706A4CB9DC}" name="1d Chg" dataDxfId="124"/>
    <tableColumn id="13" xr3:uid="{67A93326-906E-4D23-9C95-3D03360A32BE}" name="1w Chg" dataDxfId="123"/>
    <tableColumn id="14" xr3:uid="{14EBD33A-FEC2-4E95-BCD1-D6D4DEDAA15F}" name="1m Chg" dataDxfId="1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EBE095-E23A-4991-B6D5-13DDEF1F4F3C}" name="current_sek" displayName="current_sek" ref="D73:N85" totalsRowShown="0" headerRowDxfId="121" dataDxfId="120">
  <autoFilter ref="D73:N85" xr:uid="{17EBE095-E23A-4991-B6D5-13DDEF1F4F3C}"/>
  <tableColumns count="11">
    <tableColumn id="1" xr3:uid="{3AA56839-A15E-4973-BC54-C5C80A801165}" name="CurrentDate" dataDxfId="119"/>
    <tableColumn id="2" xr3:uid="{9F047FDC-D78F-4588-8130-F648BE0DAE60}" name="Meeting" dataDxfId="118" dataCellStyle="Normal 2">
      <calculatedColumnFormula>TEXT(F74, "mmm")</calculatedColumnFormula>
    </tableColumn>
    <tableColumn id="3" xr3:uid="{08246863-FF43-499B-97C8-5E61996BEE3F}" name="StartDate" dataDxfId="117" dataCellStyle="Normal 2"/>
    <tableColumn id="4" xr3:uid="{C53DA66F-4ED6-4EAF-8634-899272E205B7}" name="EndDate" dataDxfId="116" dataCellStyle="Normal 2"/>
    <tableColumn id="5" xr3:uid="{61F4FE7E-395B-4DF2-A0F9-EAB12173467E}" name="Rate" dataDxfId="115" dataCellStyle="Normal 2"/>
    <tableColumn id="9" xr3:uid="{8999BFCA-4E5A-4968-8C38-2B3E41F94114}" name="StepDelta" dataDxfId="114" dataCellStyle="Normal 2"/>
    <tableColumn id="10" xr3:uid="{39B1C416-DBF5-4285-BD2F-B775C16B841A}" name="Priced In(Total)" dataDxfId="113" dataCellStyle="Normal 2">
      <calculatedColumnFormula>(H74-$C$40)*100</calculatedColumnFormula>
    </tableColumn>
    <tableColumn id="11" xr3:uid="{D830A952-7B8A-4723-B28C-106F9471E6BD}" name="Percent" dataDxfId="112" dataCellStyle="Normal 2">
      <calculatedColumnFormula>((J74)/25)</calculatedColumnFormula>
    </tableColumn>
    <tableColumn id="12" xr3:uid="{5D2FDE23-148E-4CA0-B692-4A0C8EE6EF9D}" name="1d Chg" dataDxfId="111"/>
    <tableColumn id="13" xr3:uid="{74BA3C46-021F-4C57-AB05-78B884276D86}" name="1w Chg" dataDxfId="110"/>
    <tableColumn id="14" xr3:uid="{65C898B8-7C96-4535-9A00-B3094CEC63AB}" name="1m Chg" dataDxfId="10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history_au" displayName="history_au" ref="A1:K493" totalsRowShown="0" headerRowDxfId="108" dataDxfId="107">
  <autoFilter ref="A1:K493" xr:uid="{00000000-0009-0000-0100-000003000000}"/>
  <tableColumns count="11">
    <tableColumn id="1" xr3:uid="{00000000-0010-0000-0700-000001000000}" name="CurrentDate" dataDxfId="106"/>
    <tableColumn id="2" xr3:uid="{00000000-0010-0000-0700-000002000000}" name="Meeting" dataDxfId="105"/>
    <tableColumn id="3" xr3:uid="{00000000-0010-0000-0700-000003000000}" name="StartDate" dataDxfId="104"/>
    <tableColumn id="4" xr3:uid="{00000000-0010-0000-0700-000004000000}" name="EndDate" dataDxfId="103"/>
    <tableColumn id="5" xr3:uid="{00000000-0010-0000-0700-000005000000}" name="Rate" dataDxfId="102"/>
    <tableColumn id="9" xr3:uid="{00000000-0010-0000-0700-000009000000}" name="StepDelta" dataDxfId="101"/>
    <tableColumn id="10" xr3:uid="{00000000-0010-0000-0700-00000A000000}" name="Priced In(Total)" dataDxfId="100"/>
    <tableColumn id="11" xr3:uid="{00000000-0010-0000-0700-00000B000000}" name="Percent" dataDxfId="99"/>
    <tableColumn id="12" xr3:uid="{00000000-0010-0000-0700-00000C000000}" name="1d Chg" dataDxfId="98"/>
    <tableColumn id="13" xr3:uid="{00000000-0010-0000-0700-00000D000000}" name="1w Chg" dataDxfId="97"/>
    <tableColumn id="14" xr3:uid="{00000000-0010-0000-0700-00000E000000}" name="1m Chg" dataDxfId="9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history_nz" displayName="history_nz" ref="A1:L484" totalsRowShown="0" headerRowDxfId="95" dataDxfId="94">
  <autoFilter ref="A1:L484" xr:uid="{00000000-0009-0000-0100-000008000000}"/>
  <tableColumns count="12">
    <tableColumn id="1" xr3:uid="{00000000-0010-0000-0800-000001000000}" name="CurrentDate" dataDxfId="93"/>
    <tableColumn id="2" xr3:uid="{00000000-0010-0000-0800-000002000000}" name="Meeting" dataDxfId="92"/>
    <tableColumn id="3" xr3:uid="{00000000-0010-0000-0800-000003000000}" name="StartDate" dataDxfId="91"/>
    <tableColumn id="4" xr3:uid="{00000000-0010-0000-0800-000004000000}" name="EndDate" dataDxfId="90"/>
    <tableColumn id="5" xr3:uid="{00000000-0010-0000-0800-000005000000}" name="Rate" dataDxfId="89"/>
    <tableColumn id="9" xr3:uid="{00000000-0010-0000-0800-000009000000}" name="StepDelta" dataDxfId="88"/>
    <tableColumn id="10" xr3:uid="{00000000-0010-0000-0800-00000A000000}" name="Priced In(Total)" dataDxfId="87"/>
    <tableColumn id="11" xr3:uid="{00000000-0010-0000-0800-00000B000000}" name="Percent" dataDxfId="86"/>
    <tableColumn id="12" xr3:uid="{00000000-0010-0000-0800-00000C000000}" name="1d Chg" dataDxfId="85"/>
    <tableColumn id="13" xr3:uid="{00000000-0010-0000-0800-00000D000000}" name="1w Chg" dataDxfId="84"/>
    <tableColumn id="14" xr3:uid="{00000000-0010-0000-0800-00000E000000}" name="1m Chg" dataDxfId="83"/>
    <tableColumn id="6" xr3:uid="{D5329D66-4BE2-4C21-9D6F-D0B4851C4567}" name="Column1" dataDxfId="8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history_eu" displayName="history_eu" ref="A1:K546" totalsRowShown="0" headerRowDxfId="81" dataDxfId="80">
  <autoFilter ref="A1:K546" xr:uid="{00000000-0009-0000-0100-000009000000}"/>
  <tableColumns count="11">
    <tableColumn id="1" xr3:uid="{00000000-0010-0000-0900-000001000000}" name="CurrentDate" dataDxfId="79"/>
    <tableColumn id="2" xr3:uid="{00000000-0010-0000-0900-000002000000}" name="Meeting" dataDxfId="78"/>
    <tableColumn id="3" xr3:uid="{00000000-0010-0000-0900-000003000000}" name="StartDate" dataDxfId="77"/>
    <tableColumn id="4" xr3:uid="{00000000-0010-0000-0900-000004000000}" name="EndDate" dataDxfId="76"/>
    <tableColumn id="5" xr3:uid="{00000000-0010-0000-0900-000005000000}" name="Rate" dataDxfId="75"/>
    <tableColumn id="9" xr3:uid="{00000000-0010-0000-0900-000009000000}" name="StepDelta" dataDxfId="74"/>
    <tableColumn id="10" xr3:uid="{00000000-0010-0000-0900-00000A000000}" name="Priced In(Total)" dataDxfId="73"/>
    <tableColumn id="11" xr3:uid="{00000000-0010-0000-0900-00000B000000}" name="Percent" dataDxfId="72"/>
    <tableColumn id="12" xr3:uid="{00000000-0010-0000-0900-00000C000000}" name="1d Chg" dataDxfId="71"/>
    <tableColumn id="13" xr3:uid="{00000000-0010-0000-0900-00000D000000}" name="1w Chg" dataDxfId="70"/>
    <tableColumn id="14" xr3:uid="{00000000-0010-0000-0900-00000E000000}" name="1m Chg"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history_uk" displayName="history_uk" ref="A1:K549" totalsRowShown="0" headerRowDxfId="68" dataDxfId="67">
  <autoFilter ref="A1:K549" xr:uid="{00000000-0009-0000-0100-00000B000000}"/>
  <tableColumns count="11">
    <tableColumn id="1" xr3:uid="{00000000-0010-0000-0A00-000001000000}" name="CurrentDate" dataDxfId="66"/>
    <tableColumn id="2" xr3:uid="{00000000-0010-0000-0A00-000002000000}" name="Meeting" dataDxfId="65"/>
    <tableColumn id="3" xr3:uid="{00000000-0010-0000-0A00-000003000000}" name="StartDate" dataDxfId="64"/>
    <tableColumn id="4" xr3:uid="{00000000-0010-0000-0A00-000004000000}" name="EndDate" dataDxfId="63"/>
    <tableColumn id="5" xr3:uid="{00000000-0010-0000-0A00-000005000000}" name="Rate" dataDxfId="62"/>
    <tableColumn id="9" xr3:uid="{00000000-0010-0000-0A00-000009000000}" name="StepDelta" dataDxfId="61"/>
    <tableColumn id="10" xr3:uid="{00000000-0010-0000-0A00-00000A000000}" name="Priced In(Total)" dataDxfId="60"/>
    <tableColumn id="11" xr3:uid="{00000000-0010-0000-0A00-00000B000000}" name="Percent" dataDxfId="59"/>
    <tableColumn id="12" xr3:uid="{00000000-0010-0000-0A00-00000C000000}" name="1d Chg" dataDxfId="58"/>
    <tableColumn id="13" xr3:uid="{00000000-0010-0000-0A00-00000D000000}" name="1w Chg" dataDxfId="57"/>
    <tableColumn id="14" xr3:uid="{00000000-0010-0000-0A00-00000E000000}" name="1m Chg"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history_us" displayName="history_us" ref="A1:K549" totalsRowShown="0" headerRowDxfId="55" dataDxfId="54">
  <autoFilter ref="A1:K549" xr:uid="{00000000-0009-0000-0100-00000D000000}"/>
  <tableColumns count="11">
    <tableColumn id="1" xr3:uid="{00000000-0010-0000-0B00-000001000000}" name="CurrentDate" dataDxfId="53"/>
    <tableColumn id="2" xr3:uid="{00000000-0010-0000-0B00-000002000000}" name="Meeting" dataDxfId="52"/>
    <tableColumn id="3" xr3:uid="{00000000-0010-0000-0B00-000003000000}" name="StartDate" dataDxfId="51"/>
    <tableColumn id="4" xr3:uid="{00000000-0010-0000-0B00-000004000000}" name="EndDate" dataDxfId="50"/>
    <tableColumn id="5" xr3:uid="{00000000-0010-0000-0B00-000005000000}" name="Rate" dataDxfId="49"/>
    <tableColumn id="9" xr3:uid="{00000000-0010-0000-0B00-000009000000}" name="StepDelta" dataDxfId="48"/>
    <tableColumn id="10" xr3:uid="{00000000-0010-0000-0B00-00000A000000}" name="Priced In(Total)" dataDxfId="47"/>
    <tableColumn id="11" xr3:uid="{00000000-0010-0000-0B00-00000B000000}" name="Percent" dataDxfId="46"/>
    <tableColumn id="12" xr3:uid="{00000000-0010-0000-0B00-00000C000000}" name="1d Chg" dataDxfId="45"/>
    <tableColumn id="13" xr3:uid="{00000000-0010-0000-0B00-00000D000000}" name="1w Chg" dataDxfId="44"/>
    <tableColumn id="14" xr3:uid="{00000000-0010-0000-0B00-00000E000000}" name="1m Chg" dataDxfId="4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history_cd" displayName="history_cd" ref="A1:K571" totalsRowShown="0" headerRowDxfId="42" dataDxfId="41">
  <autoFilter ref="A1:K571" xr:uid="{00000000-0009-0000-0100-00000E000000}"/>
  <tableColumns count="11">
    <tableColumn id="1" xr3:uid="{00000000-0010-0000-0C00-000001000000}" name="CurrentDate" dataDxfId="40"/>
    <tableColumn id="2" xr3:uid="{00000000-0010-0000-0C00-000002000000}" name="Meeting" dataDxfId="39"/>
    <tableColumn id="3" xr3:uid="{00000000-0010-0000-0C00-000003000000}" name="StartDate" dataDxfId="38"/>
    <tableColumn id="4" xr3:uid="{00000000-0010-0000-0C00-000004000000}" name="EndDate" dataDxfId="37"/>
    <tableColumn id="5" xr3:uid="{00000000-0010-0000-0C00-000005000000}" name="Rate" dataDxfId="36"/>
    <tableColumn id="9" xr3:uid="{00000000-0010-0000-0C00-000009000000}" name="StepDelta" dataDxfId="35"/>
    <tableColumn id="10" xr3:uid="{00000000-0010-0000-0C00-00000A000000}" name="Priced In(Total)" dataDxfId="34"/>
    <tableColumn id="11" xr3:uid="{00000000-0010-0000-0C00-00000B000000}" name="Percent" dataDxfId="33"/>
    <tableColumn id="12" xr3:uid="{00000000-0010-0000-0C00-00000C000000}" name="1d Chg" dataDxfId="32"/>
    <tableColumn id="13" xr3:uid="{00000000-0010-0000-0C00-00000D000000}" name="1w Chg" dataDxfId="31"/>
    <tableColumn id="14" xr3:uid="{00000000-0010-0000-0C00-00000E000000}" name="1m Chg" dataDxfId="3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history_sz" displayName="history_sz" ref="A1:K154" totalsRowShown="0" headerRowDxfId="29" dataDxfId="27" headerRowBorderDxfId="28" tableBorderDxfId="26" totalsRowBorderDxfId="25">
  <autoFilter ref="A1:K154" xr:uid="{00000000-0009-0000-0100-00000F000000}"/>
  <tableColumns count="11">
    <tableColumn id="1" xr3:uid="{00000000-0010-0000-0D00-000001000000}" name="CurrentDate" dataDxfId="24"/>
    <tableColumn id="2" xr3:uid="{00000000-0010-0000-0D00-000002000000}" name="Meeting" dataDxfId="23"/>
    <tableColumn id="3" xr3:uid="{00000000-0010-0000-0D00-000003000000}" name="StartDate" dataDxfId="22"/>
    <tableColumn id="4" xr3:uid="{00000000-0010-0000-0D00-000004000000}" name="EndDate" dataDxfId="21"/>
    <tableColumn id="5" xr3:uid="{00000000-0010-0000-0D00-000005000000}" name="Rate" dataDxfId="20"/>
    <tableColumn id="6" xr3:uid="{00000000-0010-0000-0D00-000006000000}" name="StepDelta" dataDxfId="19"/>
    <tableColumn id="7" xr3:uid="{00000000-0010-0000-0D00-000007000000}" name="Priced In(Total)" dataDxfId="18"/>
    <tableColumn id="8" xr3:uid="{00000000-0010-0000-0D00-000008000000}" name="Percent" dataDxfId="17"/>
    <tableColumn id="9" xr3:uid="{00000000-0010-0000-0D00-000009000000}" name="1d Chg" dataDxfId="16"/>
    <tableColumn id="10" xr3:uid="{00000000-0010-0000-0D00-00000A000000}" name="1w Chg" dataDxfId="15"/>
    <tableColumn id="11" xr3:uid="{00000000-0010-0000-0D00-00000B000000}" name="1m Chg" dataDxfId="1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A342325-B83A-4371-8607-B6369E0BCF17}" name="history_nok" displayName="history_nok" ref="A1:L489" totalsRowShown="0" headerRowDxfId="13" headerRowBorderDxfId="12" tableBorderDxfId="11">
  <autoFilter ref="A1:L489" xr:uid="{8A342325-B83A-4371-8607-B6369E0BCF17}"/>
  <tableColumns count="12">
    <tableColumn id="1" xr3:uid="{482E73E6-2F45-4AAE-A439-5CFB0313E1F3}" name="CurrentDate" dataDxfId="10"/>
    <tableColumn id="2" xr3:uid="{9896902A-5915-4A8B-8FAD-47CCFA06B77A}" name="Meeting"/>
    <tableColumn id="3" xr3:uid="{E028436C-5AD6-4F2B-A364-73D176646FE9}" name="StartDate"/>
    <tableColumn id="4" xr3:uid="{B0B6E68F-70D1-4999-A490-1C97AA375572}" name="EndDate"/>
    <tableColumn id="5" xr3:uid="{52F202DE-5A77-4BF6-A2C1-799DE3117B87}" name="Rate"/>
    <tableColumn id="6" xr3:uid="{E85A57E1-4143-4B0B-AB17-C6709522E254}" name="StepDelta"/>
    <tableColumn id="7" xr3:uid="{CAE57BF3-68C4-4E36-829B-E21313DD83A1}" name="Priced In(Total)"/>
    <tableColumn id="8" xr3:uid="{2225C9C9-5D6D-47DE-88C5-F6EDD374289F}" name="Percent"/>
    <tableColumn id="9" xr3:uid="{D8EBFD74-1DDC-4DCA-B9A3-DA18CFEB6735}" name="1d Chg"/>
    <tableColumn id="10" xr3:uid="{F6757A80-69EB-4337-8BF5-CB71E411E202}" name="1w Chg"/>
    <tableColumn id="11" xr3:uid="{369282D0-3A8B-4457-B4C8-94C48BCCD4AB}" name="1m Chg"/>
    <tableColumn id="12" xr3:uid="{AF0F839A-0197-4675-A868-B17C2F36F5AC}" name="Column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76A907-F618-4073-8EAF-93E1B5B7CF79}" name="history_jpy" displayName="history_jpy" ref="A1:K484" totalsRowShown="0" headerRowDxfId="9" headerRowBorderDxfId="8" tableBorderDxfId="7">
  <autoFilter ref="A1:K484" xr:uid="{BC76A907-F618-4073-8EAF-93E1B5B7CF79}"/>
  <tableColumns count="11">
    <tableColumn id="1" xr3:uid="{E5866090-C9FA-42C1-A3D4-E2DDEB15EEF8}" name="CurrentDate" dataDxfId="6"/>
    <tableColumn id="2" xr3:uid="{33EF5A56-7BD3-4638-AF43-9AD88F9FD749}" name="Meeting"/>
    <tableColumn id="3" xr3:uid="{880D132C-2C00-4092-8011-42F1DD805040}" name="StartDate"/>
    <tableColumn id="4" xr3:uid="{4D157F36-304E-470A-8EED-D5E027FE44EA}" name="EndDate"/>
    <tableColumn id="5" xr3:uid="{DB96D3F3-E976-4231-9055-F819994E5977}" name="Rate"/>
    <tableColumn id="6" xr3:uid="{542E5178-1146-4C81-B408-31897E0CE870}" name="StepDelta"/>
    <tableColumn id="7" xr3:uid="{7098864D-D336-4271-B00E-EEC3E45395B6}" name="Priced In(Total)"/>
    <tableColumn id="8" xr3:uid="{68C29648-8DF5-4BCF-AFD0-AEF232DF6316}" name="Percent"/>
    <tableColumn id="9" xr3:uid="{DA146567-EDFB-443B-BA57-CFC078326D7F}" name="1d Chg"/>
    <tableColumn id="10" xr3:uid="{FF391AF4-1593-4210-9AC9-69E7A3C19167}" name="1w Chg"/>
    <tableColumn id="11" xr3:uid="{BAB46E3E-BF68-498F-BCC7-FADCEC07C0FE}" name="1m Chg"/>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EC7A183-776D-4D90-A925-501BB77DB90D}" name="history_sek" displayName="history_sek" ref="A1:K480" totalsRowShown="0" headerRowDxfId="5" headerRowBorderDxfId="4" tableBorderDxfId="3">
  <autoFilter ref="A1:K480" xr:uid="{0EC7A183-776D-4D90-A925-501BB77DB90D}"/>
  <tableColumns count="11">
    <tableColumn id="1" xr3:uid="{DBA012A4-E299-46BD-9D18-ECF6D24CAB2D}" name="CurrentDate" dataDxfId="2"/>
    <tableColumn id="2" xr3:uid="{3750A9B4-9808-4835-A30C-94AD89D42522}" name="Meeting"/>
    <tableColumn id="3" xr3:uid="{D01ABABE-4F39-4AE0-ABFE-DCD66EAC9A7D}" name="StartDate" dataDxfId="1"/>
    <tableColumn id="4" xr3:uid="{A72DA826-AB81-4E3D-893E-169211F82F3A}" name="EndDate" dataDxfId="0"/>
    <tableColumn id="5" xr3:uid="{E410534B-A049-4A0D-A519-791CDD87F2A5}" name="Rate"/>
    <tableColumn id="6" xr3:uid="{1E909777-311C-46D2-929B-7C4D1320F75A}" name="StepDelta"/>
    <tableColumn id="7" xr3:uid="{4449F783-0C1B-406B-B9DD-72FA0C6EEA07}" name="Priced In(Total)"/>
    <tableColumn id="8" xr3:uid="{10F860A9-C33F-4D5B-8874-9092543BF15E}" name="Percent"/>
    <tableColumn id="9" xr3:uid="{626FA20B-A0CB-4A3C-9DE1-5C2BE101BA0C}" name="1d Chg"/>
    <tableColumn id="10" xr3:uid="{B9126095-2A8B-4BE4-B46F-0D1EF08389C5}" name="1w Chg"/>
    <tableColumn id="11" xr3:uid="{C4B635A2-8A81-486D-AA36-81DA93449404}" name="1m Ch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worldsport.ge/ge/page/186696_realma-pogbas-damatebistvis-fexburteli-unda-gayidos?fbclid=IwAR1Q8_AuVjfuFyEqRQbAPIWQl1LwCJxT8yrAB4_5wAq_JUjGwmGboJ4jIZo" TargetMode="External"/><Relationship Id="rId13" Type="http://schemas.openxmlformats.org/officeDocument/2006/relationships/ctrlProp" Target="../ctrlProps/ctrlProp1.xml"/><Relationship Id="rId18" Type="http://schemas.openxmlformats.org/officeDocument/2006/relationships/table" Target="../tables/table5.xml"/><Relationship Id="rId3" Type="http://schemas.openxmlformats.org/officeDocument/2006/relationships/hyperlink" Target="https://www.worldsport.ge/ge/page/186696_realma-pogbas-damatebistvis-fexburteli-unda-gayidos?fbclid=IwAR1Q8_AuVjfuFyEqRQbAPIWQl1LwCJxT8yrAB4_5wAq_JUjGwmGboJ4jIZo" TargetMode="External"/><Relationship Id="rId21" Type="http://schemas.openxmlformats.org/officeDocument/2006/relationships/table" Target="../tables/table8.xml"/><Relationship Id="rId7" Type="http://schemas.openxmlformats.org/officeDocument/2006/relationships/hyperlink" Target="https://www.worldsport.ge/ge/page/186696_realma-pogbas-damatebistvis-fexburteli-unda-gayidos?fbclid=IwAR1Q8_AuVjfuFyEqRQbAPIWQl1LwCJxT8yrAB4_5wAq_JUjGwmGboJ4jIZo" TargetMode="External"/><Relationship Id="rId12" Type="http://schemas.openxmlformats.org/officeDocument/2006/relationships/vmlDrawing" Target="../drawings/vmlDrawing1.vml"/><Relationship Id="rId17" Type="http://schemas.openxmlformats.org/officeDocument/2006/relationships/table" Target="../tables/table4.xml"/><Relationship Id="rId2" Type="http://schemas.openxmlformats.org/officeDocument/2006/relationships/hyperlink" Target="https://www.worldsport.ge/ge/page/186696_realma-pogbas-damatebistvis-fexburteli-unda-gayidos?fbclid=IwAR1Q8_AuVjfuFyEqRQbAPIWQl1LwCJxT8yrAB4_5wAq_JUjGwmGboJ4jIZo" TargetMode="External"/><Relationship Id="rId16" Type="http://schemas.openxmlformats.org/officeDocument/2006/relationships/table" Target="../tables/table3.xml"/><Relationship Id="rId20" Type="http://schemas.openxmlformats.org/officeDocument/2006/relationships/table" Target="../tables/table7.xml"/><Relationship Id="rId1" Type="http://schemas.openxmlformats.org/officeDocument/2006/relationships/hyperlink" Target="https://www.worldsport.ge/ge/page/186696_realma-pogbas-damatebistvis-fexburteli-unda-gayidos?fbclid=IwAR1Q8_AuVjfuFyEqRQbAPIWQl1LwCJxT8yrAB4_5wAq_JUjGwmGboJ4jIZo" TargetMode="External"/><Relationship Id="rId6" Type="http://schemas.openxmlformats.org/officeDocument/2006/relationships/hyperlink" Target="https://www.worldsport.ge/ge/page/186696_realma-pogbas-damatebistvis-fexburteli-unda-gayidos?fbclid=IwAR1Q8_AuVjfuFyEqRQbAPIWQl1LwCJxT8yrAB4_5wAq_JUjGwmGboJ4jIZo" TargetMode="External"/><Relationship Id="rId11" Type="http://schemas.openxmlformats.org/officeDocument/2006/relationships/drawing" Target="../drawings/drawing1.xml"/><Relationship Id="rId5" Type="http://schemas.openxmlformats.org/officeDocument/2006/relationships/hyperlink" Target="https://www.worldsport.ge/ge/page/186696_realma-pogbas-damatebistvis-fexburteli-unda-gayidos?fbclid=IwAR1Q8_AuVjfuFyEqRQbAPIWQl1LwCJxT8yrAB4_5wAq_JUjGwmGboJ4jIZo" TargetMode="External"/><Relationship Id="rId15" Type="http://schemas.openxmlformats.org/officeDocument/2006/relationships/table" Target="../tables/table2.xml"/><Relationship Id="rId10" Type="http://schemas.openxmlformats.org/officeDocument/2006/relationships/printerSettings" Target="../printerSettings/printerSettings1.bin"/><Relationship Id="rId19" Type="http://schemas.openxmlformats.org/officeDocument/2006/relationships/table" Target="../tables/table6.xml"/><Relationship Id="rId4" Type="http://schemas.openxmlformats.org/officeDocument/2006/relationships/hyperlink" Target="https://www.worldsport.ge/ge/page/186696_realma-pogbas-damatebistvis-fexburteli-unda-gayidos?fbclid=IwAR1Q8_AuVjfuFyEqRQbAPIWQl1LwCJxT8yrAB4_5wAq_JUjGwmGboJ4jIZo" TargetMode="External"/><Relationship Id="rId9" Type="http://schemas.openxmlformats.org/officeDocument/2006/relationships/hyperlink" Target="https://www.worldsport.ge/ge/page/186696_realma-pogbas-damatebistvis-fexburteli-unda-gayidos?fbclid=IwAR1Q8_AuVjfuFyEqRQbAPIWQl1LwCJxT8yrAB4_5wAq_JUjGwmGboJ4jIZo" TargetMode="External"/><Relationship Id="rId14" Type="http://schemas.openxmlformats.org/officeDocument/2006/relationships/table" Target="../tables/table1.xml"/><Relationship Id="rId22" Type="http://schemas.openxmlformats.org/officeDocument/2006/relationships/table" Target="../tables/table9.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2.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printerSettings" Target="../printerSettings/printerSettings3.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printerSettings" Target="../printerSettings/printerSettings4.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printerSettings" Target="../printerSettings/printerSettings5.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54"/>
  <sheetViews>
    <sheetView topLeftCell="A46" zoomScale="60" zoomScaleNormal="60" workbookViewId="0">
      <selection activeCell="W82" sqref="W82"/>
    </sheetView>
  </sheetViews>
  <sheetFormatPr defaultColWidth="9.140625" defaultRowHeight="18.75" x14ac:dyDescent="0.3"/>
  <cols>
    <col min="1" max="1" width="7.42578125" style="24" customWidth="1"/>
    <col min="2" max="2" width="17.85546875" style="24" bestFit="1" customWidth="1"/>
    <col min="3" max="3" width="20.140625" style="24" bestFit="1" customWidth="1"/>
    <col min="4" max="4" width="15.28515625" style="24" bestFit="1" customWidth="1"/>
    <col min="5" max="5" width="12.5703125" style="24" customWidth="1"/>
    <col min="6" max="7" width="14.85546875" style="24" bestFit="1" customWidth="1"/>
    <col min="8" max="8" width="21.85546875" style="24" customWidth="1"/>
    <col min="9" max="9" width="11.85546875" style="24" customWidth="1"/>
    <col min="10" max="10" width="16.7109375" style="24" customWidth="1"/>
    <col min="11" max="11" width="11.85546875" style="24" customWidth="1"/>
    <col min="12" max="14" width="10.5703125" style="24" bestFit="1" customWidth="1"/>
    <col min="15" max="15" width="13" style="24" bestFit="1" customWidth="1"/>
    <col min="16" max="16" width="16.140625" style="24" bestFit="1" customWidth="1"/>
    <col min="17" max="17" width="9" style="24" customWidth="1"/>
    <col min="18" max="18" width="32.42578125" style="24" bestFit="1" customWidth="1"/>
    <col min="19" max="19" width="13.7109375" style="24" bestFit="1" customWidth="1"/>
    <col min="20" max="20" width="18.140625" style="24" bestFit="1" customWidth="1"/>
    <col min="21" max="21" width="9.42578125" style="24" customWidth="1"/>
    <col min="22" max="22" width="14.7109375" style="24" bestFit="1" customWidth="1"/>
    <col min="23" max="23" width="14.85546875" style="24" bestFit="1" customWidth="1"/>
    <col min="24" max="24" width="10.5703125" style="24" bestFit="1" customWidth="1"/>
    <col min="25" max="25" width="12.28515625" style="24" bestFit="1" customWidth="1"/>
    <col min="26" max="26" width="13.5703125" style="24" bestFit="1" customWidth="1"/>
    <col min="27" max="27" width="12.7109375" style="24" bestFit="1" customWidth="1"/>
    <col min="28" max="29" width="9.42578125" style="24" bestFit="1" customWidth="1"/>
    <col min="30" max="30" width="10.5703125" style="24" bestFit="1" customWidth="1"/>
    <col min="31" max="31" width="9.140625" style="24"/>
    <col min="32" max="32" width="9.28515625" style="24" bestFit="1" customWidth="1"/>
    <col min="33" max="33" width="27.28515625" style="24" bestFit="1" customWidth="1"/>
    <col min="34" max="34" width="34" style="24" bestFit="1" customWidth="1"/>
    <col min="35" max="35" width="26" style="24" bestFit="1" customWidth="1"/>
    <col min="36" max="36" width="14.5703125" style="24" bestFit="1" customWidth="1"/>
    <col min="37" max="37" width="55.85546875" style="24" bestFit="1" customWidth="1"/>
    <col min="38" max="16384" width="9.140625" style="24"/>
  </cols>
  <sheetData>
    <row r="1" spans="1:36" x14ac:dyDescent="0.3">
      <c r="B1" s="576" t="s">
        <v>90</v>
      </c>
      <c r="C1" s="576"/>
      <c r="D1" s="576"/>
      <c r="E1" s="576"/>
      <c r="F1" s="576"/>
      <c r="G1" s="576"/>
      <c r="H1" s="576"/>
      <c r="I1" s="576"/>
      <c r="J1" s="576"/>
      <c r="K1" s="576"/>
      <c r="L1" s="576"/>
      <c r="M1" s="576"/>
      <c r="P1" s="577" t="s">
        <v>91</v>
      </c>
      <c r="Q1" s="577"/>
      <c r="R1" s="577"/>
      <c r="S1" s="577"/>
      <c r="T1" s="577"/>
      <c r="U1" s="577"/>
      <c r="V1" s="577"/>
      <c r="W1" s="577"/>
      <c r="X1" s="577"/>
      <c r="Y1" s="577"/>
      <c r="AG1" s="24" t="s">
        <v>152</v>
      </c>
    </row>
    <row r="2" spans="1:36" x14ac:dyDescent="0.3">
      <c r="B2" s="576"/>
      <c r="C2" s="576"/>
      <c r="D2" s="576"/>
      <c r="E2" s="576"/>
      <c r="F2" s="576"/>
      <c r="G2" s="576"/>
      <c r="H2" s="576"/>
      <c r="I2" s="576"/>
      <c r="J2" s="576"/>
      <c r="K2" s="576"/>
      <c r="L2" s="576"/>
      <c r="M2" s="576"/>
      <c r="P2" s="577"/>
      <c r="Q2" s="577"/>
      <c r="R2" s="577"/>
      <c r="S2" s="577"/>
      <c r="T2" s="577"/>
      <c r="U2" s="577"/>
      <c r="V2" s="577"/>
      <c r="W2" s="577"/>
      <c r="X2" s="577"/>
      <c r="Y2" s="577"/>
      <c r="AG2" s="24" t="s">
        <v>153</v>
      </c>
    </row>
    <row r="3" spans="1:36" x14ac:dyDescent="0.3">
      <c r="P3" s="577"/>
      <c r="Q3" s="577"/>
      <c r="R3" s="577"/>
      <c r="S3" s="577"/>
      <c r="T3" s="577"/>
      <c r="U3" s="577"/>
      <c r="V3" s="577"/>
      <c r="W3" s="577"/>
      <c r="X3" s="577"/>
      <c r="Y3" s="577"/>
      <c r="AG3" s="24" t="s">
        <v>154</v>
      </c>
    </row>
    <row r="5" spans="1:36" x14ac:dyDescent="0.3">
      <c r="A5" s="22"/>
      <c r="B5" s="23" t="s">
        <v>0</v>
      </c>
      <c r="C5" s="23"/>
      <c r="D5" s="23"/>
      <c r="E5" s="23" t="s">
        <v>2</v>
      </c>
      <c r="F5" s="23"/>
      <c r="G5" s="23"/>
      <c r="H5" s="23"/>
      <c r="I5" s="23"/>
      <c r="J5" s="23"/>
      <c r="K5" s="23"/>
      <c r="L5" s="22"/>
      <c r="M5" s="22"/>
      <c r="N5" s="22"/>
      <c r="R5" s="25" t="s">
        <v>25</v>
      </c>
      <c r="S5" s="25"/>
      <c r="T5" s="25"/>
      <c r="U5" s="25" t="s">
        <v>26</v>
      </c>
      <c r="V5" s="25"/>
      <c r="W5" s="25"/>
      <c r="X5" s="25"/>
      <c r="Y5" s="25"/>
      <c r="Z5" s="25"/>
      <c r="AA5" s="25"/>
      <c r="AB5" s="25"/>
      <c r="AC5" s="25"/>
      <c r="AD5" s="25"/>
      <c r="AF5" s="24" t="s">
        <v>61</v>
      </c>
      <c r="AG5" s="24" t="s">
        <v>61</v>
      </c>
    </row>
    <row r="6" spans="1:36" x14ac:dyDescent="0.3">
      <c r="A6" s="22"/>
      <c r="B6" s="23"/>
      <c r="C6" s="26"/>
      <c r="D6" s="27" t="s">
        <v>24</v>
      </c>
      <c r="E6" s="27" t="s">
        <v>3</v>
      </c>
      <c r="F6" s="27" t="s">
        <v>4</v>
      </c>
      <c r="G6" s="27" t="s">
        <v>5</v>
      </c>
      <c r="H6" s="27" t="s">
        <v>6</v>
      </c>
      <c r="I6" s="27" t="s">
        <v>20</v>
      </c>
      <c r="J6" s="27" t="s">
        <v>7</v>
      </c>
      <c r="K6" s="27" t="s">
        <v>8</v>
      </c>
      <c r="L6" s="28" t="s">
        <v>21</v>
      </c>
      <c r="M6" s="27" t="s">
        <v>22</v>
      </c>
      <c r="N6" s="27" t="s">
        <v>23</v>
      </c>
      <c r="O6" s="29"/>
      <c r="R6" s="25"/>
      <c r="S6" s="25"/>
      <c r="T6" s="30" t="s">
        <v>24</v>
      </c>
      <c r="U6" s="30" t="s">
        <v>3</v>
      </c>
      <c r="V6" s="30" t="s">
        <v>4</v>
      </c>
      <c r="W6" s="30" t="s">
        <v>5</v>
      </c>
      <c r="X6" s="30" t="s">
        <v>6</v>
      </c>
      <c r="Y6" s="30" t="s">
        <v>20</v>
      </c>
      <c r="Z6" s="30" t="s">
        <v>7</v>
      </c>
      <c r="AA6" s="30" t="s">
        <v>8</v>
      </c>
      <c r="AB6" s="31" t="s">
        <v>21</v>
      </c>
      <c r="AC6" s="30" t="s">
        <v>22</v>
      </c>
      <c r="AD6" s="30" t="s">
        <v>23</v>
      </c>
      <c r="AE6" s="180" t="s">
        <v>88</v>
      </c>
      <c r="AI6" s="32"/>
      <c r="AJ6" s="32"/>
    </row>
    <row r="7" spans="1:36" x14ac:dyDescent="0.3">
      <c r="A7" s="22"/>
      <c r="B7" s="23" t="s">
        <v>62</v>
      </c>
      <c r="C7" s="41" t="str" cm="1">
        <f t="array" ref="C7">_xll.BDP("RBACOR Index","LAST_PRICE")</f>
        <v>#N/A Requesting Data...</v>
      </c>
      <c r="D7" s="33">
        <v>46253</v>
      </c>
      <c r="E7" s="42" t="str">
        <f t="shared" ref="E7:E13" si="0">TEXT(F7, "mmm")</f>
        <v>#N/A Requesting Data...</v>
      </c>
      <c r="F7" s="265" t="str" cm="1">
        <f t="array" ref="F7">_xll.BDP("ADSF1A Curncy","SW_EFF_DT")</f>
        <v>#N/A Requesting Data...</v>
      </c>
      <c r="G7" s="265" t="str" cm="1">
        <f t="array" ref="G7">_xll.BDP("ADSF1A Curncy","MATURITY")</f>
        <v>#N/A Requesting Data...</v>
      </c>
      <c r="H7" s="34" t="str" cm="1">
        <f t="array" aca="1" ref="H7" ca="1">_xll.BDH("ADSF1A NABZ Curncy","LAST_PRICE",TODAY())</f>
        <v>#N/A Requesting Data...</v>
      </c>
      <c r="I7" s="275" t="e">
        <f ca="1">(H7-C7)*100</f>
        <v>#VALUE!</v>
      </c>
      <c r="J7" s="170" t="e">
        <f t="shared" ref="J7:J13" ca="1" si="1">(H7-$C$7)*100</f>
        <v>#VALUE!</v>
      </c>
      <c r="K7" s="35" t="e">
        <f t="shared" ref="K7:K13" ca="1" si="2">((J7)/25)</f>
        <v>#VALUE!</v>
      </c>
      <c r="L7" s="23">
        <v>-0.1000000000000334</v>
      </c>
      <c r="M7" s="23">
        <v>0.14999999999991687</v>
      </c>
      <c r="N7" s="23">
        <v>-5.5200000000000138</v>
      </c>
      <c r="O7" s="29"/>
      <c r="R7" s="25" t="s">
        <v>1</v>
      </c>
      <c r="S7" s="25" t="str" cm="1">
        <f t="array" ref="S7">_xll.BDP("NZOCRS Index","LAST_PRICE")</f>
        <v>#N/A Requesting Data...</v>
      </c>
      <c r="T7" s="36">
        <v>46253</v>
      </c>
      <c r="U7" s="45" t="str">
        <f t="shared" ref="U7:U12" si="3">TEXT(V7, "mmm")</f>
        <v>#N/A Requesting Data...</v>
      </c>
      <c r="V7" s="37" t="str" cm="1">
        <f t="array" ref="V7">_xll.BDP("NDSF1A Curncy","SW_EFF_DT")</f>
        <v>#N/A Requesting Data...</v>
      </c>
      <c r="W7" s="37" t="str" cm="1">
        <f t="array" ref="W7">_xll.BDP("NDSF1A Curncy","MATURITY")</f>
        <v>#N/A Requesting Data...</v>
      </c>
      <c r="X7" s="38" t="str" cm="1">
        <f t="array" ref="X7">_xll.BDP("NDSF1A NABZ Curncy","LAST_PRICE")</f>
        <v>#N/A Requesting Data...</v>
      </c>
      <c r="Y7" s="169" t="e">
        <f>(X7-S7)*100</f>
        <v>#VALUE!</v>
      </c>
      <c r="Z7" s="169" t="e">
        <f t="shared" ref="Z7:Z12" si="4">(X7-$S$7)*100</f>
        <v>#VALUE!</v>
      </c>
      <c r="AA7" s="39" t="e">
        <f t="shared" ref="AA7:AA12" si="5">((Z7)/25)</f>
        <v>#VALUE!</v>
      </c>
      <c r="AB7" s="150">
        <v>0.25000000000003908</v>
      </c>
      <c r="AC7" s="150">
        <v>0.25000000000003908</v>
      </c>
      <c r="AD7" s="150">
        <v>0.75000000000002842</v>
      </c>
      <c r="AE7" s="150"/>
      <c r="AI7" s="32"/>
      <c r="AJ7" s="32"/>
    </row>
    <row r="8" spans="1:36" x14ac:dyDescent="0.3">
      <c r="A8" s="22"/>
      <c r="B8" s="23"/>
      <c r="C8" s="43"/>
      <c r="D8" s="33">
        <v>46253</v>
      </c>
      <c r="E8" s="42" t="str">
        <f t="shared" si="0"/>
        <v>#N/A Requesting Data...</v>
      </c>
      <c r="F8" s="265" t="str" cm="1">
        <f t="array" ref="F8">_xll.BDP("ADSF2A Curncy","SW_EFF_DT")</f>
        <v>#N/A Requesting Data...</v>
      </c>
      <c r="G8" s="265" t="str" cm="1">
        <f t="array" ref="G8">_xll.BDP("ADSF2A Curncy","MATURITY")</f>
        <v>#N/A Requesting Data...</v>
      </c>
      <c r="H8" s="34" t="str" cm="1">
        <f t="array" aca="1" ref="H8" ca="1">_xll.BDH("ADSF2A NABZ Curncy","LAST_PRICE",TODAY())</f>
        <v>#N/A Requesting Data...</v>
      </c>
      <c r="I8" s="275" t="e">
        <f t="shared" ref="I8:I13" ca="1" si="6">(H8-H7)*100</f>
        <v>#VALUE!</v>
      </c>
      <c r="J8" s="170" t="e">
        <f t="shared" ca="1" si="1"/>
        <v>#VALUE!</v>
      </c>
      <c r="K8" s="35" t="e">
        <f t="shared" ca="1" si="2"/>
        <v>#VALUE!</v>
      </c>
      <c r="L8" s="23">
        <v>-0.1000000000000334</v>
      </c>
      <c r="M8" s="23">
        <v>-0.15000000000000568</v>
      </c>
      <c r="N8" s="23">
        <v>-3.6699999999999733</v>
      </c>
      <c r="O8" s="29"/>
      <c r="R8" s="25"/>
      <c r="S8" s="25" t="str" cm="1">
        <f t="array" ref="S8">_xll.BDP("NZOCRS Index","LAST_PRICE")</f>
        <v>#N/A Requesting Data...</v>
      </c>
      <c r="T8" s="36">
        <v>46253</v>
      </c>
      <c r="U8" s="45" t="str">
        <f t="shared" si="3"/>
        <v>#N/A Requesting Data...</v>
      </c>
      <c r="V8" s="37" t="str" cm="1">
        <f t="array" ref="V8">_xll.BDP("NDSF2A Curncy","SW_EFF_DT")</f>
        <v>#N/A Requesting Data...</v>
      </c>
      <c r="W8" s="37" t="str" cm="1">
        <f t="array" ref="W8">_xll.BDP("NDSF2A Curncy","MATURITY")</f>
        <v>#N/A Requesting Data...</v>
      </c>
      <c r="X8" s="38" t="str" cm="1">
        <f t="array" ref="X8">_xll.BDP("NDSF2A NABZ Curncy","LAST_PRICE")</f>
        <v>#N/A Requesting Data...</v>
      </c>
      <c r="Y8" s="169" t="e">
        <f t="shared" ref="Y8:Y13" si="7">(X8-X7)*100</f>
        <v>#VALUE!</v>
      </c>
      <c r="Z8" s="169" t="e">
        <f t="shared" si="4"/>
        <v>#VALUE!</v>
      </c>
      <c r="AA8" s="39" t="e">
        <f t="shared" si="5"/>
        <v>#VALUE!</v>
      </c>
      <c r="AB8" s="150">
        <v>0.49999999999998934</v>
      </c>
      <c r="AC8" s="150">
        <v>0.24999999999999467</v>
      </c>
      <c r="AD8" s="150">
        <v>-0.74999999999998401</v>
      </c>
      <c r="AE8" s="150"/>
      <c r="AG8" s="172"/>
      <c r="AH8" s="172"/>
      <c r="AI8" s="32"/>
      <c r="AJ8" s="32"/>
    </row>
    <row r="9" spans="1:36" x14ac:dyDescent="0.3">
      <c r="A9" s="22"/>
      <c r="B9" s="23"/>
      <c r="C9" s="23"/>
      <c r="D9" s="33">
        <v>46253</v>
      </c>
      <c r="E9" s="42" t="str">
        <f t="shared" si="0"/>
        <v>#N/A Requesting Data...</v>
      </c>
      <c r="F9" s="265" t="str" cm="1">
        <f t="array" ref="F9">_xll.BDP("ADSF3A Curncy","SW_EFF_DT")</f>
        <v>#N/A Requesting Data...</v>
      </c>
      <c r="G9" s="265" t="str" cm="1">
        <f t="array" ref="G9">_xll.BDP("ADSF3A Curncy","MATURITY")</f>
        <v>#N/A Requesting Data...</v>
      </c>
      <c r="H9" s="34" t="str" cm="1">
        <f t="array" aca="1" ref="H9" ca="1">_xll.BDH("ADSF3A NABZ Curncy","LAST_PRICE",TODAY())</f>
        <v>#N/A Requesting Data...</v>
      </c>
      <c r="I9" s="275" t="e">
        <f t="shared" ca="1" si="6"/>
        <v>#VALUE!</v>
      </c>
      <c r="J9" s="170" t="e">
        <f t="shared" ca="1" si="1"/>
        <v>#VALUE!</v>
      </c>
      <c r="K9" s="35" t="e">
        <f t="shared" ca="1" si="2"/>
        <v>#VALUE!</v>
      </c>
      <c r="L9" s="23">
        <v>-0.60000000000002274</v>
      </c>
      <c r="M9" s="23">
        <v>0.1000000000000334</v>
      </c>
      <c r="N9" s="23">
        <v>-0.67000000000003723</v>
      </c>
      <c r="O9" s="205"/>
      <c r="P9" s="32" t="s">
        <v>61</v>
      </c>
      <c r="R9" s="25"/>
      <c r="S9" s="25"/>
      <c r="T9" s="36">
        <v>46253</v>
      </c>
      <c r="U9" s="45" t="str">
        <f t="shared" si="3"/>
        <v>#N/A Requesting Data...</v>
      </c>
      <c r="V9" s="37" t="str" cm="1">
        <f t="array" ref="V9">_xll.BDP("NDSF3A Curncy","SW_EFF_DT")</f>
        <v>#N/A Requesting Data...</v>
      </c>
      <c r="W9" s="37" t="str" cm="1">
        <f t="array" ref="W9">_xll.BDP("NDSF3A Curncy","MATURITY")</f>
        <v>#N/A Requesting Data...</v>
      </c>
      <c r="X9" s="38" t="str" cm="1">
        <f t="array" ref="X9">_xll.BDP("NDSF3A NABZ Curncy","LAST_PRICE")</f>
        <v>#N/A Requesting Data...</v>
      </c>
      <c r="Y9" s="169" t="e">
        <f t="shared" si="7"/>
        <v>#VALUE!</v>
      </c>
      <c r="Z9" s="169" t="e">
        <f t="shared" si="4"/>
        <v>#VALUE!</v>
      </c>
      <c r="AA9" s="39" t="e">
        <f t="shared" si="5"/>
        <v>#VALUE!</v>
      </c>
      <c r="AB9" s="150">
        <v>0.25000000000003908</v>
      </c>
      <c r="AC9" s="150">
        <v>-1.2499999999999734</v>
      </c>
      <c r="AD9" s="150">
        <v>-5.7799999999999851</v>
      </c>
      <c r="AE9" s="150" t="e">
        <f>current_nz[[#This Row],[Rate]]-X8</f>
        <v>#VALUE!</v>
      </c>
      <c r="AG9" s="172"/>
      <c r="AH9" s="172"/>
      <c r="AI9" s="32"/>
      <c r="AJ9" s="32"/>
    </row>
    <row r="10" spans="1:36" x14ac:dyDescent="0.3">
      <c r="A10" s="22"/>
      <c r="B10" s="23"/>
      <c r="C10" s="44"/>
      <c r="D10" s="33">
        <v>46253</v>
      </c>
      <c r="E10" s="42" t="str">
        <f t="shared" si="0"/>
        <v>#N/A Requesting Data...</v>
      </c>
      <c r="F10" s="265" t="str" cm="1">
        <f t="array" ref="F10">_xll.BDP("ADSF4A Curncy","SW_EFF_DT")</f>
        <v>#N/A Requesting Data...</v>
      </c>
      <c r="G10" s="265" t="str" cm="1">
        <f t="array" ref="G10">_xll.BDP("ADSF4A Curncy","MATURITY")</f>
        <v>#N/A Requesting Data...</v>
      </c>
      <c r="H10" s="34" t="str" cm="1">
        <f t="array" aca="1" ref="H10" ca="1">_xll.BDH("ADSF4A NABZ Curncy","LAST_PRICE",TODAY())</f>
        <v>#N/A Requesting Data...</v>
      </c>
      <c r="I10" s="275" t="e">
        <f t="shared" ca="1" si="6"/>
        <v>#VALUE!</v>
      </c>
      <c r="J10" s="170" t="e">
        <f t="shared" ca="1" si="1"/>
        <v>#VALUE!</v>
      </c>
      <c r="K10" s="35" t="e">
        <f t="shared" ca="1" si="2"/>
        <v>#VALUE!</v>
      </c>
      <c r="L10" s="23">
        <v>-0.76000000000000512</v>
      </c>
      <c r="M10" s="23">
        <v>1.8900000000000361</v>
      </c>
      <c r="N10" s="23">
        <v>7.9999999999991189E-2</v>
      </c>
      <c r="O10" s="29"/>
      <c r="R10" s="25"/>
      <c r="S10" s="25"/>
      <c r="T10" s="36">
        <v>46253</v>
      </c>
      <c r="U10" s="45" t="str">
        <f t="shared" si="3"/>
        <v>#N/A Requesting Data...</v>
      </c>
      <c r="V10" s="37" t="str" cm="1">
        <f t="array" ref="V10">_xll.BDP("NDSF4A Curncy","SW_EFF_DT")</f>
        <v>#N/A Requesting Data...</v>
      </c>
      <c r="W10" s="37" t="str" cm="1">
        <f t="array" ref="W10">_xll.BDP("NDSF4A Curncy","MATURITY")</f>
        <v>#N/A Requesting Data...</v>
      </c>
      <c r="X10" s="38" t="str" cm="1">
        <f t="array" ref="X10">_xll.BDP("NDSF4A NABZ Curncy","LAST_PRICE")</f>
        <v>#N/A Requesting Data...</v>
      </c>
      <c r="Y10" s="169" t="e">
        <f t="shared" si="7"/>
        <v>#VALUE!</v>
      </c>
      <c r="Z10" s="169" t="e">
        <f t="shared" si="4"/>
        <v>#VALUE!</v>
      </c>
      <c r="AA10" s="39" t="e">
        <f t="shared" si="5"/>
        <v>#VALUE!</v>
      </c>
      <c r="AB10" s="150">
        <v>-0.24999999999999467</v>
      </c>
      <c r="AC10" s="150">
        <v>-3.5099999999999909</v>
      </c>
      <c r="AD10" s="150">
        <v>-9.020000000000028</v>
      </c>
      <c r="AE10" s="150"/>
      <c r="AG10" s="172"/>
      <c r="AH10" s="172"/>
      <c r="AI10" s="32"/>
      <c r="AJ10" s="32"/>
    </row>
    <row r="11" spans="1:36" x14ac:dyDescent="0.3">
      <c r="A11" s="22"/>
      <c r="B11" s="23"/>
      <c r="C11" s="43"/>
      <c r="D11" s="33">
        <v>46253</v>
      </c>
      <c r="E11" s="42" t="str">
        <f t="shared" si="0"/>
        <v>#N/A Requesting Data...</v>
      </c>
      <c r="F11" s="265" t="str" cm="1">
        <f t="array" ref="F11">_xll.BDP("ADSF5A Curncy","SW_EFF_DT")</f>
        <v>#N/A Requesting Data...</v>
      </c>
      <c r="G11" s="265" t="str" cm="1">
        <f t="array" ref="G11">_xll.BDP("ADSF5A Curncy","MATURITY")</f>
        <v>#N/A Requesting Data...</v>
      </c>
      <c r="H11" s="34" t="str" cm="1">
        <f t="array" aca="1" ref="H11" ca="1">_xll.BDH("ADSF5A NABZ Curncy","LAST_PRICE",TODAY())</f>
        <v>#N/A Requesting Data...</v>
      </c>
      <c r="I11" s="275" t="e">
        <f t="shared" ca="1" si="6"/>
        <v>#VALUE!</v>
      </c>
      <c r="J11" s="170" t="e">
        <f t="shared" ca="1" si="1"/>
        <v>#VALUE!</v>
      </c>
      <c r="K11" s="35" t="e">
        <f t="shared" ca="1" si="2"/>
        <v>#VALUE!</v>
      </c>
      <c r="L11" s="23">
        <v>-0.23999999999997357</v>
      </c>
      <c r="M11" s="23">
        <v>1.4500000000000846</v>
      </c>
      <c r="N11" s="23">
        <v>2.3100000000000342</v>
      </c>
      <c r="O11" s="29"/>
      <c r="R11" s="25"/>
      <c r="S11" s="25"/>
      <c r="T11" s="36">
        <v>46253</v>
      </c>
      <c r="U11" s="45" t="str">
        <f t="shared" si="3"/>
        <v>#N/A Requesting Data...</v>
      </c>
      <c r="V11" s="37" t="str" cm="1">
        <f t="array" ref="V11">_xll.BDP("NDSF5A Curncy","SW_EFF_DT")</f>
        <v>#N/A Requesting Data...</v>
      </c>
      <c r="W11" s="37" t="str" cm="1">
        <f t="array" ref="W11">_xll.BDP("NDSF5A Curncy","MATURITY")</f>
        <v>#N/A Requesting Data...</v>
      </c>
      <c r="X11" s="38" t="str" cm="1">
        <f t="array" ref="X11">_xll.BDP("NDSF5A NABZ Curncy","LAST_PRICE")</f>
        <v>#N/A Requesting Data...</v>
      </c>
      <c r="Y11" s="169" t="e">
        <f t="shared" si="7"/>
        <v>#VALUE!</v>
      </c>
      <c r="Z11" s="169" t="e">
        <f t="shared" si="4"/>
        <v>#VALUE!</v>
      </c>
      <c r="AA11" s="39" t="e">
        <f t="shared" si="5"/>
        <v>#VALUE!</v>
      </c>
      <c r="AB11" s="150">
        <v>-0.75000000000002842</v>
      </c>
      <c r="AC11" s="150">
        <v>-5.0200000000000244</v>
      </c>
      <c r="AD11" s="150">
        <v>-8.5400000000000365</v>
      </c>
      <c r="AE11" s="150"/>
      <c r="AG11" s="172"/>
      <c r="AH11" s="172"/>
      <c r="AI11" s="32"/>
      <c r="AJ11" s="32"/>
    </row>
    <row r="12" spans="1:36" x14ac:dyDescent="0.3">
      <c r="A12" s="22"/>
      <c r="B12" s="23"/>
      <c r="C12" s="23"/>
      <c r="D12" s="33">
        <v>46253</v>
      </c>
      <c r="E12" s="42" t="str">
        <f t="shared" si="0"/>
        <v>#N/A Requesting Data...</v>
      </c>
      <c r="F12" s="265" t="str" cm="1">
        <f t="array" ref="F12">_xll.BDP("ADSF6A Curncy","SW_EFF_DT")</f>
        <v>#N/A Requesting Data...</v>
      </c>
      <c r="G12" s="265" t="str" cm="1">
        <f t="array" ref="G12">_xll.BDP("ADSF6A Curncy","MATURITY")</f>
        <v>#N/A Requesting Data...</v>
      </c>
      <c r="H12" s="34" t="str" cm="1">
        <f t="array" aca="1" ref="H12" ca="1">_xll.BDH("ADSF6A NABZ Curncy","LAST_PRICE",TODAY())</f>
        <v>#N/A Requesting Data...</v>
      </c>
      <c r="I12" s="275" t="e">
        <f t="shared" ca="1" si="6"/>
        <v>#VALUE!</v>
      </c>
      <c r="J12" s="170" t="e">
        <f t="shared" ca="1" si="1"/>
        <v>#VALUE!</v>
      </c>
      <c r="K12" s="35" t="e">
        <f t="shared" ca="1" si="2"/>
        <v>#VALUE!</v>
      </c>
      <c r="L12" s="23">
        <v>0.9700000000000486</v>
      </c>
      <c r="M12" s="23">
        <v>3.0800000000000161</v>
      </c>
      <c r="N12" s="23" t="s">
        <v>41</v>
      </c>
      <c r="O12" s="29"/>
      <c r="R12" s="40"/>
      <c r="S12" s="40"/>
      <c r="T12" s="36">
        <v>46253</v>
      </c>
      <c r="U12" s="45" t="str">
        <f t="shared" si="3"/>
        <v>#N/A Requesting Data...</v>
      </c>
      <c r="V12" s="37" t="str" cm="1">
        <f t="array" ref="V12">_xll.BDP("NDSF6A Curncy","SW_EFF_DT")</f>
        <v>#N/A Requesting Data...</v>
      </c>
      <c r="W12" s="263" t="str" cm="1">
        <f t="array" ref="W12">_xll.BDP("NDSF6A Curncy","MATURITY")</f>
        <v>#N/A Requesting Data...</v>
      </c>
      <c r="X12" s="38" t="str" cm="1">
        <f t="array" ref="X12">_xll.BDP("NDSF6A NABZ Curncy","LAST_PRICE")</f>
        <v>#N/A Requesting Data...</v>
      </c>
      <c r="Y12" s="169" t="e">
        <f t="shared" si="7"/>
        <v>#VALUE!</v>
      </c>
      <c r="Z12" s="169" t="e">
        <f t="shared" si="4"/>
        <v>#VALUE!</v>
      </c>
      <c r="AA12" s="39" t="e">
        <f t="shared" si="5"/>
        <v>#VALUE!</v>
      </c>
      <c r="AB12" s="150">
        <v>-1.2500000000000178</v>
      </c>
      <c r="AC12" s="150">
        <v>-5.5200000000000138</v>
      </c>
      <c r="AD12" s="150">
        <v>-8.5300000000000153</v>
      </c>
      <c r="AE12" s="150"/>
      <c r="AG12" s="172"/>
      <c r="AH12" s="172"/>
      <c r="AI12" s="32"/>
      <c r="AJ12" s="32"/>
    </row>
    <row r="13" spans="1:36" x14ac:dyDescent="0.3">
      <c r="A13" s="22"/>
      <c r="B13" s="23"/>
      <c r="C13" s="23"/>
      <c r="D13" s="33">
        <v>46253</v>
      </c>
      <c r="E13" s="42" t="str">
        <f t="shared" si="0"/>
        <v>#N/A Requesting Data...</v>
      </c>
      <c r="F13" s="265" t="str" cm="1">
        <f t="array" ref="F13">_xll.BDP("ADSF7A Curncy","SW_EFF_DT")</f>
        <v>#N/A Requesting Data...</v>
      </c>
      <c r="G13" s="265" t="str" cm="1">
        <f t="array" ref="G13">_xll.BDP("ADSF7A Curncy","MATURITY")</f>
        <v>#N/A Requesting Data...</v>
      </c>
      <c r="H13" s="34" t="str" cm="1">
        <f t="array" aca="1" ref="H13" ca="1">_xll.BDH("ADSF7A NABZ Curncy","LAST_PRICE",TODAY())</f>
        <v>#N/A Requesting Data...</v>
      </c>
      <c r="I13" s="275" t="e">
        <f t="shared" ca="1" si="6"/>
        <v>#VALUE!</v>
      </c>
      <c r="J13" s="170" t="e">
        <f t="shared" ca="1" si="1"/>
        <v>#VALUE!</v>
      </c>
      <c r="K13" s="35" t="e">
        <f t="shared" ca="1" si="2"/>
        <v>#VALUE!</v>
      </c>
      <c r="L13" s="23">
        <v>-0.24999999999995026</v>
      </c>
      <c r="M13" s="23">
        <v>2.4200000000000443</v>
      </c>
      <c r="N13" s="23" t="s">
        <v>41</v>
      </c>
      <c r="O13" s="277"/>
      <c r="R13" s="40"/>
      <c r="S13" s="40"/>
      <c r="T13" s="36">
        <v>46253</v>
      </c>
      <c r="U13" s="45" t="str">
        <f t="shared" ref="U13" si="8">TEXT(V13, "mmm")</f>
        <v>#N/A Requesting Data...</v>
      </c>
      <c r="V13" s="37" t="str" cm="1">
        <f t="array" ref="V13">_xll.BDP("NDSF7A Curncy","SW_EFF_DT")</f>
        <v>#N/A Requesting Data...</v>
      </c>
      <c r="W13" s="263" t="str" cm="1">
        <f t="array" ref="W13">_xll.BDP("NDSF7A Curncy","MATURITY")</f>
        <v>#N/A Requesting Data...</v>
      </c>
      <c r="X13" s="38" t="str" cm="1">
        <f t="array" ref="X13">_xll.BDP("NDSF7A NABZ Curncy","LAST_PRICE")</f>
        <v>#N/A Requesting Data...</v>
      </c>
      <c r="Y13" s="169" t="e">
        <f t="shared" si="7"/>
        <v>#VALUE!</v>
      </c>
      <c r="Z13" s="169" t="e">
        <f t="shared" ref="Z13" si="9">(X13-$S$7)*100</f>
        <v>#VALUE!</v>
      </c>
      <c r="AA13" s="39" t="e">
        <f t="shared" ref="AA13" si="10">((Z13)/25)</f>
        <v>#VALUE!</v>
      </c>
      <c r="AB13" s="150">
        <v>-2.2600000000000176</v>
      </c>
      <c r="AC13" s="150">
        <v>-6.5300000000000136</v>
      </c>
      <c r="AD13" s="150" t="s">
        <v>41</v>
      </c>
      <c r="AE13" s="150"/>
      <c r="AG13" s="172"/>
      <c r="AH13" s="172"/>
      <c r="AI13" s="32"/>
      <c r="AJ13" s="32"/>
    </row>
    <row r="14" spans="1:36" x14ac:dyDescent="0.3">
      <c r="A14" s="22"/>
      <c r="B14" s="23"/>
      <c r="C14" s="23"/>
      <c r="D14" s="33">
        <v>46253</v>
      </c>
      <c r="E14" s="42"/>
      <c r="F14" s="265"/>
      <c r="G14" s="265"/>
      <c r="H14" s="34"/>
      <c r="I14" s="275"/>
      <c r="J14" s="170"/>
      <c r="K14" s="35"/>
      <c r="L14" s="165">
        <v>0</v>
      </c>
      <c r="M14" s="23">
        <v>0</v>
      </c>
      <c r="N14" s="23">
        <v>0</v>
      </c>
      <c r="O14" s="29"/>
      <c r="R14" s="40"/>
      <c r="S14" s="40"/>
      <c r="T14" s="36">
        <v>46253</v>
      </c>
      <c r="U14" s="45"/>
      <c r="V14" s="37"/>
      <c r="W14" s="263"/>
      <c r="X14" s="38"/>
      <c r="Y14" s="169"/>
      <c r="Z14" s="169"/>
      <c r="AA14" s="39"/>
      <c r="AB14" s="150">
        <v>0</v>
      </c>
      <c r="AC14" s="150">
        <v>0</v>
      </c>
      <c r="AD14" s="150">
        <v>0</v>
      </c>
      <c r="AE14" s="150"/>
      <c r="AG14" s="172"/>
      <c r="AH14" s="172"/>
      <c r="AI14" s="32"/>
      <c r="AJ14" s="32"/>
    </row>
    <row r="15" spans="1:36" x14ac:dyDescent="0.3">
      <c r="A15" s="22"/>
      <c r="B15" s="23"/>
      <c r="C15" s="23"/>
      <c r="D15" s="33">
        <v>46253</v>
      </c>
      <c r="E15" s="42"/>
      <c r="F15" s="265"/>
      <c r="G15" s="265"/>
      <c r="H15" s="34"/>
      <c r="I15" s="275"/>
      <c r="J15" s="170"/>
      <c r="K15" s="35"/>
      <c r="L15" s="165">
        <v>0</v>
      </c>
      <c r="M15" s="23">
        <v>0</v>
      </c>
      <c r="N15" s="23">
        <v>0</v>
      </c>
      <c r="O15" s="29"/>
      <c r="R15" s="40"/>
      <c r="S15" s="40"/>
      <c r="T15" s="36">
        <v>46253</v>
      </c>
      <c r="U15" s="45"/>
      <c r="V15" s="37"/>
      <c r="W15" s="263"/>
      <c r="X15" s="38"/>
      <c r="Y15" s="169"/>
      <c r="Z15" s="169"/>
      <c r="AA15" s="39"/>
      <c r="AB15" s="150">
        <v>0</v>
      </c>
      <c r="AC15" s="150">
        <v>0</v>
      </c>
      <c r="AD15" s="150">
        <v>0</v>
      </c>
      <c r="AE15" s="150"/>
      <c r="AG15" s="172"/>
      <c r="AH15" s="172"/>
      <c r="AI15" s="32"/>
      <c r="AJ15" s="32"/>
    </row>
    <row r="16" spans="1:36" x14ac:dyDescent="0.3">
      <c r="A16" s="22"/>
      <c r="B16" s="23"/>
      <c r="C16" s="23"/>
      <c r="D16" s="33">
        <v>46253</v>
      </c>
      <c r="E16" s="42"/>
      <c r="F16" s="265"/>
      <c r="G16" s="265"/>
      <c r="H16" s="34"/>
      <c r="I16" s="275"/>
      <c r="J16" s="170"/>
      <c r="K16" s="35"/>
      <c r="L16" s="165">
        <v>0</v>
      </c>
      <c r="M16" s="23">
        <v>0</v>
      </c>
      <c r="N16" s="23">
        <v>0</v>
      </c>
      <c r="O16" s="29"/>
      <c r="R16" s="40"/>
      <c r="S16" s="40"/>
      <c r="T16" s="36">
        <v>46253</v>
      </c>
      <c r="U16" s="45"/>
      <c r="V16" s="37"/>
      <c r="W16" s="263"/>
      <c r="X16" s="38"/>
      <c r="Y16" s="169"/>
      <c r="Z16" s="169"/>
      <c r="AA16" s="39"/>
      <c r="AB16" s="150">
        <v>0</v>
      </c>
      <c r="AC16" s="150">
        <v>0</v>
      </c>
      <c r="AD16" s="150">
        <v>0</v>
      </c>
      <c r="AE16" s="150"/>
      <c r="AG16" s="172"/>
      <c r="AH16" s="172"/>
      <c r="AI16" s="32"/>
      <c r="AJ16" s="32"/>
    </row>
    <row r="17" spans="2:34" x14ac:dyDescent="0.3">
      <c r="B17" s="23"/>
      <c r="C17" s="23"/>
      <c r="D17" s="33">
        <v>46253</v>
      </c>
      <c r="E17" s="42"/>
      <c r="F17" s="265"/>
      <c r="G17" s="265"/>
      <c r="H17" s="34"/>
      <c r="I17" s="170"/>
      <c r="J17" s="170"/>
      <c r="K17" s="35"/>
      <c r="L17" s="165">
        <v>0</v>
      </c>
      <c r="M17" s="23">
        <v>0</v>
      </c>
      <c r="N17" s="23">
        <v>0</v>
      </c>
      <c r="R17" s="46"/>
      <c r="S17" s="46"/>
      <c r="T17" s="36">
        <v>46253</v>
      </c>
      <c r="U17" s="45"/>
      <c r="V17" s="37"/>
      <c r="W17" s="37"/>
      <c r="X17" s="38"/>
      <c r="Y17" s="169"/>
      <c r="Z17" s="169"/>
      <c r="AA17" s="39"/>
      <c r="AB17" s="150">
        <v>0</v>
      </c>
      <c r="AC17" s="150">
        <v>0</v>
      </c>
      <c r="AD17" s="150">
        <v>0</v>
      </c>
      <c r="AE17" s="179"/>
      <c r="AG17" s="172"/>
      <c r="AH17" s="172"/>
    </row>
    <row r="18" spans="2:34" x14ac:dyDescent="0.3">
      <c r="E18" s="48"/>
      <c r="F18" s="48"/>
      <c r="G18" s="48"/>
      <c r="H18" s="48"/>
      <c r="I18" s="49"/>
      <c r="L18" s="48"/>
      <c r="M18" s="48"/>
      <c r="T18" s="50"/>
      <c r="U18" s="51"/>
      <c r="V18" s="52"/>
      <c r="W18" s="52"/>
      <c r="X18" s="53"/>
      <c r="Y18" s="51"/>
      <c r="Z18" s="53"/>
      <c r="AA18" s="54"/>
      <c r="AB18" s="51"/>
      <c r="AC18" s="51"/>
      <c r="AD18" s="53"/>
    </row>
    <row r="19" spans="2:34" x14ac:dyDescent="0.3">
      <c r="O19" s="55"/>
      <c r="Q19" s="47"/>
      <c r="AC19" s="55"/>
      <c r="AD19" s="56"/>
    </row>
    <row r="20" spans="2:34" x14ac:dyDescent="0.3">
      <c r="B20" s="57"/>
      <c r="O20" s="55"/>
      <c r="R20" s="58"/>
    </row>
    <row r="21" spans="2:34" x14ac:dyDescent="0.3">
      <c r="B21" s="59" t="s">
        <v>29</v>
      </c>
      <c r="C21" s="59"/>
      <c r="D21" s="59"/>
      <c r="E21" s="60" t="s">
        <v>30</v>
      </c>
      <c r="F21" s="59"/>
      <c r="G21" s="59"/>
      <c r="H21" s="59"/>
      <c r="I21" s="59"/>
      <c r="J21" s="59"/>
      <c r="K21" s="59"/>
      <c r="L21" s="59"/>
      <c r="M21" s="59"/>
      <c r="N21" s="59"/>
      <c r="O21" s="55"/>
      <c r="R21" s="61" t="s">
        <v>31</v>
      </c>
      <c r="S21" s="61"/>
      <c r="T21" s="61"/>
      <c r="U21" s="62" t="s">
        <v>39</v>
      </c>
      <c r="V21" s="61"/>
      <c r="W21" s="61"/>
      <c r="X21" s="61"/>
      <c r="Y21" s="61"/>
      <c r="Z21" s="61"/>
      <c r="AA21" s="61"/>
      <c r="AB21" s="61"/>
      <c r="AC21" s="61"/>
      <c r="AD21" s="61"/>
      <c r="AG21" s="32"/>
    </row>
    <row r="22" spans="2:34" x14ac:dyDescent="0.3">
      <c r="B22" s="59"/>
      <c r="C22" s="59"/>
      <c r="D22" s="63" t="s">
        <v>24</v>
      </c>
      <c r="E22" s="63" t="s">
        <v>3</v>
      </c>
      <c r="F22" s="63" t="s">
        <v>4</v>
      </c>
      <c r="G22" s="63" t="s">
        <v>5</v>
      </c>
      <c r="H22" s="63" t="s">
        <v>6</v>
      </c>
      <c r="I22" s="63" t="s">
        <v>20</v>
      </c>
      <c r="J22" s="63" t="s">
        <v>7</v>
      </c>
      <c r="K22" s="63" t="s">
        <v>8</v>
      </c>
      <c r="L22" s="64" t="s">
        <v>21</v>
      </c>
      <c r="M22" s="63" t="s">
        <v>22</v>
      </c>
      <c r="N22" s="63" t="s">
        <v>23</v>
      </c>
      <c r="O22" s="55"/>
      <c r="R22" s="61"/>
      <c r="S22" s="61"/>
      <c r="T22" s="65" t="s">
        <v>24</v>
      </c>
      <c r="U22" s="65" t="s">
        <v>3</v>
      </c>
      <c r="V22" s="65" t="s">
        <v>4</v>
      </c>
      <c r="W22" s="65" t="s">
        <v>5</v>
      </c>
      <c r="X22" s="65" t="s">
        <v>6</v>
      </c>
      <c r="Y22" s="65" t="s">
        <v>20</v>
      </c>
      <c r="Z22" s="65" t="s">
        <v>7</v>
      </c>
      <c r="AA22" s="65" t="s">
        <v>8</v>
      </c>
      <c r="AB22" s="66" t="s">
        <v>21</v>
      </c>
      <c r="AC22" s="65" t="s">
        <v>22</v>
      </c>
      <c r="AD22" s="65" t="s">
        <v>23</v>
      </c>
      <c r="AG22" s="32"/>
    </row>
    <row r="23" spans="2:34" x14ac:dyDescent="0.3">
      <c r="B23" s="59" t="s">
        <v>64</v>
      </c>
      <c r="C23" s="59" t="str" cm="1">
        <f t="array" ref="C23">_xll.BDP("ESTRON Index","LAST_PRICE")</f>
        <v>#N/A Requesting Data...</v>
      </c>
      <c r="D23" s="67">
        <v>46253</v>
      </c>
      <c r="E23" s="68" t="str">
        <f t="shared" ref="E23:E30" si="11">TEXT(F23, "mmm")</f>
        <v>#N/A Requesting Data...</v>
      </c>
      <c r="F23" s="69" t="str" cm="1">
        <f t="array" ref="F23">_xll.BDP("EESF1A Curncy","SW_EFF_DT")</f>
        <v>#N/A Requesting Data...</v>
      </c>
      <c r="G23" s="69" t="str" cm="1">
        <f t="array" ref="G23">_xll.BDP("EESF2A Curncy","SW_EFF_DT")</f>
        <v>#N/A Requesting Data...</v>
      </c>
      <c r="H23" s="143" t="str" cm="1">
        <f t="array" ref="H23">_xll.BDP("EESF1A Curncy","LAST_PRICE")</f>
        <v>#N/A Requesting Data...</v>
      </c>
      <c r="I23" s="144" t="e">
        <f>(H23-C23)*100</f>
        <v>#VALUE!</v>
      </c>
      <c r="J23" s="144" t="e">
        <f t="shared" ref="J23:J28" si="12">(H23-$C$23)*100</f>
        <v>#VALUE!</v>
      </c>
      <c r="K23" s="70" t="e">
        <f t="shared" ref="K23:K28" si="13">((J23)/25)</f>
        <v>#VALUE!</v>
      </c>
      <c r="L23" s="147">
        <v>0.34000000000000696</v>
      </c>
      <c r="M23" s="147">
        <v>1.739999999999986</v>
      </c>
      <c r="N23" s="147">
        <v>1.6899999999999693</v>
      </c>
      <c r="O23" s="32"/>
      <c r="R23" s="61" t="s">
        <v>32</v>
      </c>
      <c r="S23" s="238" t="str" cm="1">
        <f t="array" ref="S23">_xll.BDP("SONIO/N Index","LAST_PRICE")</f>
        <v>#N/A Requesting Data...</v>
      </c>
      <c r="T23" s="71">
        <v>46253</v>
      </c>
      <c r="U23" s="75" t="str">
        <f>TEXT(V23, "mmm")</f>
        <v>#N/A Requesting Data...</v>
      </c>
      <c r="V23" s="72" t="str" cm="1">
        <f t="array" ref="V23">_xll.BDP("GPSF1A Curncy","SW_EFF_DT")</f>
        <v>#N/A Requesting Data...</v>
      </c>
      <c r="W23" s="72" t="str" cm="1">
        <f t="array" ref="W23">_xll.BDP("GPSF1A Curncy","MATURITY")</f>
        <v>#N/A Requesting Data...</v>
      </c>
      <c r="X23" s="146" t="str" cm="1">
        <f t="array" ref="X23">_xll.BDP("GPSF1A Curncy","LAST_PRICE")</f>
        <v>#N/A Requesting Data...</v>
      </c>
      <c r="Y23" s="151" t="e">
        <f>(X23-S23)*100</f>
        <v>#VALUE!</v>
      </c>
      <c r="Z23" s="151" t="e">
        <f t="shared" ref="Z23:Z29" si="14">(X23-$S$23)*100</f>
        <v>#VALUE!</v>
      </c>
      <c r="AA23" s="152" t="e">
        <f t="shared" ref="AA23:AA29" si="15">((Z23)/25)</f>
        <v>#VALUE!</v>
      </c>
      <c r="AB23" s="153">
        <v>-1.6439999999999788</v>
      </c>
      <c r="AC23" s="73">
        <v>-1.5179999999999971</v>
      </c>
      <c r="AD23" s="74">
        <v>-11.837999999999971</v>
      </c>
      <c r="AG23" s="32"/>
    </row>
    <row r="24" spans="2:34" x14ac:dyDescent="0.3">
      <c r="B24" s="60"/>
      <c r="C24" s="59"/>
      <c r="D24" s="67">
        <v>46253</v>
      </c>
      <c r="E24" s="68" t="str">
        <f t="shared" si="11"/>
        <v>#N/A Requesting Data...</v>
      </c>
      <c r="F24" s="69" t="str" cm="1">
        <f t="array" ref="F24">_xll.BDP("EESF2A Curncy","SW_EFF_DT")</f>
        <v>#N/A Requesting Data...</v>
      </c>
      <c r="G24" s="69" t="str" cm="1">
        <f t="array" ref="G24">_xll.BDP("EESF3A Curncy","SW_EFF_DT")</f>
        <v>#N/A Requesting Data...</v>
      </c>
      <c r="H24" s="143" t="str" cm="1">
        <f t="array" ref="H24">_xll.BDP("EESF2A Curncy","LAST_PRICE")</f>
        <v>#N/A Requesting Data...</v>
      </c>
      <c r="I24" s="144" t="e">
        <f t="shared" ref="I24:I29" si="16">(H24-H23)*100</f>
        <v>#VALUE!</v>
      </c>
      <c r="J24" s="144" t="e">
        <f t="shared" si="12"/>
        <v>#VALUE!</v>
      </c>
      <c r="K24" s="70" t="e">
        <f t="shared" si="13"/>
        <v>#VALUE!</v>
      </c>
      <c r="L24" s="147">
        <v>0.14000000000002899</v>
      </c>
      <c r="M24" s="147">
        <v>2.430000000000021</v>
      </c>
      <c r="N24" s="147">
        <v>-1.089999999999991</v>
      </c>
      <c r="O24" s="32"/>
      <c r="R24" s="61"/>
      <c r="S24" s="61"/>
      <c r="T24" s="71">
        <v>46253</v>
      </c>
      <c r="U24" s="75" t="str">
        <f t="shared" ref="U24:U31" si="17">TEXT(V24, "mmm")</f>
        <v>#N/A Requesting Data...</v>
      </c>
      <c r="V24" s="72" t="str" cm="1">
        <f t="array" ref="V24">_xll.BDP("GPSF2A Curncy","SW_EFF_DT")</f>
        <v>#N/A Requesting Data...</v>
      </c>
      <c r="W24" s="72" t="str" cm="1">
        <f t="array" ref="W24">_xll.BDP("GPSF2A Curncy","MATURITY")</f>
        <v>#N/A Requesting Data...</v>
      </c>
      <c r="X24" s="146" t="str" cm="1">
        <f t="array" ref="X24">_xll.BDP("GPSF2A Curncy","LAST_PRICE")</f>
        <v>#N/A Requesting Data...</v>
      </c>
      <c r="Y24" s="151" t="e">
        <f t="shared" ref="Y24:Y30" si="18">(X24-X23)*100</f>
        <v>#VALUE!</v>
      </c>
      <c r="Z24" s="151" t="e">
        <f t="shared" si="14"/>
        <v>#VALUE!</v>
      </c>
      <c r="AA24" s="152" t="e">
        <f t="shared" si="15"/>
        <v>#VALUE!</v>
      </c>
      <c r="AB24" s="153">
        <v>-2.1090000000000053</v>
      </c>
      <c r="AC24" s="153">
        <v>-0.97000000000000419</v>
      </c>
      <c r="AD24" s="154">
        <v>-13.198000000000043</v>
      </c>
      <c r="AG24" s="32"/>
    </row>
    <row r="25" spans="2:34" x14ac:dyDescent="0.3">
      <c r="B25" s="60"/>
      <c r="C25" s="59"/>
      <c r="D25" s="67">
        <v>46253</v>
      </c>
      <c r="E25" s="68" t="str">
        <f t="shared" si="11"/>
        <v>#N/A Requesting Data...</v>
      </c>
      <c r="F25" s="69" t="str" cm="1">
        <f t="array" ref="F25">_xll.BDP("EESF3A Curncy","SW_EFF_DT")</f>
        <v>#N/A Requesting Data...</v>
      </c>
      <c r="G25" s="69" t="str" cm="1">
        <f t="array" ref="G25">_xll.BDP("EESF4A Curncy","SW_EFF_DT")</f>
        <v>#N/A Requesting Data...</v>
      </c>
      <c r="H25" s="143" t="str" cm="1">
        <f t="array" ref="H25">_xll.BDP("EESF3A Curncy","LAST_PRICE")</f>
        <v>#N/A Requesting Data...</v>
      </c>
      <c r="I25" s="144" t="e">
        <f t="shared" si="16"/>
        <v>#VALUE!</v>
      </c>
      <c r="J25" s="144" t="e">
        <f t="shared" si="12"/>
        <v>#VALUE!</v>
      </c>
      <c r="K25" s="70" t="e">
        <f t="shared" si="13"/>
        <v>#VALUE!</v>
      </c>
      <c r="L25" s="147">
        <v>0.49999999999998934</v>
      </c>
      <c r="M25" s="147">
        <v>5.1000000000000156</v>
      </c>
      <c r="N25" s="147">
        <v>0.33000000000003027</v>
      </c>
      <c r="O25" s="32"/>
      <c r="R25" s="61"/>
      <c r="S25" s="76"/>
      <c r="T25" s="71">
        <v>46253</v>
      </c>
      <c r="U25" s="75" t="str">
        <f t="shared" si="17"/>
        <v>#N/A Requesting Data...</v>
      </c>
      <c r="V25" s="72" t="str" cm="1">
        <f t="array" ref="V25">_xll.BDP("GPSF3A Curncy","SW_EFF_DT")</f>
        <v>#N/A Requesting Data...</v>
      </c>
      <c r="W25" s="72" t="str" cm="1">
        <f t="array" ref="W25">_xll.BDP("GPSF3A Curncy","MATURITY")</f>
        <v>#N/A Requesting Data...</v>
      </c>
      <c r="X25" s="146" t="str" cm="1">
        <f t="array" ref="X25">_xll.BDP("GPSF3A Curncy","LAST_PRICE")</f>
        <v>#N/A Requesting Data...</v>
      </c>
      <c r="Y25" s="151" t="e">
        <f t="shared" si="18"/>
        <v>#VALUE!</v>
      </c>
      <c r="Z25" s="151" t="e">
        <f>(X25-$S$23)*100</f>
        <v>#VALUE!</v>
      </c>
      <c r="AA25" s="152" t="e">
        <f t="shared" si="15"/>
        <v>#VALUE!</v>
      </c>
      <c r="AB25" s="153">
        <v>-1.9619999999999749</v>
      </c>
      <c r="AC25" s="153">
        <v>0.49999999999998934</v>
      </c>
      <c r="AD25" s="154">
        <v>-11.963999999999952</v>
      </c>
      <c r="AG25" s="32"/>
    </row>
    <row r="26" spans="2:34" ht="16.5" customHeight="1" x14ac:dyDescent="0.3">
      <c r="B26" s="60"/>
      <c r="C26" s="59"/>
      <c r="D26" s="67">
        <v>46253</v>
      </c>
      <c r="E26" s="68" t="str">
        <f t="shared" si="11"/>
        <v>#N/A Requesting Data...</v>
      </c>
      <c r="F26" s="69" t="str" cm="1">
        <f t="array" ref="F26">_xll.BDP("EESF4A Curncy","SW_EFF_DT")</f>
        <v>#N/A Requesting Data...</v>
      </c>
      <c r="G26" s="69" t="str" cm="1">
        <f t="array" ref="G26">_xll.BDP("EESF5A Curncy","SW_EFF_DT")</f>
        <v>#N/A Requesting Data...</v>
      </c>
      <c r="H26" s="143" t="str" cm="1">
        <f t="array" ref="H26">_xll.BDP("EESF4A Curncy","LAST_PRICE")</f>
        <v>#N/A Requesting Data...</v>
      </c>
      <c r="I26" s="144" t="e">
        <f t="shared" si="16"/>
        <v>#VALUE!</v>
      </c>
      <c r="J26" s="144" t="e">
        <f t="shared" si="12"/>
        <v>#VALUE!</v>
      </c>
      <c r="K26" s="70" t="e">
        <f t="shared" si="13"/>
        <v>#VALUE!</v>
      </c>
      <c r="L26" s="147">
        <v>0.8799999999999919</v>
      </c>
      <c r="M26" s="147">
        <v>6.3999999999999613</v>
      </c>
      <c r="N26" s="147">
        <v>1.0999999999999677</v>
      </c>
      <c r="O26" s="32"/>
      <c r="R26" s="61"/>
      <c r="S26" s="76"/>
      <c r="T26" s="71">
        <v>46253</v>
      </c>
      <c r="U26" s="75" t="str">
        <f t="shared" si="17"/>
        <v>#N/A Requesting Data...</v>
      </c>
      <c r="V26" s="72" t="str" cm="1">
        <f t="array" ref="V26">_xll.BDP("GPSF4A Curncy","SW_EFF_DT")</f>
        <v>#N/A Requesting Data...</v>
      </c>
      <c r="W26" s="72" t="str" cm="1">
        <f t="array" ref="W26">_xll.BDP("GPSF4A Curncy","MATURITY")</f>
        <v>#N/A Requesting Data...</v>
      </c>
      <c r="X26" s="146" t="str" cm="1">
        <f t="array" ref="X26">_xll.BDP("GPSF4A Curncy","LAST_PRICE")</f>
        <v>#N/A Requesting Data...</v>
      </c>
      <c r="Y26" s="151" t="e">
        <f t="shared" si="18"/>
        <v>#VALUE!</v>
      </c>
      <c r="Z26" s="151" t="e">
        <f t="shared" si="14"/>
        <v>#VALUE!</v>
      </c>
      <c r="AA26" s="152" t="e">
        <f t="shared" si="15"/>
        <v>#VALUE!</v>
      </c>
      <c r="AB26" s="153">
        <v>-1.3340000000000352</v>
      </c>
      <c r="AC26" s="153">
        <v>2.4239999999999817</v>
      </c>
      <c r="AD26" s="154">
        <v>-7.8350000000000364</v>
      </c>
      <c r="AG26" s="32"/>
    </row>
    <row r="27" spans="2:34" x14ac:dyDescent="0.3">
      <c r="B27" s="60"/>
      <c r="C27" s="59"/>
      <c r="D27" s="67">
        <v>46253</v>
      </c>
      <c r="E27" s="68" t="str">
        <f t="shared" si="11"/>
        <v>#N/A Requesting Data...</v>
      </c>
      <c r="F27" s="69" t="str" cm="1">
        <f t="array" ref="F27">_xll.BDP("EESF5A Curncy","SW_EFF_DT")</f>
        <v>#N/A Requesting Data...</v>
      </c>
      <c r="G27" s="69" t="str" cm="1">
        <f t="array" ref="G27">_xll.BDP("EESF6A Curncy","SW_EFF_DT")</f>
        <v>#N/A Requesting Data...</v>
      </c>
      <c r="H27" s="143" t="str" cm="1">
        <f t="array" ref="H27">_xll.BDP("EESF5A Curncy","LAST_PRICE")</f>
        <v>#N/A Requesting Data...</v>
      </c>
      <c r="I27" s="144" t="e">
        <f>(H27-H26)*100</f>
        <v>#VALUE!</v>
      </c>
      <c r="J27" s="144" t="e">
        <f t="shared" si="12"/>
        <v>#VALUE!</v>
      </c>
      <c r="K27" s="70" t="e">
        <f>((J27)/25)</f>
        <v>#VALUE!</v>
      </c>
      <c r="L27" s="147">
        <v>1.2500000000000178</v>
      </c>
      <c r="M27" s="147">
        <v>7.7599999999999891</v>
      </c>
      <c r="N27" s="147">
        <v>2.4500000000000188</v>
      </c>
      <c r="O27"/>
      <c r="P27"/>
      <c r="R27" s="61"/>
      <c r="S27" s="61"/>
      <c r="T27" s="71">
        <v>46253</v>
      </c>
      <c r="U27" s="75" t="str">
        <f t="shared" si="17"/>
        <v>#N/A Requesting Data...</v>
      </c>
      <c r="V27" s="72" t="str" cm="1">
        <f t="array" ref="V27">_xll.BDP("GPSF5A Curncy","SW_EFF_DT")</f>
        <v>#N/A Requesting Data...</v>
      </c>
      <c r="W27" s="72" t="str" cm="1">
        <f t="array" ref="W27">_xll.BDP("GPSF5A Curncy","MATURITY")</f>
        <v>#N/A Requesting Data...</v>
      </c>
      <c r="X27" s="146" t="str" cm="1">
        <f t="array" ref="X27">_xll.BDP("GPSF5A Curncy","LAST_PRICE")</f>
        <v>#N/A Requesting Data...</v>
      </c>
      <c r="Y27" s="151" t="e">
        <f t="shared" si="18"/>
        <v>#VALUE!</v>
      </c>
      <c r="Z27" s="151" t="e">
        <f t="shared" si="14"/>
        <v>#VALUE!</v>
      </c>
      <c r="AA27" s="152" t="e">
        <f t="shared" si="15"/>
        <v>#VALUE!</v>
      </c>
      <c r="AB27" s="153">
        <v>-1.2670000000000847</v>
      </c>
      <c r="AC27" s="153">
        <v>3.7059999999999427</v>
      </c>
      <c r="AD27" s="154">
        <v>-5.942000000000025</v>
      </c>
      <c r="AG27" s="32"/>
    </row>
    <row r="28" spans="2:34" x14ac:dyDescent="0.3">
      <c r="B28" s="60"/>
      <c r="C28" s="59"/>
      <c r="D28" s="67">
        <v>46253</v>
      </c>
      <c r="E28" s="68" t="str">
        <f t="shared" si="11"/>
        <v>#N/A Requesting Data...</v>
      </c>
      <c r="F28" s="69" t="str" cm="1">
        <f t="array" ref="F28">_xll.BDP("EESF6A Curncy","SW_EFF_DT")</f>
        <v>#N/A Requesting Data...</v>
      </c>
      <c r="G28" s="69" t="str" cm="1">
        <f t="array" ref="G28">_xll.BDP("EESF7A Curncy","SW_EFF_DT")</f>
        <v>#N/A Requesting Data...</v>
      </c>
      <c r="H28" s="143" t="str" cm="1">
        <f t="array" ref="H28">_xll.BDP("EESF6A Curncy","LAST_PRICE")</f>
        <v>#N/A Requesting Data...</v>
      </c>
      <c r="I28" s="144" t="e">
        <f t="shared" si="16"/>
        <v>#VALUE!</v>
      </c>
      <c r="J28" s="144" t="e">
        <f t="shared" si="12"/>
        <v>#VALUE!</v>
      </c>
      <c r="K28" s="70" t="e">
        <f t="shared" si="13"/>
        <v>#VALUE!</v>
      </c>
      <c r="L28" s="147">
        <v>1.7999999999999794</v>
      </c>
      <c r="M28" s="147">
        <v>8.9299999999999713</v>
      </c>
      <c r="N28" s="147">
        <v>3.9999999999999591</v>
      </c>
      <c r="O28"/>
      <c r="P28"/>
      <c r="R28" s="61"/>
      <c r="S28" s="76"/>
      <c r="T28" s="71">
        <v>46253</v>
      </c>
      <c r="U28" s="75" t="str">
        <f t="shared" si="17"/>
        <v>#N/A Requesting Data...</v>
      </c>
      <c r="V28" s="72" t="str" cm="1">
        <f t="array" ref="V28">_xll.BDP("GPSF6A Curncy","SW_EFF_DT")</f>
        <v>#N/A Requesting Data...</v>
      </c>
      <c r="W28" s="72" t="str" cm="1">
        <f t="array" ref="W28">_xll.BDP("GPSF6A Curncy","MATURITY")</f>
        <v>#N/A Requesting Data...</v>
      </c>
      <c r="X28" s="146" t="str" cm="1">
        <f t="array" ref="X28">_xll.BDP("GPSF6A Curncy","LAST_PRICE")</f>
        <v>#N/A Requesting Data...</v>
      </c>
      <c r="Y28" s="151" t="e">
        <f t="shared" si="18"/>
        <v>#VALUE!</v>
      </c>
      <c r="Z28" s="151" t="e">
        <f t="shared" si="14"/>
        <v>#VALUE!</v>
      </c>
      <c r="AA28" s="152" t="e">
        <f t="shared" si="15"/>
        <v>#VALUE!</v>
      </c>
      <c r="AB28" s="153">
        <v>-0.98700000000002674</v>
      </c>
      <c r="AC28" s="153">
        <v>5.1280000000000214</v>
      </c>
      <c r="AD28" s="154">
        <v>-3.2179999999999431</v>
      </c>
      <c r="AG28" s="32"/>
    </row>
    <row r="29" spans="2:34" x14ac:dyDescent="0.3">
      <c r="B29" s="60"/>
      <c r="C29" s="59"/>
      <c r="D29" s="67">
        <v>46253</v>
      </c>
      <c r="E29" s="68" t="str">
        <f t="shared" si="11"/>
        <v>#N/A Requesting Data...</v>
      </c>
      <c r="F29" s="69" t="str" cm="1">
        <f t="array" ref="F29">_xll.BDP("EESF7A Curncy","SW_EFF_DT")</f>
        <v>#N/A Requesting Data...</v>
      </c>
      <c r="G29" s="69" t="str" cm="1">
        <f t="array" ref="G29">_xll.BDP("EESF8A Curncy","SW_EFF_DT")</f>
        <v>#N/A Requesting Data...</v>
      </c>
      <c r="H29" s="143" t="str" cm="1">
        <f t="array" ref="H29">_xll.BDP("EESF7A Curncy","LAST_PRICE")</f>
        <v>#N/A Requesting Data...</v>
      </c>
      <c r="I29" s="144" t="e">
        <f t="shared" si="16"/>
        <v>#VALUE!</v>
      </c>
      <c r="J29" s="144" t="e">
        <f>(H29-$C$23)*100</f>
        <v>#VALUE!</v>
      </c>
      <c r="K29" s="70" t="e">
        <f>((J29)/25)</f>
        <v>#VALUE!</v>
      </c>
      <c r="L29" s="147">
        <v>1.8900000000000361</v>
      </c>
      <c r="M29" s="147">
        <v>9.9000000000000199</v>
      </c>
      <c r="N29" s="147" t="s">
        <v>41</v>
      </c>
      <c r="O29"/>
      <c r="P29"/>
      <c r="R29" s="61"/>
      <c r="S29" s="61"/>
      <c r="T29" s="71">
        <v>46253</v>
      </c>
      <c r="U29" s="75" t="str">
        <f t="shared" si="17"/>
        <v>#N/A Requesting Data...</v>
      </c>
      <c r="V29" s="72" t="str" cm="1">
        <f t="array" ref="V29">_xll.BDP("GPSF7A Curncy","SW_EFF_DT")</f>
        <v>#N/A Requesting Data...</v>
      </c>
      <c r="W29" s="72" t="str" cm="1">
        <f t="array" ref="W29">_xll.BDP("GPSF7A Curncy","MATURITY")</f>
        <v>#N/A Requesting Data...</v>
      </c>
      <c r="X29" s="146" t="str" cm="1">
        <f t="array" ref="X29">_xll.BDP("GPSF7A Curncy","LAST_PRICE")</f>
        <v>#N/A Requesting Data...</v>
      </c>
      <c r="Y29" s="151" t="e">
        <f t="shared" si="18"/>
        <v>#VALUE!</v>
      </c>
      <c r="Z29" s="151" t="e">
        <f t="shared" si="14"/>
        <v>#VALUE!</v>
      </c>
      <c r="AA29" s="152" t="e">
        <f t="shared" si="15"/>
        <v>#VALUE!</v>
      </c>
      <c r="AB29" s="153">
        <v>-0.75599999999997891</v>
      </c>
      <c r="AC29" s="153">
        <v>6.2100000000000044</v>
      </c>
      <c r="AD29" s="154">
        <v>-0.39999999999995595</v>
      </c>
      <c r="AG29" s="32"/>
    </row>
    <row r="30" spans="2:34" x14ac:dyDescent="0.3">
      <c r="B30" s="60"/>
      <c r="C30" s="59"/>
      <c r="D30" s="67">
        <v>46253</v>
      </c>
      <c r="E30" s="68" t="str">
        <f t="shared" si="11"/>
        <v>Jan</v>
      </c>
      <c r="F30" s="69"/>
      <c r="G30" s="69"/>
      <c r="H30" s="143" t="str" cm="1">
        <f t="array" ref="H30">_xll.BDP("EESF8A Curncy","LAST_PRICE")</f>
        <v>#N/A Requesting Data...</v>
      </c>
      <c r="I30" s="144" t="e">
        <f t="shared" ref="I30" si="19">(H30-H29)*100</f>
        <v>#VALUE!</v>
      </c>
      <c r="J30" s="144" t="e">
        <f>(H30-$C$23)*100</f>
        <v>#VALUE!</v>
      </c>
      <c r="K30" s="70" t="e">
        <f>((J30)/25)</f>
        <v>#VALUE!</v>
      </c>
      <c r="L30" s="147">
        <v>2.0899999999999697</v>
      </c>
      <c r="M30" s="147">
        <v>10.499999999999998</v>
      </c>
      <c r="N30" s="147">
        <v>7.749999999999968</v>
      </c>
      <c r="O30" s="32"/>
      <c r="P30" s="32"/>
      <c r="R30" s="61"/>
      <c r="S30" s="61"/>
      <c r="T30" s="71">
        <v>46253</v>
      </c>
      <c r="U30" s="75" t="str">
        <f t="shared" si="17"/>
        <v>#N/A Requesting Data...</v>
      </c>
      <c r="V30" s="72" t="str" cm="1">
        <f t="array" ref="V30">_xll.BDP("GPSF8A Curncy","SW_EFF_DT")</f>
        <v>#N/A Requesting Data...</v>
      </c>
      <c r="W30" s="72" t="str" cm="1">
        <f t="array" ref="W30">_xll.BDP("GPSF8A Curncy","MATURITY")</f>
        <v>#N/A Requesting Data...</v>
      </c>
      <c r="X30" s="146" t="str" cm="1">
        <f t="array" ref="X30">_xll.BDP("GPSF8A Curncy","LAST_PRICE")</f>
        <v>#N/A Requesting Data...</v>
      </c>
      <c r="Y30" s="151" t="e">
        <f t="shared" si="18"/>
        <v>#VALUE!</v>
      </c>
      <c r="Z30" s="151" t="e">
        <f>(X30-$S$23)*100</f>
        <v>#VALUE!</v>
      </c>
      <c r="AA30" s="152" t="e">
        <f>((Z30)/25)</f>
        <v>#VALUE!</v>
      </c>
      <c r="AB30" s="153">
        <v>-0.51399999999999224</v>
      </c>
      <c r="AC30" s="153">
        <v>7.2309999999999874</v>
      </c>
      <c r="AD30" s="154" t="s">
        <v>41</v>
      </c>
      <c r="AG30" s="32"/>
    </row>
    <row r="31" spans="2:34" x14ac:dyDescent="0.3">
      <c r="B31" s="77"/>
      <c r="C31" s="77"/>
      <c r="D31" s="67">
        <v>46253</v>
      </c>
      <c r="E31" s="68"/>
      <c r="F31" s="69"/>
      <c r="G31" s="69"/>
      <c r="H31" s="143"/>
      <c r="I31" s="144"/>
      <c r="J31" s="144"/>
      <c r="K31" s="70"/>
      <c r="L31" s="147">
        <v>-281.11</v>
      </c>
      <c r="M31" s="147">
        <v>-272.7</v>
      </c>
      <c r="N31" s="147">
        <v>-275.45000000000005</v>
      </c>
      <c r="O31" s="32"/>
      <c r="P31" s="32"/>
      <c r="R31" s="61"/>
      <c r="S31" s="61"/>
      <c r="T31" s="71">
        <v>46253</v>
      </c>
      <c r="U31" s="75" t="str">
        <f t="shared" si="17"/>
        <v>#N/A Requesting Data...</v>
      </c>
      <c r="V31" s="72" t="str" cm="1">
        <f t="array" ref="V31">_xll.BDP("GPSF9A Curncy","SW_EFF_DT")</f>
        <v>#N/A Requesting Data...</v>
      </c>
      <c r="W31" s="72"/>
      <c r="X31" s="146"/>
      <c r="Y31" s="151"/>
      <c r="Z31" s="151"/>
      <c r="AA31" s="152"/>
      <c r="AB31" s="153">
        <v>0</v>
      </c>
      <c r="AC31" s="153">
        <v>0</v>
      </c>
      <c r="AD31" s="154" t="s">
        <v>41</v>
      </c>
      <c r="AG31" s="32"/>
    </row>
    <row r="32" spans="2:34" x14ac:dyDescent="0.3">
      <c r="B32" s="60"/>
      <c r="C32" s="59"/>
      <c r="D32" s="67">
        <v>46253</v>
      </c>
      <c r="E32" s="68"/>
      <c r="F32" s="69"/>
      <c r="G32" s="69"/>
      <c r="H32" s="143"/>
      <c r="I32" s="144"/>
      <c r="J32" s="144"/>
      <c r="K32" s="70"/>
      <c r="L32" s="147">
        <v>-281.11</v>
      </c>
      <c r="M32" s="147">
        <v>-272.7</v>
      </c>
      <c r="N32" s="147">
        <v>-275.45000000000005</v>
      </c>
      <c r="O32" s="32"/>
      <c r="P32" s="32"/>
      <c r="R32" s="61"/>
      <c r="S32" s="61"/>
      <c r="T32" s="71">
        <v>46253</v>
      </c>
      <c r="U32" s="75"/>
      <c r="V32" s="72"/>
      <c r="W32" s="72"/>
      <c r="X32" s="146"/>
      <c r="Y32" s="151"/>
      <c r="Z32" s="151"/>
      <c r="AA32" s="152"/>
      <c r="AB32" s="153">
        <v>0</v>
      </c>
      <c r="AC32" s="153">
        <v>0</v>
      </c>
      <c r="AD32" s="154">
        <v>0</v>
      </c>
      <c r="AG32" s="32"/>
    </row>
    <row r="33" spans="2:34" x14ac:dyDescent="0.3">
      <c r="B33" s="60"/>
      <c r="C33" s="59"/>
      <c r="D33" s="67">
        <v>46253</v>
      </c>
      <c r="E33" s="68"/>
      <c r="F33" s="69"/>
      <c r="G33" s="69"/>
      <c r="H33" s="143"/>
      <c r="I33" s="144"/>
      <c r="J33" s="144"/>
      <c r="K33" s="70"/>
      <c r="L33" s="147">
        <v>-281.11</v>
      </c>
      <c r="M33" s="147">
        <v>-272.7</v>
      </c>
      <c r="N33" s="147">
        <v>-275.45000000000005</v>
      </c>
      <c r="O33" s="32"/>
      <c r="P33" s="32"/>
      <c r="R33" s="61"/>
      <c r="S33" s="61"/>
      <c r="T33" s="71">
        <v>46253</v>
      </c>
      <c r="U33" s="75"/>
      <c r="V33" s="72"/>
      <c r="W33" s="72"/>
      <c r="X33" s="146"/>
      <c r="Y33" s="151"/>
      <c r="Z33" s="151"/>
      <c r="AA33" s="152"/>
      <c r="AB33" s="153">
        <v>0</v>
      </c>
      <c r="AC33" s="153">
        <v>0</v>
      </c>
      <c r="AD33" s="154">
        <v>0</v>
      </c>
    </row>
    <row r="34" spans="2:34" x14ac:dyDescent="0.3">
      <c r="D34" s="67">
        <v>46253</v>
      </c>
      <c r="E34" s="68"/>
      <c r="F34" s="69"/>
      <c r="G34" s="69"/>
      <c r="H34" s="143"/>
      <c r="I34" s="144"/>
      <c r="J34" s="144"/>
      <c r="K34" s="70"/>
      <c r="L34" s="147">
        <v>-281.11</v>
      </c>
      <c r="M34" s="147">
        <v>-272.7</v>
      </c>
      <c r="N34" s="147">
        <v>-275.45000000000005</v>
      </c>
      <c r="O34" s="32"/>
      <c r="P34" s="32"/>
      <c r="T34" s="71">
        <v>46253</v>
      </c>
      <c r="U34" s="75"/>
      <c r="V34" s="72"/>
      <c r="W34" s="72"/>
      <c r="X34" s="146"/>
      <c r="Y34" s="151"/>
      <c r="Z34" s="173"/>
      <c r="AA34" s="174"/>
      <c r="AB34" s="153">
        <v>0</v>
      </c>
      <c r="AC34" s="153">
        <v>0</v>
      </c>
      <c r="AD34" s="154">
        <v>0</v>
      </c>
    </row>
    <row r="35" spans="2:34" x14ac:dyDescent="0.3">
      <c r="F35" s="48"/>
      <c r="G35" s="48"/>
      <c r="R35" s="116"/>
      <c r="W35" s="49"/>
      <c r="X35" s="49"/>
      <c r="Y35" s="49"/>
    </row>
    <row r="36" spans="2:34" x14ac:dyDescent="0.3">
      <c r="AG36" s="32"/>
    </row>
    <row r="37" spans="2:34" x14ac:dyDescent="0.3">
      <c r="B37" s="57"/>
      <c r="AG37" s="32"/>
      <c r="AH37" s="32"/>
    </row>
    <row r="38" spans="2:34" x14ac:dyDescent="0.3">
      <c r="B38" s="78" t="s">
        <v>33</v>
      </c>
      <c r="C38" s="78"/>
      <c r="D38" s="78"/>
      <c r="E38" s="79" t="s">
        <v>42</v>
      </c>
      <c r="F38" s="78"/>
      <c r="G38" s="78"/>
      <c r="H38" s="78"/>
      <c r="I38" s="78"/>
      <c r="J38" s="78"/>
      <c r="K38" s="78"/>
      <c r="L38" s="78"/>
      <c r="M38" s="78"/>
      <c r="N38" s="78"/>
      <c r="R38" s="80" t="s">
        <v>35</v>
      </c>
      <c r="S38" s="80"/>
      <c r="T38" s="81"/>
      <c r="U38" s="80" t="s">
        <v>40</v>
      </c>
      <c r="V38" s="81"/>
      <c r="W38" s="81"/>
      <c r="X38" s="81"/>
      <c r="Y38" s="81"/>
      <c r="Z38" s="81"/>
      <c r="AA38" s="81"/>
      <c r="AB38" s="81"/>
      <c r="AC38" s="81"/>
      <c r="AD38" s="81"/>
      <c r="AG38" s="32"/>
      <c r="AH38" s="32"/>
    </row>
    <row r="39" spans="2:34" x14ac:dyDescent="0.3">
      <c r="B39" s="78"/>
      <c r="C39" s="82"/>
      <c r="D39" s="83" t="s">
        <v>24</v>
      </c>
      <c r="E39" s="83" t="s">
        <v>3</v>
      </c>
      <c r="F39" s="83" t="s">
        <v>4</v>
      </c>
      <c r="G39" s="83" t="s">
        <v>5</v>
      </c>
      <c r="H39" s="83" t="s">
        <v>6</v>
      </c>
      <c r="I39" s="83" t="s">
        <v>20</v>
      </c>
      <c r="J39" s="83" t="s">
        <v>7</v>
      </c>
      <c r="K39" s="83" t="s">
        <v>8</v>
      </c>
      <c r="L39" s="84" t="s">
        <v>21</v>
      </c>
      <c r="M39" s="83" t="s">
        <v>22</v>
      </c>
      <c r="N39" s="83" t="s">
        <v>23</v>
      </c>
      <c r="R39" s="80"/>
      <c r="S39" s="80"/>
      <c r="T39" s="85" t="s">
        <v>24</v>
      </c>
      <c r="U39" s="85" t="s">
        <v>3</v>
      </c>
      <c r="V39" s="85" t="s">
        <v>4</v>
      </c>
      <c r="W39" s="85" t="s">
        <v>5</v>
      </c>
      <c r="X39" s="85" t="s">
        <v>6</v>
      </c>
      <c r="Y39" s="85" t="s">
        <v>20</v>
      </c>
      <c r="Z39" s="85" t="s">
        <v>7</v>
      </c>
      <c r="AA39" s="85" t="s">
        <v>8</v>
      </c>
      <c r="AB39" s="86" t="s">
        <v>21</v>
      </c>
      <c r="AC39" s="85" t="s">
        <v>22</v>
      </c>
      <c r="AD39" s="85" t="s">
        <v>23</v>
      </c>
      <c r="AG39" s="32"/>
      <c r="AH39" s="32"/>
    </row>
    <row r="40" spans="2:34" x14ac:dyDescent="0.3">
      <c r="B40" s="78" t="s">
        <v>34</v>
      </c>
      <c r="C40" s="79" t="str" cm="1">
        <f t="array" ref="C40">_xll.BDP("FEDL01 Index","LAST_PRICE")</f>
        <v>#N/A Requesting Data...</v>
      </c>
      <c r="D40" s="87">
        <v>46253</v>
      </c>
      <c r="E40" s="88" t="str">
        <f t="shared" ref="E40:E48" si="20">TEXT(F40, "mmm")</f>
        <v>#N/A Requesting Data...</v>
      </c>
      <c r="F40" s="89" t="str" cm="1">
        <f t="array" ref="F40">_xll.BDP("USSOFED1 Curncy","SW_EFF_DT")</f>
        <v>#N/A Requesting Data...</v>
      </c>
      <c r="G40" s="89" t="str" cm="1">
        <f t="array" ref="G40">_xll.BDP("USSOFED1 Curncy","MATURITY")</f>
        <v>#N/A Requesting Data...</v>
      </c>
      <c r="H40" s="145" t="str" cm="1">
        <f t="array" ref="H40">_xll.BDP("USSOFED1 Curncy","LAST_PRICE")</f>
        <v>#N/A Requesting Data...</v>
      </c>
      <c r="I40" s="149" t="e">
        <f>(H40-C40)*100</f>
        <v>#VALUE!</v>
      </c>
      <c r="J40" s="149" t="e">
        <f t="shared" ref="J40:J45" si="21">(H40-$C$40)*100</f>
        <v>#VALUE!</v>
      </c>
      <c r="K40" s="90" t="e">
        <f t="shared" ref="K40:K45" si="22">((J40)/25)</f>
        <v>#VALUE!</v>
      </c>
      <c r="L40" s="148">
        <v>0.22000000000002018</v>
      </c>
      <c r="M40" s="148">
        <v>-0.80000000000000071</v>
      </c>
      <c r="N40" s="148">
        <v>-5.3099999999999703</v>
      </c>
      <c r="O40" s="32"/>
      <c r="R40" s="80" t="s">
        <v>36</v>
      </c>
      <c r="S40" s="80" t="str" cm="1">
        <f t="array" ref="S40">_xll.BDP("CAONREPO Index","LAST_PRICE")</f>
        <v>#N/A Requesting Data...</v>
      </c>
      <c r="T40" s="167">
        <v>46253</v>
      </c>
      <c r="U40" s="91" t="str">
        <f t="shared" ref="U40:U47" si="23">TEXT(V40, "mmm")</f>
        <v>#N/A Requesting Data...</v>
      </c>
      <c r="V40" s="91" t="str" cm="1">
        <f t="array" ref="V40">_xll.BDP("CDSF1A BMOD Curncy","SW_EFF_DT")</f>
        <v>#N/A Requesting Data...</v>
      </c>
      <c r="W40" s="91" t="str" cm="1">
        <f t="array" ref="W40">_xll.BDP("CDSF1A BMOD Curncy","MATURITY")</f>
        <v>#N/A Requesting Data...</v>
      </c>
      <c r="X40" s="92" t="str" cm="1">
        <f t="array" ref="X40">_xll.BDP("CDSF1A BMOD Curncy","LAST_PRICE")</f>
        <v>#N/A Requesting Data...</v>
      </c>
      <c r="Y40" s="93" t="e">
        <f>(X40-S40)*100</f>
        <v>#VALUE!</v>
      </c>
      <c r="Z40" s="93" t="e">
        <f t="shared" ref="Z40:Z45" si="24">(X40-$S$40)*100</f>
        <v>#VALUE!</v>
      </c>
      <c r="AA40" s="94" t="e">
        <f t="shared" ref="AA40:AA45" si="25">((Z40)/25)</f>
        <v>#VALUE!</v>
      </c>
      <c r="AB40" s="81">
        <v>-0.24999999999999467</v>
      </c>
      <c r="AC40" s="81">
        <v>-0.99999999999997868</v>
      </c>
      <c r="AD40" s="81">
        <v>-2.2499999999999964</v>
      </c>
      <c r="AG40" s="32"/>
      <c r="AH40" s="163"/>
    </row>
    <row r="41" spans="2:34" x14ac:dyDescent="0.3">
      <c r="B41" s="78"/>
      <c r="C41" s="79" t="str" cm="1">
        <f t="array" ref="C41">_xll.BDP("FEDL01 Index","LAST_PRICE")</f>
        <v>#N/A Requesting Data...</v>
      </c>
      <c r="D41" s="87">
        <v>46253</v>
      </c>
      <c r="E41" s="88" t="str">
        <f t="shared" si="20"/>
        <v>#N/A Requesting Data...</v>
      </c>
      <c r="F41" s="89" t="str" cm="1">
        <f t="array" ref="F41">_xll.BDP("USSOFED2 Curncy","SW_EFF_DT")</f>
        <v>#N/A Requesting Data...</v>
      </c>
      <c r="G41" s="89" t="str" cm="1">
        <f t="array" ref="G41">_xll.BDP("USSOFED2 Curncy","MATURITY")</f>
        <v>#N/A Requesting Data...</v>
      </c>
      <c r="H41" s="145" t="str" cm="1">
        <f t="array" ref="H41">_xll.BDP("USSOFED2 Curncy","LAST_PRICE")</f>
        <v>#N/A Requesting Data...</v>
      </c>
      <c r="I41" s="149" t="e">
        <f t="shared" ref="I41:I48" si="26">(H41-H40)*100</f>
        <v>#VALUE!</v>
      </c>
      <c r="J41" s="149" t="e">
        <f t="shared" si="21"/>
        <v>#VALUE!</v>
      </c>
      <c r="K41" s="90" t="e">
        <f t="shared" si="22"/>
        <v>#VALUE!</v>
      </c>
      <c r="L41" s="148">
        <v>0.55000000000000604</v>
      </c>
      <c r="M41" s="148">
        <v>-1.4699999999999935</v>
      </c>
      <c r="N41" s="148">
        <v>-5.119999999999969</v>
      </c>
      <c r="O41" s="32"/>
      <c r="R41" s="80"/>
      <c r="S41" s="80" t="str" cm="1">
        <f t="array" ref="S41">_xll.BDP("CAONREPO Index","LAST_PRICE")</f>
        <v>#N/A Requesting Data...</v>
      </c>
      <c r="T41" s="167">
        <v>46253</v>
      </c>
      <c r="U41" s="91" t="str">
        <f t="shared" si="23"/>
        <v>#N/A Requesting Data...</v>
      </c>
      <c r="V41" s="91" t="str" cm="1">
        <f t="array" ref="V41">_xll.BDP("CDSF2A BMOD Curncy","SW_EFF_DT")</f>
        <v>#N/A Requesting Data...</v>
      </c>
      <c r="W41" s="91" t="str" cm="1">
        <f t="array" ref="W41">_xll.BDP("CDSF2A BMOD Curncy","MATURITY")</f>
        <v>#N/A Requesting Data...</v>
      </c>
      <c r="X41" s="92" t="str" cm="1">
        <f t="array" ref="X41">_xll.BDP("CDSF2A BMOD Curncy","LAST_PRICE")</f>
        <v>#N/A Requesting Data...</v>
      </c>
      <c r="Y41" s="93" t="e">
        <f t="shared" ref="Y41:Y45" si="27">(X41-X40)*100</f>
        <v>#VALUE!</v>
      </c>
      <c r="Z41" s="93" t="e">
        <f t="shared" si="24"/>
        <v>#VALUE!</v>
      </c>
      <c r="AA41" s="94" t="e">
        <f t="shared" si="25"/>
        <v>#VALUE!</v>
      </c>
      <c r="AB41" s="81">
        <v>-0.24999999999999467</v>
      </c>
      <c r="AC41" s="168">
        <v>-0.74999999999998401</v>
      </c>
      <c r="AD41" s="168">
        <v>-1.7500000000000071</v>
      </c>
      <c r="AG41" s="163"/>
      <c r="AH41" s="163"/>
    </row>
    <row r="42" spans="2:34" x14ac:dyDescent="0.3">
      <c r="B42" s="78"/>
      <c r="C42" s="78"/>
      <c r="D42" s="87">
        <v>46253</v>
      </c>
      <c r="E42" s="88" t="str">
        <f t="shared" si="20"/>
        <v>#N/A Requesting Data...</v>
      </c>
      <c r="F42" s="89" t="str" cm="1">
        <f t="array" ref="F42">_xll.BDP("USSOFED3 Curncy","SW_EFF_DT")</f>
        <v>#N/A Requesting Data...</v>
      </c>
      <c r="G42" s="89" t="str" cm="1">
        <f t="array" ref="G42">_xll.BDP("USSOFED3 Curncy","MATURITY")</f>
        <v>#N/A Requesting Data...</v>
      </c>
      <c r="H42" s="145" t="str" cm="1">
        <f t="array" ref="H42">_xll.BDP("USSOFED3 Curncy","LAST_PRICE")</f>
        <v>#N/A Requesting Data...</v>
      </c>
      <c r="I42" s="149" t="e">
        <f t="shared" si="26"/>
        <v>#VALUE!</v>
      </c>
      <c r="J42" s="149" t="e">
        <f t="shared" si="21"/>
        <v>#VALUE!</v>
      </c>
      <c r="K42" s="90" t="e">
        <f t="shared" si="22"/>
        <v>#VALUE!</v>
      </c>
      <c r="L42" s="148">
        <v>0.57000000000000384</v>
      </c>
      <c r="M42" s="148">
        <v>-2.0599999999999952</v>
      </c>
      <c r="N42" s="148">
        <v>-3.6599999999999966</v>
      </c>
      <c r="O42" s="32"/>
      <c r="R42" s="80"/>
      <c r="S42" s="80"/>
      <c r="T42" s="167">
        <v>46253</v>
      </c>
      <c r="U42" s="91" t="str">
        <f t="shared" si="23"/>
        <v>#N/A Requesting Data...</v>
      </c>
      <c r="V42" s="91" t="str" cm="1">
        <f t="array" ref="V42">_xll.BDP("CDSF3A BMOD Curncy","SW_EFF_DT")</f>
        <v>#N/A Requesting Data...</v>
      </c>
      <c r="W42" s="91" t="str" cm="1">
        <f t="array" ref="W42">_xll.BDP("CDSF3A BMOD Curncy","MATURITY")</f>
        <v>#N/A Requesting Data...</v>
      </c>
      <c r="X42" s="92" t="str" cm="1">
        <f t="array" ref="X42">_xll.BDP("CDSF3A BMOD Curncy","LAST_PRICE")</f>
        <v>#N/A Requesting Data...</v>
      </c>
      <c r="Y42" s="93" t="e">
        <f t="shared" si="27"/>
        <v>#VALUE!</v>
      </c>
      <c r="Z42" s="93" t="e">
        <f t="shared" si="24"/>
        <v>#VALUE!</v>
      </c>
      <c r="AA42" s="94" t="e">
        <f t="shared" si="25"/>
        <v>#VALUE!</v>
      </c>
      <c r="AB42" s="81">
        <v>0.24999999999999467</v>
      </c>
      <c r="AC42" s="168">
        <v>-2.2499999999999964</v>
      </c>
      <c r="AD42" s="168">
        <v>-2.4999999999999911</v>
      </c>
      <c r="AG42" s="163"/>
      <c r="AH42" s="163"/>
    </row>
    <row r="43" spans="2:34" x14ac:dyDescent="0.3">
      <c r="B43" s="78"/>
      <c r="C43" s="78"/>
      <c r="D43" s="87">
        <v>46253</v>
      </c>
      <c r="E43" s="88" t="str">
        <f t="shared" si="20"/>
        <v>#N/A Requesting Data...</v>
      </c>
      <c r="F43" s="89" t="str" cm="1">
        <f t="array" ref="F43">_xll.BDP("USSOFED4 Curncy","SW_EFF_DT")</f>
        <v>#N/A Requesting Data...</v>
      </c>
      <c r="G43" s="89" t="str" cm="1">
        <f t="array" ref="G43">_xll.BDP("USSOFED4 Curncy","MATURITY")</f>
        <v>#N/A Requesting Data...</v>
      </c>
      <c r="H43" s="145" t="str" cm="1">
        <f t="array" ref="H43">_xll.BDP("USSOFED4 Curncy","LAST_PRICE")</f>
        <v>#N/A Requesting Data...</v>
      </c>
      <c r="I43" s="149" t="e">
        <f t="shared" si="26"/>
        <v>#VALUE!</v>
      </c>
      <c r="J43" s="149" t="e">
        <f t="shared" si="21"/>
        <v>#VALUE!</v>
      </c>
      <c r="K43" s="90" t="e">
        <f t="shared" si="22"/>
        <v>#VALUE!</v>
      </c>
      <c r="L43" s="148">
        <v>0.66000000000001613</v>
      </c>
      <c r="M43" s="148">
        <v>-1.4100000000000001</v>
      </c>
      <c r="N43" s="148">
        <v>-2.0000000000000018</v>
      </c>
      <c r="O43" s="32"/>
      <c r="R43" s="80"/>
      <c r="S43" s="96"/>
      <c r="T43" s="167">
        <v>46253</v>
      </c>
      <c r="U43" s="91" t="str">
        <f t="shared" si="23"/>
        <v>#N/A Requesting Data...</v>
      </c>
      <c r="V43" s="91" t="str" cm="1">
        <f t="array" ref="V43">_xll.BDP("CDSF4A BMOD Curncy","SW_EFF_DT")</f>
        <v>#N/A Requesting Data...</v>
      </c>
      <c r="W43" s="91" t="str" cm="1">
        <f t="array" ref="W43">_xll.BDP("CDSF4A BMOD Curncy","MATURITY")</f>
        <v>#N/A Requesting Data...</v>
      </c>
      <c r="X43" s="92" t="str" cm="1">
        <f t="array" ref="X43">_xll.BDP("CDSF4A BMOD Curncy","LAST_PRICE")</f>
        <v>#N/A Requesting Data...</v>
      </c>
      <c r="Y43" s="93" t="e">
        <f t="shared" si="27"/>
        <v>#VALUE!</v>
      </c>
      <c r="Z43" s="93" t="e">
        <f t="shared" si="24"/>
        <v>#VALUE!</v>
      </c>
      <c r="AA43" s="94" t="e">
        <f t="shared" si="25"/>
        <v>#VALUE!</v>
      </c>
      <c r="AB43" s="81">
        <v>0.75000000000002842</v>
      </c>
      <c r="AC43" s="168">
        <v>-2.7499999999999858</v>
      </c>
      <c r="AD43" s="168" t="s">
        <v>41</v>
      </c>
      <c r="AG43" s="163"/>
      <c r="AH43" s="163"/>
    </row>
    <row r="44" spans="2:34" x14ac:dyDescent="0.3">
      <c r="B44" s="78"/>
      <c r="C44" s="78"/>
      <c r="D44" s="87">
        <v>46253</v>
      </c>
      <c r="E44" s="88" t="str">
        <f t="shared" si="20"/>
        <v>#N/A Requesting Data...</v>
      </c>
      <c r="F44" s="89" t="str" cm="1">
        <f t="array" ref="F44">_xll.BDP("USSOFED5 Curncy","SW_EFF_DT")</f>
        <v>#N/A Requesting Data...</v>
      </c>
      <c r="G44" s="89" t="str" cm="1">
        <f t="array" ref="G44">_xll.BDP("USSOFED5 Curncy","MATURITY")</f>
        <v>#N/A Requesting Data...</v>
      </c>
      <c r="H44" s="145" t="str" cm="1">
        <f t="array" ref="H44">_xll.BDP("USSOFED5 Curncy","LAST_PRICE")</f>
        <v>#N/A Requesting Data...</v>
      </c>
      <c r="I44" s="149" t="e">
        <f t="shared" si="26"/>
        <v>#VALUE!</v>
      </c>
      <c r="J44" s="149" t="e">
        <f t="shared" si="21"/>
        <v>#VALUE!</v>
      </c>
      <c r="K44" s="90" t="e">
        <f t="shared" si="22"/>
        <v>#VALUE!</v>
      </c>
      <c r="L44" s="148">
        <v>1.0499999999999954</v>
      </c>
      <c r="M44" s="148">
        <v>-1.0399999999999743</v>
      </c>
      <c r="N44" s="148">
        <v>-0.26000000000001577</v>
      </c>
      <c r="O44" s="32"/>
      <c r="R44" s="80"/>
      <c r="S44" s="96"/>
      <c r="T44" s="167">
        <v>46253</v>
      </c>
      <c r="U44" s="91" t="str">
        <f t="shared" si="23"/>
        <v>#N/A Requesting Data...</v>
      </c>
      <c r="V44" s="91" t="str" cm="1">
        <f t="array" ref="V44">_xll.BDP("CDSF5A BMOD Curncy","SW_EFF_DT")</f>
        <v>#N/A Requesting Data...</v>
      </c>
      <c r="W44" s="91" t="str" cm="1">
        <f t="array" ref="W44">_xll.BDP("CDSF5A BMOD Curncy","MATURITY")</f>
        <v>#N/A Requesting Data...</v>
      </c>
      <c r="X44" s="92" t="str" cm="1">
        <f t="array" ref="X44">_xll.BDP("CDSF5A BMOD Curncy","LAST_PRICE")</f>
        <v>#N/A Requesting Data...</v>
      </c>
      <c r="Y44" s="93" t="e">
        <f t="shared" si="27"/>
        <v>#VALUE!</v>
      </c>
      <c r="Z44" s="93" t="e">
        <f t="shared" si="24"/>
        <v>#VALUE!</v>
      </c>
      <c r="AA44" s="94" t="e">
        <f t="shared" si="25"/>
        <v>#VALUE!</v>
      </c>
      <c r="AB44" s="81">
        <v>0.99999999999997868</v>
      </c>
      <c r="AC44" s="168">
        <v>-2.4999999999999911</v>
      </c>
      <c r="AD44" s="168" t="s">
        <v>41</v>
      </c>
      <c r="AG44" s="163"/>
      <c r="AH44" s="163"/>
    </row>
    <row r="45" spans="2:34" x14ac:dyDescent="0.3">
      <c r="B45" s="97"/>
      <c r="C45" s="98"/>
      <c r="D45" s="87">
        <v>46253</v>
      </c>
      <c r="E45" s="88" t="str">
        <f t="shared" si="20"/>
        <v>#N/A Requesting Data...</v>
      </c>
      <c r="F45" s="89" t="str" cm="1">
        <f t="array" ref="F45">_xll.BDP("USSOFED6 Curncy","SW_EFF_DT")</f>
        <v>#N/A Requesting Data...</v>
      </c>
      <c r="G45" s="89" t="str" cm="1">
        <f t="array" ref="G45">_xll.BDP("USSOFED6 Curncy","MATURITY")</f>
        <v>#N/A Requesting Data...</v>
      </c>
      <c r="H45" s="145" t="str" cm="1">
        <f t="array" ref="H45">_xll.BDP("USSOFED6 Curncy","LAST_PRICE")</f>
        <v>#N/A Requesting Data...</v>
      </c>
      <c r="I45" s="149" t="e">
        <f t="shared" si="26"/>
        <v>#VALUE!</v>
      </c>
      <c r="J45" s="149" t="e">
        <f t="shared" si="21"/>
        <v>#VALUE!</v>
      </c>
      <c r="K45" s="90" t="e">
        <f t="shared" si="22"/>
        <v>#VALUE!</v>
      </c>
      <c r="L45" s="148">
        <v>1.6899999999999693</v>
      </c>
      <c r="M45" s="148">
        <v>-1.0100000000000442</v>
      </c>
      <c r="N45" s="148">
        <v>0.99000000000000199</v>
      </c>
      <c r="O45" s="32"/>
      <c r="R45" s="80"/>
      <c r="S45" s="96"/>
      <c r="T45" s="167">
        <v>46253</v>
      </c>
      <c r="U45" s="91" t="str">
        <f t="shared" si="23"/>
        <v>#N/A Requesting Data...</v>
      </c>
      <c r="V45" s="91" t="str" cm="1">
        <f t="array" ref="V45">_xll.BDP("CDSF6A BMOD Curncy","SW_EFF_DT")</f>
        <v>#N/A Requesting Data...</v>
      </c>
      <c r="W45" s="91" t="str" cm="1">
        <f t="array" ref="W45">_xll.BDP("CDSF6A BMOD Curncy","MATURITY")</f>
        <v>#N/A Requesting Data...</v>
      </c>
      <c r="X45" s="92" t="str" cm="1">
        <f t="array" ref="X45">_xll.BDP("CDSF6A BMOD Curncy","LAST_PRICE")</f>
        <v>#N/A Requesting Data...</v>
      </c>
      <c r="Y45" s="93" t="e">
        <f t="shared" si="27"/>
        <v>#VALUE!</v>
      </c>
      <c r="Z45" s="93" t="e">
        <f t="shared" si="24"/>
        <v>#VALUE!</v>
      </c>
      <c r="AA45" s="94" t="e">
        <f t="shared" si="25"/>
        <v>#VALUE!</v>
      </c>
      <c r="AB45" s="81">
        <v>1.2500000000000178</v>
      </c>
      <c r="AC45" s="168">
        <v>-2.0000000000000018</v>
      </c>
      <c r="AD45" s="168" t="s">
        <v>41</v>
      </c>
      <c r="AG45" s="163"/>
      <c r="AH45" s="163"/>
    </row>
    <row r="46" spans="2:34" x14ac:dyDescent="0.3">
      <c r="B46" s="78"/>
      <c r="C46" s="78"/>
      <c r="D46" s="87">
        <v>46253</v>
      </c>
      <c r="E46" s="88" t="str">
        <f t="shared" si="20"/>
        <v>#N/A Requesting Data...</v>
      </c>
      <c r="F46" s="89" t="str" cm="1">
        <f t="array" ref="F46">_xll.BDP("USSOFED7 Curncy","SW_EFF_DT")</f>
        <v>#N/A Requesting Data...</v>
      </c>
      <c r="G46" s="89" t="str" cm="1">
        <f t="array" ref="G46">_xll.BDP("USSOFED7 Curncy","MATURITY")</f>
        <v>#N/A Requesting Data...</v>
      </c>
      <c r="H46" s="145" t="str" cm="1">
        <f t="array" ref="H46">_xll.BDP("USSOFED7 Curncy","LAST_PRICE")</f>
        <v>#N/A Requesting Data...</v>
      </c>
      <c r="I46" s="149" t="e">
        <f t="shared" si="26"/>
        <v>#VALUE!</v>
      </c>
      <c r="J46" s="149" t="e">
        <f>(H46-$C$40)*100</f>
        <v>#VALUE!</v>
      </c>
      <c r="K46" s="90" t="e">
        <f>((J46)/25)</f>
        <v>#VALUE!</v>
      </c>
      <c r="L46" s="148">
        <v>2.2999999999999687</v>
      </c>
      <c r="M46" s="148">
        <v>-0.75000000000002842</v>
      </c>
      <c r="N46" s="148">
        <v>4.0000000000000036</v>
      </c>
      <c r="O46" s="32"/>
      <c r="R46" s="80"/>
      <c r="S46" s="96"/>
      <c r="T46" s="167">
        <v>46253</v>
      </c>
      <c r="U46" s="91" t="str">
        <f t="shared" si="23"/>
        <v>#N/A Requesting Data...</v>
      </c>
      <c r="V46" s="91" t="str" cm="1">
        <f t="array" ref="V46">_xll.BDP("CDSF7A BMOD Curncy","SW_EFF_DT")</f>
        <v>#N/A Requesting Data...</v>
      </c>
      <c r="W46" s="91" t="str" cm="1">
        <f t="array" ref="W46">_xll.BDP("CDSF7A BMOD Curncy","MATURITY")</f>
        <v>#N/A Requesting Data...</v>
      </c>
      <c r="X46" s="92" t="str" cm="1">
        <f t="array" ref="X46">_xll.BDP("CDSF7A BMOD Curncy","LAST_PRICE")</f>
        <v>#N/A Requesting Data...</v>
      </c>
      <c r="Y46" s="93" t="e">
        <f t="shared" ref="Y46" si="28">(X46-X45)*100</f>
        <v>#VALUE!</v>
      </c>
      <c r="Z46" s="93" t="e">
        <f t="shared" ref="Z46" si="29">(X46-$S$40)*100</f>
        <v>#VALUE!</v>
      </c>
      <c r="AA46" s="94" t="e">
        <f t="shared" ref="AA46" si="30">((Z46)/25)</f>
        <v>#VALUE!</v>
      </c>
      <c r="AB46" s="81">
        <v>1.2500000000000178</v>
      </c>
      <c r="AC46" s="168">
        <v>-2.0000000000000018</v>
      </c>
      <c r="AD46" s="168" t="s">
        <v>41</v>
      </c>
      <c r="AG46" s="163"/>
      <c r="AH46" s="163"/>
    </row>
    <row r="47" spans="2:34" x14ac:dyDescent="0.3">
      <c r="B47" s="78"/>
      <c r="C47" s="78"/>
      <c r="D47" s="87">
        <v>46253</v>
      </c>
      <c r="E47" s="88" t="str">
        <f t="shared" si="20"/>
        <v>#N/A Requesting Data...</v>
      </c>
      <c r="F47" s="89" t="str" cm="1">
        <f t="array" ref="F47">_xll.BDP("USSOFED8 Curncy","SW_EFF_DT")</f>
        <v>#N/A Requesting Data...</v>
      </c>
      <c r="G47" s="89" t="str" cm="1">
        <f t="array" ref="G47">_xll.BDP("USSOFED8 Curncy","MATURITY")</f>
        <v>#N/A Requesting Data...</v>
      </c>
      <c r="H47" s="145" t="str" cm="1">
        <f t="array" ref="H47">_xll.BDP("USSOFED8 Curncy","LAST_PRICE")</f>
        <v>#N/A Requesting Data...</v>
      </c>
      <c r="I47" s="149" t="e">
        <f t="shared" si="26"/>
        <v>#VALUE!</v>
      </c>
      <c r="J47" s="149" t="e">
        <f>(H47-$C$40)*100</f>
        <v>#VALUE!</v>
      </c>
      <c r="K47" s="90" t="e">
        <f>((J47)/25)</f>
        <v>#VALUE!</v>
      </c>
      <c r="L47" s="148">
        <v>2.4000000000000021</v>
      </c>
      <c r="M47" s="148">
        <v>-0.60000000000002274</v>
      </c>
      <c r="N47" s="148">
        <v>6.6999999999999726</v>
      </c>
      <c r="O47" s="32"/>
      <c r="R47" s="80"/>
      <c r="S47" s="96"/>
      <c r="T47" s="167">
        <v>46253</v>
      </c>
      <c r="U47" s="91" t="str">
        <f t="shared" si="23"/>
        <v>Jan</v>
      </c>
      <c r="V47" s="91"/>
      <c r="W47" s="91"/>
      <c r="X47" s="92"/>
      <c r="Y47" s="93"/>
      <c r="Z47" s="93"/>
      <c r="AA47" s="94"/>
      <c r="AB47" s="81">
        <v>0</v>
      </c>
      <c r="AC47" s="168">
        <v>0</v>
      </c>
      <c r="AD47" s="168">
        <v>0</v>
      </c>
      <c r="AG47" s="163"/>
      <c r="AH47" s="163"/>
    </row>
    <row r="48" spans="2:34" x14ac:dyDescent="0.3">
      <c r="B48" s="78"/>
      <c r="C48" s="78"/>
      <c r="D48" s="87">
        <v>46253</v>
      </c>
      <c r="E48" s="88" t="str">
        <f t="shared" si="20"/>
        <v>#N/A Requesting Data...</v>
      </c>
      <c r="F48" s="89" t="str" cm="1">
        <f t="array" ref="F48">_xll.BDP("USSOFED9 Curncy","SW_EFF_DT")</f>
        <v>#N/A Requesting Data...</v>
      </c>
      <c r="G48" s="89" t="str" cm="1">
        <f t="array" ref="G48">_xll.BDP("USSOFED9 Curncy","MATURITY")</f>
        <v>#N/A Requesting Data...</v>
      </c>
      <c r="H48" s="145" t="str" cm="1">
        <f t="array" ref="H48">_xll.BDP("USSOFED9 Curncy","LAST_PRICE")</f>
        <v>#N/A Requesting Data...</v>
      </c>
      <c r="I48" s="149" t="e">
        <f t="shared" si="26"/>
        <v>#VALUE!</v>
      </c>
      <c r="J48" s="149" t="e">
        <f>(H48-$C$40)*100</f>
        <v>#VALUE!</v>
      </c>
      <c r="K48" s="90" t="e">
        <f>((J48)/25)</f>
        <v>#VALUE!</v>
      </c>
      <c r="L48" s="148">
        <v>2.4699999999999278</v>
      </c>
      <c r="M48" s="148">
        <v>-0.1000000000000334</v>
      </c>
      <c r="N48" s="148" t="s">
        <v>41</v>
      </c>
      <c r="O48" s="32"/>
      <c r="R48" s="80"/>
      <c r="S48" s="96"/>
      <c r="T48" s="167">
        <v>46253</v>
      </c>
      <c r="U48" s="91"/>
      <c r="V48" s="91"/>
      <c r="W48" s="91"/>
      <c r="X48" s="92"/>
      <c r="Y48" s="93"/>
      <c r="Z48" s="93"/>
      <c r="AA48" s="94"/>
      <c r="AB48" s="81">
        <v>0</v>
      </c>
      <c r="AC48" s="168">
        <v>0</v>
      </c>
      <c r="AD48" s="168">
        <v>0</v>
      </c>
      <c r="AG48" s="163"/>
      <c r="AH48" s="32"/>
    </row>
    <row r="49" spans="2:32" x14ac:dyDescent="0.3">
      <c r="B49" s="78"/>
      <c r="C49" s="78"/>
      <c r="D49" s="87">
        <v>46253</v>
      </c>
      <c r="E49" s="88"/>
      <c r="F49" s="89"/>
      <c r="G49" s="89"/>
      <c r="H49" s="145"/>
      <c r="I49" s="149"/>
      <c r="J49" s="149"/>
      <c r="K49" s="90"/>
      <c r="L49" s="148">
        <v>0</v>
      </c>
      <c r="M49" s="148">
        <v>0</v>
      </c>
      <c r="N49" s="148">
        <v>0</v>
      </c>
      <c r="O49" s="32"/>
      <c r="R49" s="99"/>
      <c r="S49" s="95"/>
      <c r="T49" s="167">
        <v>46253</v>
      </c>
      <c r="U49" s="91"/>
      <c r="V49" s="91"/>
      <c r="W49" s="91"/>
      <c r="X49" s="92"/>
      <c r="Y49" s="93"/>
      <c r="Z49" s="93"/>
      <c r="AA49" s="94"/>
      <c r="AB49" s="81">
        <v>0</v>
      </c>
      <c r="AC49" s="81">
        <v>0</v>
      </c>
      <c r="AD49" s="81">
        <v>0</v>
      </c>
    </row>
    <row r="50" spans="2:32" x14ac:dyDescent="0.3">
      <c r="B50" s="78"/>
      <c r="C50" s="78"/>
      <c r="D50" s="87">
        <v>46253</v>
      </c>
      <c r="E50" s="88"/>
      <c r="F50" s="89"/>
      <c r="G50" s="89"/>
      <c r="H50" s="145"/>
      <c r="I50" s="149"/>
      <c r="J50" s="149"/>
      <c r="K50" s="90"/>
      <c r="L50" s="148">
        <v>0</v>
      </c>
      <c r="M50" s="148">
        <v>0</v>
      </c>
      <c r="N50" s="148">
        <v>0</v>
      </c>
      <c r="O50" s="32"/>
      <c r="R50" s="99"/>
      <c r="S50" s="95"/>
      <c r="T50" s="167">
        <v>46253</v>
      </c>
      <c r="U50" s="91"/>
      <c r="V50" s="91"/>
      <c r="W50" s="91"/>
      <c r="X50" s="92"/>
      <c r="Y50" s="93"/>
      <c r="Z50" s="93"/>
      <c r="AA50" s="94"/>
      <c r="AB50" s="81">
        <v>0</v>
      </c>
      <c r="AC50" s="81">
        <v>0</v>
      </c>
      <c r="AD50" s="81">
        <v>0</v>
      </c>
    </row>
    <row r="51" spans="2:32" x14ac:dyDescent="0.3">
      <c r="B51" s="78"/>
      <c r="C51" s="78"/>
      <c r="D51" s="87">
        <v>46253</v>
      </c>
      <c r="E51" s="88"/>
      <c r="F51" s="89"/>
      <c r="G51" s="89"/>
      <c r="H51" s="145"/>
      <c r="I51" s="149"/>
      <c r="J51" s="149"/>
      <c r="K51" s="90"/>
      <c r="L51" s="148">
        <v>0</v>
      </c>
      <c r="M51" s="148">
        <v>0</v>
      </c>
      <c r="N51" s="148">
        <v>0</v>
      </c>
      <c r="O51" s="32"/>
      <c r="T51" s="167">
        <v>46253</v>
      </c>
      <c r="U51" s="91"/>
      <c r="V51" s="91"/>
      <c r="W51" s="91"/>
      <c r="X51" s="92"/>
      <c r="Y51" s="93"/>
      <c r="Z51" s="93"/>
      <c r="AA51" s="94"/>
      <c r="AB51" s="81">
        <v>0</v>
      </c>
      <c r="AC51" s="81">
        <v>0</v>
      </c>
      <c r="AD51" s="81">
        <v>0</v>
      </c>
    </row>
    <row r="52" spans="2:32" x14ac:dyDescent="0.3">
      <c r="F52" s="49"/>
      <c r="O52" s="32"/>
      <c r="S52" s="100"/>
    </row>
    <row r="53" spans="2:32" x14ac:dyDescent="0.3">
      <c r="B53" s="48"/>
      <c r="C53" s="49"/>
      <c r="E53" s="48"/>
      <c r="F53" s="101"/>
      <c r="G53" s="102"/>
      <c r="H53" s="48"/>
      <c r="S53" s="100"/>
      <c r="Y53" s="214"/>
    </row>
    <row r="54" spans="2:32" x14ac:dyDescent="0.3">
      <c r="S54" s="100"/>
      <c r="Y54" s="214"/>
    </row>
    <row r="55" spans="2:32" x14ac:dyDescent="0.3">
      <c r="B55" s="334" t="s">
        <v>156</v>
      </c>
      <c r="C55" s="334"/>
      <c r="D55" s="334"/>
      <c r="E55" s="335" t="s">
        <v>155</v>
      </c>
      <c r="F55" s="334"/>
      <c r="G55" s="334"/>
      <c r="H55" s="334"/>
      <c r="I55" s="334"/>
      <c r="J55" s="334"/>
      <c r="K55" s="334"/>
      <c r="L55" s="334"/>
      <c r="M55" s="334"/>
      <c r="N55" s="334"/>
      <c r="R55" s="376" t="s">
        <v>157</v>
      </c>
      <c r="S55" s="376"/>
      <c r="T55" s="376"/>
      <c r="U55" s="377" t="s">
        <v>158</v>
      </c>
      <c r="V55" s="376"/>
      <c r="W55" s="376"/>
      <c r="X55" s="376"/>
      <c r="Y55" s="376"/>
      <c r="Z55" s="376"/>
      <c r="AA55" s="376"/>
      <c r="AB55" s="376"/>
      <c r="AC55" s="376"/>
      <c r="AD55" s="376"/>
    </row>
    <row r="56" spans="2:32" x14ac:dyDescent="0.3">
      <c r="B56" s="334"/>
      <c r="C56" s="336"/>
      <c r="D56" s="337" t="s">
        <v>24</v>
      </c>
      <c r="E56" s="337" t="s">
        <v>3</v>
      </c>
      <c r="F56" s="337" t="s">
        <v>4</v>
      </c>
      <c r="G56" s="337" t="s">
        <v>5</v>
      </c>
      <c r="H56" s="337" t="s">
        <v>6</v>
      </c>
      <c r="I56" s="337" t="s">
        <v>20</v>
      </c>
      <c r="J56" s="337" t="s">
        <v>7</v>
      </c>
      <c r="K56" s="337" t="s">
        <v>8</v>
      </c>
      <c r="L56" s="338" t="s">
        <v>21</v>
      </c>
      <c r="M56" s="337" t="s">
        <v>22</v>
      </c>
      <c r="N56" s="337" t="s">
        <v>23</v>
      </c>
      <c r="R56" s="376"/>
      <c r="S56" s="378"/>
      <c r="T56" s="379" t="s">
        <v>24</v>
      </c>
      <c r="U56" s="379" t="s">
        <v>3</v>
      </c>
      <c r="V56" s="379" t="s">
        <v>4</v>
      </c>
      <c r="W56" s="379" t="s">
        <v>5</v>
      </c>
      <c r="X56" s="379" t="s">
        <v>6</v>
      </c>
      <c r="Y56" s="379" t="s">
        <v>20</v>
      </c>
      <c r="Z56" s="379" t="s">
        <v>7</v>
      </c>
      <c r="AA56" s="379" t="s">
        <v>8</v>
      </c>
      <c r="AB56" s="380" t="s">
        <v>21</v>
      </c>
      <c r="AC56" s="379" t="s">
        <v>22</v>
      </c>
      <c r="AD56" s="379" t="s">
        <v>23</v>
      </c>
    </row>
    <row r="57" spans="2:32" x14ac:dyDescent="0.3">
      <c r="B57" s="334" t="s">
        <v>34</v>
      </c>
      <c r="C57" s="335" t="str" cm="1">
        <f t="array" ref="C57">_xll.BDP("NOWA Index","LAST_PRICE")</f>
        <v>#N/A Requesting Data...</v>
      </c>
      <c r="D57" s="339">
        <v>46253</v>
      </c>
      <c r="E57" s="340" t="str">
        <f t="shared" ref="E57:E62" si="31">TEXT(F57, "mmm")</f>
        <v>#N/A Requesting Data...</v>
      </c>
      <c r="F57" s="341" t="str" cm="1">
        <f t="array" ref="F57">_xll.BDP("NKSF"&amp;O57&amp;"A Curncy","SW_EFF_DT")</f>
        <v>#N/A Requesting Data...</v>
      </c>
      <c r="G57" s="341" t="str" cm="1">
        <f t="array" ref="G57">_xll.BDP("NKSF"&amp;O57&amp;"A Curncy","MATURITY")</f>
        <v>#N/A Requesting Data...</v>
      </c>
      <c r="H57" s="342" t="str" cm="1">
        <f t="array" ref="H57">_xll.BDP("NKSF"&amp;O57&amp;"A Curncy","LAST_PRICE")</f>
        <v>#N/A Requesting Data...</v>
      </c>
      <c r="I57" s="343" t="e">
        <f>(H57-C57)*100</f>
        <v>#VALUE!</v>
      </c>
      <c r="J57" s="343" t="e">
        <f>(H57-$C$57)*100</f>
        <v>#VALUE!</v>
      </c>
      <c r="K57" s="344" t="e">
        <f t="shared" ref="K57:K62" si="32">((J57)/25)</f>
        <v>#VALUE!</v>
      </c>
      <c r="L57" s="345">
        <v>-0.50000000000007816</v>
      </c>
      <c r="M57" s="345">
        <v>-2.0000000000000462</v>
      </c>
      <c r="N57" s="345">
        <v>-7.5000000000000178</v>
      </c>
      <c r="O57" s="333">
        <v>1</v>
      </c>
      <c r="R57" s="376" t="s">
        <v>34</v>
      </c>
      <c r="S57" s="377" t="str" cm="1">
        <f t="array" ref="S57">_xll.BDP("MUTKCALM MTRT Index","LAST_PRICE")</f>
        <v>#N/A Requesting Data...</v>
      </c>
      <c r="T57" s="381">
        <v>46253</v>
      </c>
      <c r="U57" s="382" t="str">
        <f t="shared" ref="U57:U64" si="33">TEXT(V57, "mmm")</f>
        <v>#N/A Requesting Data...</v>
      </c>
      <c r="V57" s="383" t="str" cm="1">
        <f t="array" ref="V57">_xll.BDP("JYSOMPM"&amp;O57&amp;" Curncy","SW_EFF_DT")</f>
        <v>#N/A Requesting Data...</v>
      </c>
      <c r="W57" s="383" t="str" cm="1">
        <f t="array" ref="W57">_xll.BDP("JYSOMPM"&amp;O57&amp;" Curncy","MATURITY")</f>
        <v>#N/A Requesting Data...</v>
      </c>
      <c r="X57" s="384" t="str" cm="1">
        <f t="array" ref="X57">_xll.BDP("JYSOMPM"&amp;O57&amp;" Curncy","LAST_PRICE")</f>
        <v>#N/A Requesting Data...</v>
      </c>
      <c r="Y57" s="385" t="e">
        <f>(X57-S57)*100</f>
        <v>#VALUE!</v>
      </c>
      <c r="Z57" s="385" t="e">
        <f>(X57-$S$57)*100</f>
        <v>#VALUE!</v>
      </c>
      <c r="AA57" s="386" t="e">
        <f t="shared" ref="AA57:AA61" si="34">((Z57)/25)</f>
        <v>#VALUE!</v>
      </c>
      <c r="AB57" s="387">
        <v>-0.62499999999998668</v>
      </c>
      <c r="AC57" s="387">
        <v>0</v>
      </c>
      <c r="AD57" s="387">
        <v>13.875000000000014</v>
      </c>
      <c r="AF57" s="414">
        <v>0.98124999999999996</v>
      </c>
    </row>
    <row r="58" spans="2:32" x14ac:dyDescent="0.3">
      <c r="B58" s="334"/>
      <c r="C58" s="335"/>
      <c r="D58" s="339">
        <v>46253</v>
      </c>
      <c r="E58" s="340" t="str">
        <f t="shared" si="31"/>
        <v>#N/A Requesting Data...</v>
      </c>
      <c r="F58" s="341" t="str" cm="1">
        <f t="array" ref="F58">_xll.BDP("NKSF"&amp;O58&amp;"A Curncy","SW_EFF_DT")</f>
        <v>#N/A Requesting Data...</v>
      </c>
      <c r="G58" s="341" t="str" cm="1">
        <f t="array" ref="G58">_xll.BDP("NKSF"&amp;O58&amp;"A Curncy","MATURITY")</f>
        <v>#N/A Requesting Data...</v>
      </c>
      <c r="H58" s="342" t="str" cm="1">
        <f t="array" ref="H58">_xll.BDP("NKSF"&amp;O58&amp;"A Curncy","LAST_PRICE")</f>
        <v>#N/A Requesting Data...</v>
      </c>
      <c r="I58" s="343" t="e">
        <f t="shared" ref="I58:I62" si="35">(H58-H57)*100</f>
        <v>#VALUE!</v>
      </c>
      <c r="J58" s="343" t="e">
        <f t="shared" ref="J58:J62" si="36">(H58-$C$57)*100</f>
        <v>#VALUE!</v>
      </c>
      <c r="K58" s="344" t="e">
        <f t="shared" si="32"/>
        <v>#VALUE!</v>
      </c>
      <c r="L58" s="345">
        <v>-1.499999999999968</v>
      </c>
      <c r="M58" s="345">
        <v>-1.9999999999999574</v>
      </c>
      <c r="N58" s="345">
        <v>-5.9999999999999609</v>
      </c>
      <c r="O58" s="333">
        <v>2</v>
      </c>
      <c r="R58" s="376"/>
      <c r="S58" s="377"/>
      <c r="T58" s="381">
        <v>46253</v>
      </c>
      <c r="U58" s="382" t="str">
        <f t="shared" si="33"/>
        <v>#N/A Requesting Data...</v>
      </c>
      <c r="V58" s="383" t="str" cm="1">
        <f t="array" ref="V58">_xll.BDP("JYSOMPM"&amp;O58&amp;" Curncy","SW_EFF_DT")</f>
        <v>#N/A Requesting Data...</v>
      </c>
      <c r="W58" s="383" t="str" cm="1">
        <f t="array" ref="W58">_xll.BDP("JYSOMPM"&amp;O58&amp;" Curncy","MATURITY")</f>
        <v>#N/A Requesting Data...</v>
      </c>
      <c r="X58" s="384" t="str" cm="1">
        <f t="array" ref="X58">_xll.BDP("JYSOMPM"&amp;O58&amp;" Curncy","LAST_PRICE")</f>
        <v>#N/A Requesting Data...</v>
      </c>
      <c r="Y58" s="385" t="e">
        <f t="shared" ref="Y58:Y61" si="37">(X58-X57)*100</f>
        <v>#VALUE!</v>
      </c>
      <c r="Z58" s="385" t="e">
        <f t="shared" ref="Z58:Z61" si="38">(X58-$S$57)*100</f>
        <v>#VALUE!</v>
      </c>
      <c r="AA58" s="386" t="e">
        <f t="shared" si="34"/>
        <v>#VALUE!</v>
      </c>
      <c r="AB58" s="387">
        <v>-0.37499999999999201</v>
      </c>
      <c r="AC58" s="387">
        <v>0.75000000000000622</v>
      </c>
      <c r="AD58" s="387">
        <v>9.0000000000000071</v>
      </c>
      <c r="AF58" s="415">
        <v>1.03</v>
      </c>
    </row>
    <row r="59" spans="2:32" x14ac:dyDescent="0.3">
      <c r="B59" s="334"/>
      <c r="C59" s="334"/>
      <c r="D59" s="339">
        <v>46253</v>
      </c>
      <c r="E59" s="340" t="str">
        <f t="shared" si="31"/>
        <v>#N/A Requesting Data...</v>
      </c>
      <c r="F59" s="341" t="str" cm="1">
        <f t="array" ref="F59">_xll.BDP("NKSF"&amp;O59&amp;"A Curncy","SW_EFF_DT")</f>
        <v>#N/A Requesting Data...</v>
      </c>
      <c r="G59" s="341" t="str" cm="1">
        <f t="array" ref="G59">_xll.BDP("NKSF"&amp;O59&amp;"A Curncy","MATURITY")</f>
        <v>#N/A Requesting Data...</v>
      </c>
      <c r="H59" s="342" t="str" cm="1">
        <f t="array" ref="H59">_xll.BDP("NKSF"&amp;O59&amp;"A Curncy","LAST_PRICE")</f>
        <v>#N/A Requesting Data...</v>
      </c>
      <c r="I59" s="343" t="e">
        <f t="shared" si="35"/>
        <v>#VALUE!</v>
      </c>
      <c r="J59" s="343" t="e">
        <f t="shared" si="36"/>
        <v>#VALUE!</v>
      </c>
      <c r="K59" s="344" t="e">
        <f t="shared" si="32"/>
        <v>#VALUE!</v>
      </c>
      <c r="L59" s="345">
        <v>-1.499999999999968</v>
      </c>
      <c r="M59" s="345">
        <v>-0.99999999999997868</v>
      </c>
      <c r="N59" s="345">
        <v>-2.4999999999999467</v>
      </c>
      <c r="O59" s="333">
        <v>3</v>
      </c>
      <c r="R59" s="376"/>
      <c r="S59" s="376"/>
      <c r="T59" s="381">
        <v>46253</v>
      </c>
      <c r="U59" s="382" t="str">
        <f t="shared" si="33"/>
        <v>#N/A Requesting Data...</v>
      </c>
      <c r="V59" s="383" t="str" cm="1">
        <f t="array" ref="V59">_xll.BDP("JYSOMPM"&amp;O59&amp;" Curncy","SW_EFF_DT")</f>
        <v>#N/A Requesting Data...</v>
      </c>
      <c r="W59" s="383" t="str" cm="1">
        <f t="array" ref="W59">_xll.BDP("JYSOMPM"&amp;O59&amp;" Curncy","MATURITY")</f>
        <v>#N/A Requesting Data...</v>
      </c>
      <c r="X59" s="384" t="str" cm="1">
        <f t="array" ref="X59">_xll.BDP("JYSOMPM"&amp;O59&amp;" Curncy","LAST_PRICE")</f>
        <v>#N/A Requesting Data...</v>
      </c>
      <c r="Y59" s="385" t="e">
        <f t="shared" si="37"/>
        <v>#VALUE!</v>
      </c>
      <c r="Z59" s="385" t="e">
        <f t="shared" si="38"/>
        <v>#VALUE!</v>
      </c>
      <c r="AA59" s="386" t="e">
        <f t="shared" si="34"/>
        <v>#VALUE!</v>
      </c>
      <c r="AB59" s="387">
        <v>-0.24999999999999467</v>
      </c>
      <c r="AC59" s="387">
        <v>-0.37500000000001421</v>
      </c>
      <c r="AD59" s="387">
        <v>15.375000000000005</v>
      </c>
      <c r="AF59" s="414">
        <v>1.1200000000000001</v>
      </c>
    </row>
    <row r="60" spans="2:32" x14ac:dyDescent="0.3">
      <c r="B60" s="334"/>
      <c r="C60" s="334"/>
      <c r="D60" s="339">
        <v>46253</v>
      </c>
      <c r="E60" s="340" t="str">
        <f t="shared" si="31"/>
        <v>#N/A Requesting Data...</v>
      </c>
      <c r="F60" s="341" t="str" cm="1">
        <f t="array" ref="F60">_xll.BDP("NKSF"&amp;O60&amp;"A Curncy","SW_EFF_DT")</f>
        <v>#N/A Requesting Data...</v>
      </c>
      <c r="G60" s="341" t="str" cm="1">
        <f t="array" ref="G60">_xll.BDP("NKSF"&amp;O60&amp;"A Curncy","MATURITY")</f>
        <v>#N/A Requesting Data...</v>
      </c>
      <c r="H60" s="342" t="str" cm="1">
        <f t="array" ref="H60">_xll.BDP("NKSF"&amp;O60&amp;"A Curncy","LAST_PRICE")</f>
        <v>#N/A Requesting Data...</v>
      </c>
      <c r="I60" s="343" t="e">
        <f t="shared" si="35"/>
        <v>#VALUE!</v>
      </c>
      <c r="J60" s="343" t="e">
        <f t="shared" si="36"/>
        <v>#VALUE!</v>
      </c>
      <c r="K60" s="344" t="e">
        <f t="shared" si="32"/>
        <v>#VALUE!</v>
      </c>
      <c r="L60" s="345">
        <v>-1.9999999999999574</v>
      </c>
      <c r="M60" s="345">
        <v>1.5000000000000568</v>
      </c>
      <c r="N60" s="345">
        <v>0</v>
      </c>
      <c r="O60" s="333">
        <v>4</v>
      </c>
      <c r="R60" s="376"/>
      <c r="S60" s="376"/>
      <c r="T60" s="381">
        <v>46253</v>
      </c>
      <c r="U60" s="382" t="str">
        <f t="shared" si="33"/>
        <v>#N/A Requesting Data...</v>
      </c>
      <c r="V60" s="383" t="str" cm="1">
        <f t="array" ref="V60">_xll.BDP("JYSOMPM"&amp;O60&amp;" Curncy","SW_EFF_DT")</f>
        <v>#N/A Requesting Data...</v>
      </c>
      <c r="W60" s="383" t="str" cm="1">
        <f t="array" ref="W60">_xll.BDP("JYSOMPM"&amp;O60&amp;" Curncy","MATURITY")</f>
        <v>#N/A Requesting Data...</v>
      </c>
      <c r="X60" s="384" t="str" cm="1">
        <f t="array" ref="X60">_xll.BDP("JYSOMPM"&amp;O60&amp;" Curncy","LAST_PRICE")</f>
        <v>#N/A Requesting Data...</v>
      </c>
      <c r="Y60" s="385" t="e">
        <f t="shared" si="37"/>
        <v>#VALUE!</v>
      </c>
      <c r="Z60" s="385" t="e">
        <f t="shared" si="38"/>
        <v>#VALUE!</v>
      </c>
      <c r="AA60" s="386" t="e">
        <f t="shared" si="34"/>
        <v>#VALUE!</v>
      </c>
      <c r="AB60" s="387">
        <v>-0.24999999999999467</v>
      </c>
      <c r="AC60" s="387">
        <v>-0.37499999999999201</v>
      </c>
      <c r="AD60" s="387" t="s">
        <v>41</v>
      </c>
      <c r="AF60" s="415">
        <v>1.1975</v>
      </c>
    </row>
    <row r="61" spans="2:32" x14ac:dyDescent="0.3">
      <c r="B61" s="334"/>
      <c r="C61" s="334"/>
      <c r="D61" s="339">
        <v>46253</v>
      </c>
      <c r="E61" s="340" t="str">
        <f t="shared" si="31"/>
        <v>#N/A Requesting Data...</v>
      </c>
      <c r="F61" s="341" t="str" cm="1">
        <f t="array" ref="F61">_xll.BDP("NKSF"&amp;O61&amp;"A Curncy","SW_EFF_DT")</f>
        <v>#N/A Requesting Data...</v>
      </c>
      <c r="G61" s="341" t="str" cm="1">
        <f t="array" ref="G61">_xll.BDP("NKSF"&amp;O61&amp;"A Curncy","MATURITY")</f>
        <v>#N/A Requesting Data...</v>
      </c>
      <c r="H61" s="342" t="str" cm="1">
        <f t="array" ref="H61">_xll.BDP("NKSF"&amp;O61&amp;"A Curncy","LAST_PRICE")</f>
        <v>#N/A Requesting Data...</v>
      </c>
      <c r="I61" s="343" t="e">
        <f t="shared" si="35"/>
        <v>#VALUE!</v>
      </c>
      <c r="J61" s="343" t="e">
        <f t="shared" si="36"/>
        <v>#VALUE!</v>
      </c>
      <c r="K61" s="344" t="e">
        <f t="shared" si="32"/>
        <v>#VALUE!</v>
      </c>
      <c r="L61" s="345">
        <v>-2.0000000000000462</v>
      </c>
      <c r="M61" s="345">
        <v>1.9999999999999574</v>
      </c>
      <c r="N61" s="345">
        <v>0.49999999999998934</v>
      </c>
      <c r="O61" s="333">
        <v>5</v>
      </c>
      <c r="R61" s="376"/>
      <c r="S61" s="376"/>
      <c r="T61" s="381">
        <v>46253</v>
      </c>
      <c r="U61" s="382" t="str">
        <f t="shared" si="33"/>
        <v>#N/A Requesting Data...</v>
      </c>
      <c r="V61" s="383" t="str" cm="1">
        <f t="array" ref="V61">_xll.BDP("JYSOMPM"&amp;O61&amp;" Curncy","SW_EFF_DT")</f>
        <v>#N/A Requesting Data...</v>
      </c>
      <c r="W61" s="383" t="str" cm="1">
        <f t="array" ref="W61">_xll.BDP("JYSOMPM"&amp;O61&amp;" Curncy","MATURITY")</f>
        <v>#N/A Requesting Data...</v>
      </c>
      <c r="X61" s="384" t="str" cm="1">
        <f t="array" ref="X61">_xll.BDP("JYSOMPM"&amp;O61&amp;" Curncy","LAST_PRICE")</f>
        <v>#N/A Requesting Data...</v>
      </c>
      <c r="Y61" s="385" t="e">
        <f t="shared" si="37"/>
        <v>#VALUE!</v>
      </c>
      <c r="Z61" s="385" t="e">
        <f t="shared" si="38"/>
        <v>#VALUE!</v>
      </c>
      <c r="AA61" s="386" t="e">
        <f t="shared" si="34"/>
        <v>#VALUE!</v>
      </c>
      <c r="AB61" s="387">
        <v>-0.37499999999999201</v>
      </c>
      <c r="AC61" s="387">
        <v>0.24999999999999467</v>
      </c>
      <c r="AD61" s="387" t="s">
        <v>41</v>
      </c>
      <c r="AF61" s="414">
        <v>1.2625</v>
      </c>
    </row>
    <row r="62" spans="2:32" x14ac:dyDescent="0.3">
      <c r="B62" s="335"/>
      <c r="C62" s="346"/>
      <c r="D62" s="339">
        <v>46253</v>
      </c>
      <c r="E62" s="340" t="str">
        <f t="shared" si="31"/>
        <v>#N/A Requesting Data...</v>
      </c>
      <c r="F62" s="341" t="str" cm="1">
        <f t="array" ref="F62">_xll.BDP("NKSF"&amp;O62&amp;"A Curncy","SW_EFF_DT")</f>
        <v>#N/A Requesting Data...</v>
      </c>
      <c r="G62" s="341" t="str" cm="1">
        <f t="array" ref="G62">_xll.BDP("NKSF"&amp;O62&amp;"A Curncy","MATURITY")</f>
        <v>#N/A Requesting Data...</v>
      </c>
      <c r="H62" s="342" t="str" cm="1">
        <f t="array" ref="H62">_xll.BDP("NKSF"&amp;O62&amp;"A Curncy","LAST_PRICE")</f>
        <v>#N/A Requesting Data...</v>
      </c>
      <c r="I62" s="343" t="e">
        <f t="shared" si="35"/>
        <v>#VALUE!</v>
      </c>
      <c r="J62" s="343" t="e">
        <f t="shared" si="36"/>
        <v>#VALUE!</v>
      </c>
      <c r="K62" s="344" t="e">
        <f t="shared" si="32"/>
        <v>#VALUE!</v>
      </c>
      <c r="L62" s="345">
        <v>3.7499999999999645</v>
      </c>
      <c r="M62" s="345" t="s">
        <v>41</v>
      </c>
      <c r="N62" s="345" t="s">
        <v>41</v>
      </c>
      <c r="O62" s="333">
        <v>6</v>
      </c>
      <c r="R62" s="377"/>
      <c r="S62" s="388"/>
      <c r="T62" s="381">
        <v>46253</v>
      </c>
      <c r="U62" s="382" t="str">
        <f t="shared" si="33"/>
        <v>#N/A Requesting Data...</v>
      </c>
      <c r="V62" s="383" t="str" cm="1">
        <f t="array" ref="V62">_xll.BDP("JYSOMPM"&amp;O62&amp;" Curncy","SW_EFF_DT")</f>
        <v>#N/A Requesting Data...</v>
      </c>
      <c r="W62" s="383" t="str" cm="1">
        <f t="array" ref="W62">_xll.BDP("JYSOMPM"&amp;O62&amp;" Curncy","MATURITY")</f>
        <v>#N/A Requesting Data...</v>
      </c>
      <c r="X62" s="384" t="str" cm="1">
        <f t="array" ref="X62">_xll.BDP("JYSOMPM"&amp;O62&amp;" Curncy","LAST_PRICE")</f>
        <v>#N/A Requesting Data...</v>
      </c>
      <c r="Y62" s="385" t="e">
        <f t="shared" ref="Y62:Y64" si="39">(X62-X61)*100</f>
        <v>#VALUE!</v>
      </c>
      <c r="Z62" s="385" t="e">
        <f t="shared" ref="Z62:Z64" si="40">(X62-$S$57)*100</f>
        <v>#VALUE!</v>
      </c>
      <c r="AA62" s="386" t="e">
        <f t="shared" ref="AA62:AA64" si="41">((Z62)/25)</f>
        <v>#VALUE!</v>
      </c>
      <c r="AB62" s="387">
        <v>-0.50000000000001155</v>
      </c>
      <c r="AC62" s="387">
        <v>-0.12499999999999734</v>
      </c>
      <c r="AD62" s="387" t="s">
        <v>41</v>
      </c>
    </row>
    <row r="63" spans="2:32" x14ac:dyDescent="0.3">
      <c r="B63" s="334"/>
      <c r="C63" s="334"/>
      <c r="D63" s="339">
        <v>46253</v>
      </c>
      <c r="E63" s="340"/>
      <c r="F63" s="341"/>
      <c r="G63" s="341"/>
      <c r="H63" s="342"/>
      <c r="I63" s="343"/>
      <c r="J63" s="343"/>
      <c r="K63" s="344"/>
      <c r="L63" s="345">
        <v>0</v>
      </c>
      <c r="M63" s="345">
        <v>0</v>
      </c>
      <c r="N63" s="345">
        <v>0</v>
      </c>
      <c r="O63" s="333">
        <v>7</v>
      </c>
      <c r="R63" s="376"/>
      <c r="S63" s="376"/>
      <c r="T63" s="381">
        <v>46253</v>
      </c>
      <c r="U63" s="382" t="str">
        <f t="shared" si="33"/>
        <v>#N/A Requesting Data...</v>
      </c>
      <c r="V63" s="383" t="str" cm="1">
        <f t="array" ref="V63">_xll.BDP("JYSOMPM"&amp;O63&amp;" Curncy","SW_EFF_DT")</f>
        <v>#N/A Requesting Data...</v>
      </c>
      <c r="W63" s="383" t="str" cm="1">
        <f t="array" ref="W63">_xll.BDP("JYSOMPM"&amp;O63&amp;" Curncy","MATURITY")</f>
        <v>#N/A Requesting Data...</v>
      </c>
      <c r="X63" s="384" t="str" cm="1">
        <f t="array" ref="X63">_xll.BDP("JYSOMPM"&amp;O63&amp;" Curncy","LAST_PRICE")</f>
        <v>#N/A Requesting Data...</v>
      </c>
      <c r="Y63" s="385" t="e">
        <f t="shared" si="39"/>
        <v>#VALUE!</v>
      </c>
      <c r="Z63" s="385" t="e">
        <f t="shared" si="40"/>
        <v>#VALUE!</v>
      </c>
      <c r="AA63" s="386" t="e">
        <f t="shared" si="41"/>
        <v>#VALUE!</v>
      </c>
      <c r="AB63" s="387">
        <v>-0.49999999999998934</v>
      </c>
      <c r="AC63" s="387">
        <v>0.62500000000000888</v>
      </c>
      <c r="AD63" s="387" t="s">
        <v>41</v>
      </c>
    </row>
    <row r="64" spans="2:32" x14ac:dyDescent="0.3">
      <c r="B64" s="334"/>
      <c r="C64" s="334"/>
      <c r="D64" s="339">
        <v>46253</v>
      </c>
      <c r="E64" s="340"/>
      <c r="F64" s="341"/>
      <c r="G64" s="341"/>
      <c r="H64" s="342"/>
      <c r="I64" s="343"/>
      <c r="J64" s="343"/>
      <c r="K64" s="344"/>
      <c r="L64" s="345">
        <v>0</v>
      </c>
      <c r="M64" s="345">
        <v>0</v>
      </c>
      <c r="N64" s="345">
        <v>0</v>
      </c>
      <c r="O64" s="333">
        <v>8</v>
      </c>
      <c r="R64" s="376"/>
      <c r="S64" s="376"/>
      <c r="T64" s="381">
        <v>46253</v>
      </c>
      <c r="U64" s="382" t="str">
        <f t="shared" si="33"/>
        <v>#N/A Requesting Data...</v>
      </c>
      <c r="V64" s="383" t="str" cm="1">
        <f t="array" ref="V64">_xll.BDP("JYSOMPM"&amp;O64&amp;" Curncy","SW_EFF_DT")</f>
        <v>#N/A Requesting Data...</v>
      </c>
      <c r="W64" s="383" t="str" cm="1">
        <f t="array" ref="W64">_xll.BDP("JYSOMPM"&amp;O64&amp;" Curncy","MATURITY")</f>
        <v>#N/A Requesting Data...</v>
      </c>
      <c r="X64" s="384" t="str" cm="1">
        <f t="array" ref="X64">_xll.BDP("JYSOMPM"&amp;O64&amp;" Curncy","LAST_PRICE")</f>
        <v>#N/A Requesting Data...</v>
      </c>
      <c r="Y64" s="385" t="e">
        <f t="shared" si="39"/>
        <v>#VALUE!</v>
      </c>
      <c r="Z64" s="385" t="e">
        <f t="shared" si="40"/>
        <v>#VALUE!</v>
      </c>
      <c r="AA64" s="386" t="e">
        <f t="shared" si="41"/>
        <v>#VALUE!</v>
      </c>
      <c r="AB64" s="387">
        <v>-0.49999999999998934</v>
      </c>
      <c r="AC64" s="387">
        <v>0.75000000000000622</v>
      </c>
      <c r="AD64" s="387" t="s">
        <v>41</v>
      </c>
    </row>
    <row r="65" spans="1:30" x14ac:dyDescent="0.3">
      <c r="B65" s="334"/>
      <c r="C65" s="334"/>
      <c r="D65" s="339">
        <v>46253</v>
      </c>
      <c r="E65" s="340"/>
      <c r="F65" s="341"/>
      <c r="G65" s="341"/>
      <c r="H65" s="342"/>
      <c r="I65" s="343"/>
      <c r="J65" s="343"/>
      <c r="K65" s="344"/>
      <c r="L65" s="345">
        <v>0</v>
      </c>
      <c r="M65" s="345">
        <v>0</v>
      </c>
      <c r="N65" s="345">
        <v>0</v>
      </c>
      <c r="O65" s="333">
        <v>9</v>
      </c>
      <c r="R65" s="376"/>
      <c r="S65" s="376"/>
      <c r="T65" s="381">
        <v>46253</v>
      </c>
      <c r="U65" s="382"/>
      <c r="V65" s="383"/>
      <c r="W65" s="383"/>
      <c r="X65" s="384"/>
      <c r="Y65" s="385"/>
      <c r="Z65" s="385"/>
      <c r="AA65" s="386"/>
      <c r="AB65" s="387">
        <v>0</v>
      </c>
      <c r="AC65" s="387">
        <v>0</v>
      </c>
      <c r="AD65" s="387">
        <v>0</v>
      </c>
    </row>
    <row r="66" spans="1:30" x14ac:dyDescent="0.3">
      <c r="B66" s="334"/>
      <c r="C66" s="334"/>
      <c r="D66" s="339">
        <v>46253</v>
      </c>
      <c r="E66" s="340"/>
      <c r="F66" s="341"/>
      <c r="G66" s="341"/>
      <c r="H66" s="342"/>
      <c r="I66" s="343"/>
      <c r="J66" s="343"/>
      <c r="K66" s="344"/>
      <c r="L66" s="345">
        <v>0</v>
      </c>
      <c r="M66" s="345">
        <v>0</v>
      </c>
      <c r="N66" s="345">
        <v>0</v>
      </c>
      <c r="R66" s="376"/>
      <c r="S66" s="376"/>
      <c r="T66" s="381">
        <v>46253</v>
      </c>
      <c r="U66" s="382"/>
      <c r="V66" s="383"/>
      <c r="W66" s="383"/>
      <c r="X66" s="384"/>
      <c r="Y66" s="385"/>
      <c r="Z66" s="385"/>
      <c r="AA66" s="386"/>
      <c r="AB66" s="387">
        <v>0</v>
      </c>
      <c r="AC66" s="387">
        <v>0</v>
      </c>
      <c r="AD66" s="387">
        <v>0</v>
      </c>
    </row>
    <row r="67" spans="1:30" x14ac:dyDescent="0.3">
      <c r="B67" s="334"/>
      <c r="C67" s="334"/>
      <c r="D67" s="339">
        <v>46253</v>
      </c>
      <c r="E67" s="340"/>
      <c r="F67" s="341"/>
      <c r="G67" s="341"/>
      <c r="H67" s="342"/>
      <c r="I67" s="343"/>
      <c r="J67" s="343"/>
      <c r="K67" s="344"/>
      <c r="L67" s="345">
        <v>0</v>
      </c>
      <c r="M67" s="345">
        <v>0</v>
      </c>
      <c r="N67" s="345">
        <v>0</v>
      </c>
      <c r="R67" s="376"/>
      <c r="S67" s="376"/>
      <c r="T67" s="381">
        <v>46253</v>
      </c>
      <c r="U67" s="382"/>
      <c r="V67" s="383"/>
      <c r="W67" s="383"/>
      <c r="X67" s="384"/>
      <c r="Y67" s="385"/>
      <c r="Z67" s="385"/>
      <c r="AA67" s="386"/>
      <c r="AB67" s="387">
        <v>0</v>
      </c>
      <c r="AC67" s="387">
        <v>0</v>
      </c>
      <c r="AD67" s="387">
        <v>0</v>
      </c>
    </row>
    <row r="68" spans="1:30" x14ac:dyDescent="0.3">
      <c r="A68" s="48"/>
      <c r="B68" s="334"/>
      <c r="C68" s="334"/>
      <c r="D68" s="339">
        <v>46253</v>
      </c>
      <c r="E68" s="340"/>
      <c r="F68" s="341"/>
      <c r="G68" s="341"/>
      <c r="H68" s="342"/>
      <c r="I68" s="343"/>
      <c r="J68" s="343"/>
      <c r="K68" s="344"/>
      <c r="L68" s="345">
        <v>0</v>
      </c>
      <c r="M68" s="345">
        <v>0</v>
      </c>
      <c r="N68" s="345">
        <v>0</v>
      </c>
      <c r="R68" s="376"/>
      <c r="S68" s="376"/>
      <c r="T68" s="381">
        <v>46253</v>
      </c>
      <c r="U68" s="382"/>
      <c r="V68" s="383"/>
      <c r="W68" s="383"/>
      <c r="X68" s="384"/>
      <c r="Y68" s="385"/>
      <c r="Z68" s="385"/>
      <c r="AA68" s="386"/>
      <c r="AB68" s="387">
        <v>0</v>
      </c>
      <c r="AC68" s="387">
        <v>0</v>
      </c>
      <c r="AD68" s="387">
        <v>0</v>
      </c>
    </row>
    <row r="69" spans="1:30" x14ac:dyDescent="0.3">
      <c r="A69" s="48"/>
      <c r="B69" s="133"/>
      <c r="C69" s="134"/>
      <c r="D69" s="129"/>
      <c r="E69" s="129"/>
      <c r="F69" s="103"/>
      <c r="G69" s="131"/>
      <c r="H69" s="127"/>
      <c r="I69" s="127"/>
      <c r="J69" s="132"/>
      <c r="M69" s="102"/>
      <c r="R69" s="111"/>
      <c r="T69" s="104"/>
      <c r="V69" s="103"/>
      <c r="W69" s="108"/>
      <c r="X69" s="5"/>
      <c r="Y69" s="109"/>
      <c r="Z69" s="110"/>
    </row>
    <row r="70" spans="1:30" x14ac:dyDescent="0.3">
      <c r="A70" s="48"/>
      <c r="B70" s="128"/>
      <c r="C70" s="128"/>
      <c r="D70" s="133"/>
      <c r="E70" s="133"/>
      <c r="F70" s="105"/>
      <c r="G70" s="135"/>
      <c r="H70" s="136"/>
      <c r="I70" s="136"/>
      <c r="J70" s="136"/>
      <c r="M70" s="102"/>
      <c r="R70" s="111"/>
      <c r="S70" s="112"/>
      <c r="T70" s="104"/>
      <c r="U70" s="104"/>
      <c r="V70" s="103"/>
      <c r="W70" s="108"/>
      <c r="X70" s="5"/>
      <c r="Y70" s="109"/>
      <c r="Z70" s="110"/>
    </row>
    <row r="71" spans="1:30" ht="21" x14ac:dyDescent="0.35">
      <c r="A71" s="48"/>
      <c r="B71" s="578" t="s">
        <v>160</v>
      </c>
      <c r="C71" s="578"/>
      <c r="D71" s="578"/>
      <c r="E71" s="578" t="s">
        <v>176</v>
      </c>
      <c r="F71" s="578"/>
      <c r="G71" s="578"/>
      <c r="H71" s="578"/>
      <c r="I71" s="578"/>
      <c r="J71" s="128"/>
      <c r="K71" s="115"/>
      <c r="M71" s="102"/>
      <c r="R71" s="111"/>
      <c r="S71" s="112"/>
      <c r="T71" s="107"/>
      <c r="U71" s="107"/>
      <c r="V71" s="105"/>
      <c r="W71" s="113"/>
      <c r="X71" s="5"/>
      <c r="Y71" s="114"/>
      <c r="Z71" s="114"/>
    </row>
    <row r="72" spans="1:30" x14ac:dyDescent="0.3">
      <c r="A72" s="48"/>
      <c r="B72" s="389" t="s">
        <v>159</v>
      </c>
      <c r="C72" s="389"/>
      <c r="D72" s="389"/>
      <c r="E72" s="390" t="s">
        <v>191</v>
      </c>
      <c r="F72" s="389"/>
      <c r="G72" s="389"/>
      <c r="H72" s="389"/>
      <c r="I72" s="389"/>
      <c r="J72" s="389"/>
      <c r="K72" s="389"/>
      <c r="L72" s="389"/>
      <c r="M72" s="389"/>
      <c r="N72" s="389"/>
      <c r="R72" s="111"/>
      <c r="S72" s="112"/>
      <c r="T72" s="107"/>
      <c r="U72" s="107"/>
      <c r="V72" s="105"/>
      <c r="W72" s="113"/>
      <c r="X72" s="5"/>
      <c r="Y72" s="114"/>
      <c r="Z72" s="114"/>
    </row>
    <row r="73" spans="1:30" x14ac:dyDescent="0.3">
      <c r="A73" s="48"/>
      <c r="B73" s="389"/>
      <c r="C73" s="391"/>
      <c r="D73" s="392" t="s">
        <v>24</v>
      </c>
      <c r="E73" s="392" t="s">
        <v>3</v>
      </c>
      <c r="F73" s="392" t="s">
        <v>4</v>
      </c>
      <c r="G73" s="392" t="s">
        <v>5</v>
      </c>
      <c r="H73" s="392" t="s">
        <v>6</v>
      </c>
      <c r="I73" s="392" t="s">
        <v>20</v>
      </c>
      <c r="J73" s="392" t="s">
        <v>7</v>
      </c>
      <c r="K73" s="392" t="s">
        <v>8</v>
      </c>
      <c r="L73" s="393" t="s">
        <v>21</v>
      </c>
      <c r="M73" s="392" t="s">
        <v>22</v>
      </c>
      <c r="N73" s="392" t="s">
        <v>23</v>
      </c>
      <c r="R73" s="111"/>
      <c r="S73" s="112"/>
      <c r="X73" s="5"/>
    </row>
    <row r="74" spans="1:30" x14ac:dyDescent="0.3">
      <c r="B74" s="389" t="s">
        <v>34</v>
      </c>
      <c r="C74" s="390" t="str" cm="1">
        <f t="array" ref="C74">_xll.BDP("SWESTR Index","LAST_PRICE")</f>
        <v>#N/A Requesting Data...</v>
      </c>
      <c r="D74" s="394">
        <v>46253</v>
      </c>
      <c r="E74" s="395" t="str">
        <f t="shared" ref="E74" si="42">TEXT(F74, "mmm")</f>
        <v>#N/A Requesting Data...</v>
      </c>
      <c r="F74" s="396" t="str">
        <f>_xll.BDP("SKSF1A Curncy","SW_EFF_DT")</f>
        <v>#N/A Requesting Data...</v>
      </c>
      <c r="G74" s="396" t="str">
        <f>_xll.BDP("SKSF1A Curncy","MATURITY")</f>
        <v>#N/A Requesting Data...</v>
      </c>
      <c r="H74" s="397" t="str">
        <f>_xll.BDP("SKSF1A Curncy","LAST_PRICE")</f>
        <v>#N/A Requesting Data...</v>
      </c>
      <c r="I74" s="398" t="e">
        <f>(H74-C74)*100</f>
        <v>#VALUE!</v>
      </c>
      <c r="J74" s="398" t="e">
        <f>(H74-$C$74)*100</f>
        <v>#VALUE!</v>
      </c>
      <c r="K74" s="399" t="e">
        <f t="shared" ref="K74:K78" si="43">((J74)/25)</f>
        <v>#VALUE!</v>
      </c>
      <c r="L74" s="400">
        <v>-0.20136077390700002</v>
      </c>
      <c r="M74" s="400">
        <v>-0.9925739914790066</v>
      </c>
      <c r="N74" s="400">
        <v>-1.9065466310840051</v>
      </c>
      <c r="R74" s="111"/>
      <c r="S74" s="112"/>
      <c r="X74" s="5"/>
    </row>
    <row r="75" spans="1:30" x14ac:dyDescent="0.3">
      <c r="B75" s="389"/>
      <c r="C75" s="390"/>
      <c r="D75" s="394">
        <v>46253</v>
      </c>
      <c r="E75" s="395" t="str">
        <f t="shared" ref="E75:E78" si="44">TEXT(F75, "mmm")</f>
        <v>#N/A Requesting Data...</v>
      </c>
      <c r="F75" s="396" t="str">
        <f>_xll.BDP("SKSF2A Curncy","SW_EFF_DT")</f>
        <v>#N/A Requesting Data...</v>
      </c>
      <c r="G75" s="396" t="str">
        <f>_xll.BDP("SKSF2A Curncy","MATURITY")</f>
        <v>#N/A Requesting Data...</v>
      </c>
      <c r="H75" s="397" t="str">
        <f>_xll.BDP("SKSF2A Curncy","LAST_PRICE")</f>
        <v>#N/A Requesting Data...</v>
      </c>
      <c r="I75" s="398" t="e">
        <f t="shared" ref="I75:I78" si="45">(H75-H74)*100</f>
        <v>#VALUE!</v>
      </c>
      <c r="J75" s="398" t="e">
        <f t="shared" ref="J75:J78" si="46">(H75-$C$74)*100</f>
        <v>#VALUE!</v>
      </c>
      <c r="K75" s="399" t="e">
        <f t="shared" si="43"/>
        <v>#VALUE!</v>
      </c>
      <c r="L75" s="400">
        <v>-0.30159666419600217</v>
      </c>
      <c r="M75" s="400">
        <v>0.40003672877100271</v>
      </c>
      <c r="N75" s="400">
        <v>0.69676150274100568</v>
      </c>
      <c r="R75" s="111"/>
      <c r="S75" s="112"/>
      <c r="X75" s="5"/>
    </row>
    <row r="76" spans="1:30" x14ac:dyDescent="0.3">
      <c r="B76" s="389"/>
      <c r="C76" s="389"/>
      <c r="D76" s="394">
        <v>46253</v>
      </c>
      <c r="E76" s="395" t="str">
        <f t="shared" si="44"/>
        <v>#N/A Requesting Data...</v>
      </c>
      <c r="F76" s="396" t="str">
        <f>_xll.BDP("SKSF3A Curncy","SW_EFF_DT")</f>
        <v>#N/A Requesting Data...</v>
      </c>
      <c r="G76" s="396" t="str">
        <f>_xll.BDP("SKSF3A Curncy","MATURITY")</f>
        <v>#N/A Requesting Data...</v>
      </c>
      <c r="H76" s="397" t="str">
        <f>_xll.BDP("SKSF3A Curncy","LAST_PRICE")</f>
        <v>#N/A Requesting Data...</v>
      </c>
      <c r="I76" s="398" t="e">
        <f t="shared" si="45"/>
        <v>#VALUE!</v>
      </c>
      <c r="J76" s="398" t="e">
        <f t="shared" si="46"/>
        <v>#VALUE!</v>
      </c>
      <c r="K76" s="399" t="e">
        <f t="shared" si="43"/>
        <v>#VALUE!</v>
      </c>
      <c r="L76" s="400">
        <v>-0.69998354208200553</v>
      </c>
      <c r="M76" s="400">
        <v>-0.79991810339399283</v>
      </c>
      <c r="N76" s="400">
        <v>1.2004679956389985</v>
      </c>
      <c r="R76" s="111"/>
      <c r="S76" s="112"/>
      <c r="X76" s="5"/>
    </row>
    <row r="77" spans="1:30" x14ac:dyDescent="0.3">
      <c r="B77" s="389"/>
      <c r="C77" s="389"/>
      <c r="D77" s="394">
        <v>46253</v>
      </c>
      <c r="E77" s="395" t="str">
        <f t="shared" si="44"/>
        <v>#N/A Requesting Data...</v>
      </c>
      <c r="F77" s="396" t="str">
        <f>_xll.BDP("SKSF4A Curncy","SW_EFF_DT")</f>
        <v>#N/A Requesting Data...</v>
      </c>
      <c r="G77" s="396" t="str">
        <f>_xll.BDP("SKSF4A Curncy","MATURITY")</f>
        <v>#N/A Requesting Data...</v>
      </c>
      <c r="H77" s="397" t="str">
        <f>_xll.BDP("SKSF4A Curncy","LAST_PRICE")</f>
        <v>#N/A Requesting Data...</v>
      </c>
      <c r="I77" s="398" t="e">
        <f t="shared" si="45"/>
        <v>#VALUE!</v>
      </c>
      <c r="J77" s="398" t="e">
        <f t="shared" si="46"/>
        <v>#VALUE!</v>
      </c>
      <c r="K77" s="399" t="e">
        <f t="shared" si="43"/>
        <v>#VALUE!</v>
      </c>
      <c r="L77" s="400">
        <v>0.27427505695198917</v>
      </c>
      <c r="M77" s="400">
        <v>2.5497372839180077</v>
      </c>
      <c r="N77" s="400">
        <v>-9.2576267861920201</v>
      </c>
      <c r="S77" s="112"/>
      <c r="X77" s="5"/>
    </row>
    <row r="78" spans="1:30" x14ac:dyDescent="0.3">
      <c r="B78" s="389"/>
      <c r="C78" s="389"/>
      <c r="D78" s="394">
        <v>46253</v>
      </c>
      <c r="E78" s="395" t="str">
        <f t="shared" si="44"/>
        <v>#N/A Requesting Data...</v>
      </c>
      <c r="F78" s="396" t="str">
        <f>_xll.BDP("SKSF5A Curncy","SW_EFF_DT")</f>
        <v>#N/A Requesting Data...</v>
      </c>
      <c r="G78" s="396" t="str">
        <f>_xll.BDP("SKSF5A Curncy","MATURITY")</f>
        <v>#N/A Requesting Data...</v>
      </c>
      <c r="H78" s="397" t="str">
        <f>_xll.BDP("SKSF5A Curncy","LAST_PRICE")</f>
        <v>#N/A Requesting Data...</v>
      </c>
      <c r="I78" s="398" t="e">
        <f t="shared" si="45"/>
        <v>#VALUE!</v>
      </c>
      <c r="J78" s="398" t="e">
        <f t="shared" si="46"/>
        <v>#VALUE!</v>
      </c>
      <c r="K78" s="399" t="e">
        <f t="shared" si="43"/>
        <v>#VALUE!</v>
      </c>
      <c r="L78" s="400">
        <v>0.93515591286998934</v>
      </c>
      <c r="M78" s="400">
        <v>4.8483022740519743</v>
      </c>
      <c r="N78" s="400">
        <v>-14.044117700376013</v>
      </c>
      <c r="S78" s="112"/>
      <c r="X78" s="5"/>
    </row>
    <row r="79" spans="1:30" x14ac:dyDescent="0.3">
      <c r="B79" s="390"/>
      <c r="C79" s="401"/>
      <c r="D79" s="394">
        <v>46253</v>
      </c>
      <c r="E79" s="395"/>
      <c r="F79" s="396"/>
      <c r="G79" s="396"/>
      <c r="H79" s="397"/>
      <c r="I79" s="398"/>
      <c r="J79" s="398"/>
      <c r="K79" s="399"/>
      <c r="L79" s="400">
        <v>0</v>
      </c>
      <c r="M79" s="400">
        <v>0</v>
      </c>
      <c r="N79" s="400">
        <v>0</v>
      </c>
      <c r="S79" s="112"/>
    </row>
    <row r="80" spans="1:30" x14ac:dyDescent="0.3">
      <c r="B80" s="389"/>
      <c r="C80" s="389"/>
      <c r="D80" s="394">
        <v>46253</v>
      </c>
      <c r="E80" s="395"/>
      <c r="F80" s="396"/>
      <c r="G80" s="396"/>
      <c r="H80" s="397"/>
      <c r="I80" s="398"/>
      <c r="J80" s="398"/>
      <c r="K80" s="399"/>
      <c r="L80" s="400">
        <v>0</v>
      </c>
      <c r="M80" s="400">
        <v>0</v>
      </c>
      <c r="N80" s="400">
        <v>0</v>
      </c>
      <c r="S80" s="112"/>
    </row>
    <row r="81" spans="2:19" x14ac:dyDescent="0.3">
      <c r="B81" s="389"/>
      <c r="C81" s="389"/>
      <c r="D81" s="394">
        <v>46253</v>
      </c>
      <c r="E81" s="395"/>
      <c r="F81" s="396"/>
      <c r="G81" s="396"/>
      <c r="H81" s="397"/>
      <c r="I81" s="398"/>
      <c r="J81" s="398"/>
      <c r="K81" s="399"/>
      <c r="L81" s="400">
        <v>0</v>
      </c>
      <c r="M81" s="400">
        <v>0</v>
      </c>
      <c r="N81" s="400">
        <v>0</v>
      </c>
      <c r="S81" s="112"/>
    </row>
    <row r="82" spans="2:19" x14ac:dyDescent="0.3">
      <c r="B82" s="389"/>
      <c r="C82" s="389"/>
      <c r="D82" s="394">
        <v>46253</v>
      </c>
      <c r="E82" s="395"/>
      <c r="F82" s="396"/>
      <c r="G82" s="396"/>
      <c r="H82" s="397"/>
      <c r="I82" s="398"/>
      <c r="J82" s="398"/>
      <c r="K82" s="399"/>
      <c r="L82" s="400">
        <v>0</v>
      </c>
      <c r="M82" s="400">
        <v>0</v>
      </c>
      <c r="N82" s="400">
        <v>0</v>
      </c>
    </row>
    <row r="83" spans="2:19" x14ac:dyDescent="0.3">
      <c r="B83" s="389"/>
      <c r="C83" s="389"/>
      <c r="D83" s="394">
        <v>46253</v>
      </c>
      <c r="E83" s="395"/>
      <c r="F83" s="396"/>
      <c r="G83" s="396"/>
      <c r="H83" s="397"/>
      <c r="I83" s="398"/>
      <c r="J83" s="398"/>
      <c r="K83" s="399"/>
      <c r="L83" s="400">
        <v>0</v>
      </c>
      <c r="M83" s="400">
        <v>0</v>
      </c>
      <c r="N83" s="400">
        <v>0</v>
      </c>
    </row>
    <row r="84" spans="2:19" x14ac:dyDescent="0.3">
      <c r="B84" s="389"/>
      <c r="C84" s="389"/>
      <c r="D84" s="394">
        <v>46253</v>
      </c>
      <c r="E84" s="395"/>
      <c r="F84" s="396"/>
      <c r="G84" s="396"/>
      <c r="H84" s="397"/>
      <c r="I84" s="398"/>
      <c r="J84" s="398"/>
      <c r="K84" s="399"/>
      <c r="L84" s="400">
        <v>0</v>
      </c>
      <c r="M84" s="400">
        <v>0</v>
      </c>
      <c r="N84" s="400">
        <v>0</v>
      </c>
    </row>
    <row r="85" spans="2:19" x14ac:dyDescent="0.3">
      <c r="B85" s="389"/>
      <c r="C85" s="389"/>
      <c r="D85" s="394">
        <v>46253</v>
      </c>
      <c r="E85" s="395"/>
      <c r="F85" s="396"/>
      <c r="G85" s="396"/>
      <c r="H85" s="397"/>
      <c r="I85" s="398"/>
      <c r="J85" s="398"/>
      <c r="K85" s="399"/>
      <c r="L85" s="400">
        <v>0</v>
      </c>
      <c r="M85" s="400">
        <v>0</v>
      </c>
      <c r="N85" s="400">
        <v>0</v>
      </c>
    </row>
    <row r="86" spans="2:19" x14ac:dyDescent="0.3">
      <c r="B86" s="128"/>
      <c r="C86" s="128"/>
      <c r="D86" s="103"/>
      <c r="E86" s="128"/>
      <c r="F86" s="137"/>
      <c r="G86" s="128"/>
      <c r="H86" s="128"/>
      <c r="I86" s="128"/>
      <c r="J86" s="128"/>
    </row>
    <row r="87" spans="2:19" x14ac:dyDescent="0.3">
      <c r="B87" s="128"/>
      <c r="C87" s="128"/>
      <c r="D87" s="127"/>
      <c r="E87" s="139"/>
      <c r="F87" s="137"/>
      <c r="G87" s="140"/>
      <c r="H87" s="128"/>
      <c r="I87" s="128"/>
      <c r="J87" s="128"/>
    </row>
    <row r="88" spans="2:19" x14ac:dyDescent="0.3">
      <c r="B88" s="128"/>
      <c r="C88" s="128"/>
      <c r="D88" s="127"/>
      <c r="E88" s="139"/>
      <c r="F88" s="128"/>
      <c r="G88" s="140"/>
      <c r="H88" s="128"/>
      <c r="I88" s="128"/>
      <c r="J88" s="128"/>
    </row>
    <row r="89" spans="2:19" x14ac:dyDescent="0.3">
      <c r="B89" s="128"/>
      <c r="C89" s="128"/>
      <c r="D89" s="127"/>
      <c r="E89" s="139"/>
      <c r="F89" s="128"/>
      <c r="G89" s="140"/>
      <c r="H89" s="128"/>
      <c r="I89" s="128"/>
      <c r="J89" s="128"/>
    </row>
    <row r="90" spans="2:19" x14ac:dyDescent="0.3">
      <c r="B90" s="128"/>
      <c r="C90" s="128"/>
      <c r="D90" s="127"/>
      <c r="E90" s="139"/>
      <c r="F90" s="128"/>
      <c r="G90" s="140"/>
      <c r="H90" s="128"/>
      <c r="I90" s="128"/>
      <c r="J90" s="128"/>
    </row>
    <row r="91" spans="2:19" x14ac:dyDescent="0.3">
      <c r="B91" s="128"/>
      <c r="C91" s="128"/>
      <c r="D91" s="127"/>
      <c r="E91" s="139"/>
      <c r="F91" s="128"/>
      <c r="G91" s="140"/>
      <c r="H91" s="128"/>
      <c r="I91" s="128"/>
      <c r="J91" s="128"/>
    </row>
    <row r="92" spans="2:19" x14ac:dyDescent="0.3">
      <c r="B92" s="128"/>
      <c r="C92" s="128"/>
      <c r="D92" s="128"/>
      <c r="E92" s="128"/>
      <c r="F92" s="128"/>
      <c r="G92" s="128"/>
      <c r="H92" s="128"/>
      <c r="I92" s="128"/>
      <c r="J92" s="128"/>
    </row>
    <row r="93" spans="2:19" x14ac:dyDescent="0.3">
      <c r="B93" s="128"/>
      <c r="C93" s="128"/>
      <c r="D93" s="128"/>
      <c r="E93" s="128"/>
      <c r="F93" s="141"/>
      <c r="G93" s="128"/>
      <c r="H93" s="128"/>
      <c r="I93" s="128"/>
      <c r="J93" s="128"/>
    </row>
    <row r="94" spans="2:19" x14ac:dyDescent="0.3">
      <c r="B94" s="128"/>
      <c r="C94" s="138"/>
      <c r="D94" s="128"/>
      <c r="E94" s="128"/>
      <c r="F94" s="128"/>
      <c r="G94" s="128"/>
      <c r="H94" s="128"/>
      <c r="I94" s="128"/>
      <c r="J94" s="128"/>
    </row>
    <row r="95" spans="2:19" x14ac:dyDescent="0.3">
      <c r="B95" s="128"/>
      <c r="C95" s="138"/>
      <c r="D95" s="128"/>
      <c r="E95" s="139"/>
      <c r="F95" s="128"/>
      <c r="G95" s="140"/>
      <c r="H95" s="128"/>
      <c r="I95" s="128"/>
      <c r="J95" s="128"/>
    </row>
    <row r="96" spans="2:19" x14ac:dyDescent="0.3">
      <c r="B96" s="128"/>
      <c r="C96" s="138"/>
      <c r="D96" s="128"/>
      <c r="E96" s="139"/>
      <c r="F96" s="128"/>
      <c r="G96" s="140"/>
      <c r="H96" s="128"/>
      <c r="I96" s="128"/>
      <c r="J96" s="128"/>
    </row>
    <row r="97" spans="2:10" x14ac:dyDescent="0.3">
      <c r="B97" s="128"/>
      <c r="C97" s="138"/>
      <c r="D97" s="128"/>
      <c r="E97" s="139"/>
      <c r="F97" s="128"/>
      <c r="G97" s="140"/>
      <c r="H97" s="128"/>
      <c r="I97" s="128"/>
      <c r="J97" s="128"/>
    </row>
    <row r="98" spans="2:10" x14ac:dyDescent="0.3">
      <c r="B98" s="128"/>
      <c r="C98" s="138"/>
      <c r="D98" s="128"/>
      <c r="E98" s="139"/>
      <c r="F98" s="128"/>
      <c r="G98" s="140"/>
      <c r="H98" s="128"/>
      <c r="I98" s="128"/>
      <c r="J98" s="128"/>
    </row>
    <row r="99" spans="2:10" x14ac:dyDescent="0.3">
      <c r="B99" s="128"/>
      <c r="C99" s="138"/>
      <c r="D99" s="128"/>
      <c r="E99" s="139"/>
      <c r="F99" s="128"/>
      <c r="G99" s="140"/>
      <c r="H99" s="128"/>
      <c r="I99" s="128"/>
      <c r="J99" s="128"/>
    </row>
    <row r="100" spans="2:10" x14ac:dyDescent="0.3">
      <c r="B100" s="128"/>
      <c r="C100" s="138"/>
      <c r="D100" s="128"/>
      <c r="E100" s="139"/>
      <c r="F100" s="128"/>
      <c r="G100" s="140"/>
      <c r="H100" s="128"/>
      <c r="I100" s="128"/>
      <c r="J100" s="128"/>
    </row>
    <row r="101" spans="2:10" x14ac:dyDescent="0.3">
      <c r="B101" s="128"/>
      <c r="C101" s="138"/>
      <c r="D101" s="128"/>
      <c r="E101" s="139"/>
      <c r="F101" s="128"/>
      <c r="G101" s="140"/>
      <c r="H101" s="128"/>
      <c r="I101" s="128"/>
      <c r="J101" s="128"/>
    </row>
    <row r="102" spans="2:10" x14ac:dyDescent="0.3">
      <c r="B102" s="128"/>
      <c r="C102" s="138"/>
      <c r="D102" s="128"/>
      <c r="E102" s="139"/>
      <c r="F102" s="128"/>
      <c r="G102" s="140"/>
      <c r="H102" s="128"/>
      <c r="I102" s="128"/>
      <c r="J102" s="128"/>
    </row>
    <row r="103" spans="2:10" x14ac:dyDescent="0.3">
      <c r="B103" s="128"/>
      <c r="C103" s="138"/>
      <c r="D103" s="128"/>
      <c r="E103" s="139"/>
      <c r="F103" s="128"/>
      <c r="G103" s="140"/>
      <c r="H103" s="128"/>
      <c r="I103" s="128"/>
      <c r="J103" s="128"/>
    </row>
    <row r="104" spans="2:10" x14ac:dyDescent="0.3">
      <c r="B104" s="128"/>
      <c r="C104" s="138"/>
      <c r="D104" s="128"/>
      <c r="E104" s="139"/>
      <c r="F104" s="128"/>
      <c r="G104" s="140"/>
      <c r="H104" s="128"/>
      <c r="I104" s="128"/>
      <c r="J104" s="128"/>
    </row>
    <row r="105" spans="2:10" x14ac:dyDescent="0.3">
      <c r="B105" s="128"/>
      <c r="C105" s="138"/>
      <c r="D105" s="128"/>
      <c r="E105" s="139"/>
      <c r="F105" s="128"/>
      <c r="G105" s="140"/>
      <c r="H105" s="128"/>
      <c r="I105" s="128"/>
      <c r="J105" s="128"/>
    </row>
    <row r="106" spans="2:10" x14ac:dyDescent="0.3">
      <c r="B106" s="128"/>
      <c r="C106" s="128"/>
      <c r="D106" s="128"/>
      <c r="E106" s="139"/>
      <c r="F106" s="128"/>
      <c r="G106" s="140"/>
      <c r="H106" s="128"/>
      <c r="I106" s="128"/>
      <c r="J106" s="128"/>
    </row>
    <row r="107" spans="2:10" x14ac:dyDescent="0.3">
      <c r="B107" s="103"/>
      <c r="C107" s="103"/>
      <c r="D107" s="128"/>
      <c r="E107" s="128"/>
      <c r="F107" s="128"/>
      <c r="G107" s="128"/>
      <c r="H107" s="128"/>
      <c r="I107" s="128"/>
      <c r="J107" s="128"/>
    </row>
    <row r="108" spans="2:10" x14ac:dyDescent="0.3">
      <c r="B108" s="129"/>
      <c r="C108" s="130"/>
      <c r="D108" s="103"/>
      <c r="E108" s="103"/>
      <c r="F108" s="103"/>
      <c r="G108" s="105"/>
      <c r="H108" s="105"/>
      <c r="I108" s="103"/>
      <c r="J108" s="106"/>
    </row>
    <row r="109" spans="2:10" x14ac:dyDescent="0.3">
      <c r="B109" s="129"/>
      <c r="C109" s="130"/>
      <c r="D109" s="142"/>
      <c r="E109" s="142"/>
      <c r="F109" s="103"/>
      <c r="G109" s="131"/>
      <c r="H109" s="127"/>
      <c r="I109" s="127"/>
      <c r="J109" s="132"/>
    </row>
    <row r="110" spans="2:10" x14ac:dyDescent="0.3">
      <c r="B110" s="129"/>
      <c r="C110" s="130"/>
      <c r="D110" s="142"/>
      <c r="E110" s="142"/>
      <c r="F110" s="103"/>
      <c r="G110" s="131"/>
      <c r="H110" s="127"/>
      <c r="I110" s="127"/>
      <c r="J110" s="132"/>
    </row>
    <row r="111" spans="2:10" x14ac:dyDescent="0.3">
      <c r="B111" s="129"/>
      <c r="C111" s="130"/>
      <c r="D111" s="142"/>
      <c r="E111" s="142"/>
      <c r="F111" s="103"/>
      <c r="G111" s="131"/>
      <c r="H111" s="127"/>
      <c r="I111" s="127"/>
      <c r="J111" s="132"/>
    </row>
    <row r="112" spans="2:10" x14ac:dyDescent="0.3">
      <c r="B112" s="129"/>
      <c r="C112" s="130"/>
      <c r="D112" s="142"/>
      <c r="E112" s="142"/>
      <c r="F112" s="103"/>
      <c r="G112" s="131"/>
      <c r="H112" s="127"/>
      <c r="I112" s="127"/>
      <c r="J112" s="132"/>
    </row>
    <row r="113" spans="2:10" x14ac:dyDescent="0.3">
      <c r="B113" s="129"/>
      <c r="C113" s="130"/>
      <c r="D113" s="142"/>
      <c r="E113" s="142"/>
      <c r="F113" s="103"/>
      <c r="G113" s="131"/>
      <c r="H113" s="127"/>
      <c r="I113" s="127"/>
      <c r="J113" s="132"/>
    </row>
    <row r="114" spans="2:10" x14ac:dyDescent="0.3">
      <c r="B114" s="129"/>
      <c r="C114" s="130"/>
      <c r="D114" s="142"/>
      <c r="E114" s="142"/>
      <c r="F114" s="103"/>
      <c r="G114" s="131"/>
      <c r="H114" s="127"/>
      <c r="I114" s="127"/>
      <c r="J114" s="132"/>
    </row>
    <row r="115" spans="2:10" x14ac:dyDescent="0.3">
      <c r="B115" s="129"/>
      <c r="C115" s="130"/>
      <c r="D115" s="142"/>
      <c r="E115" s="142"/>
      <c r="F115" s="103"/>
      <c r="G115" s="131"/>
      <c r="H115" s="127"/>
      <c r="I115" s="127"/>
      <c r="J115" s="132"/>
    </row>
    <row r="116" spans="2:10" x14ac:dyDescent="0.3">
      <c r="B116" s="129"/>
      <c r="C116" s="130"/>
      <c r="D116" s="142"/>
      <c r="E116" s="142"/>
      <c r="F116" s="103"/>
      <c r="G116" s="131"/>
      <c r="H116" s="127"/>
      <c r="I116" s="127"/>
      <c r="J116" s="132"/>
    </row>
    <row r="117" spans="2:10" x14ac:dyDescent="0.3">
      <c r="B117" s="128"/>
      <c r="C117" s="128"/>
      <c r="D117" s="142"/>
      <c r="E117" s="142"/>
      <c r="F117" s="103"/>
      <c r="G117" s="131"/>
      <c r="H117" s="127"/>
      <c r="I117" s="127"/>
      <c r="J117" s="132"/>
    </row>
    <row r="118" spans="2:10" x14ac:dyDescent="0.3">
      <c r="B118" s="128"/>
      <c r="C118" s="128"/>
      <c r="D118" s="128"/>
      <c r="E118" s="128"/>
      <c r="F118" s="128"/>
      <c r="G118" s="128"/>
      <c r="H118" s="128"/>
      <c r="I118" s="128"/>
      <c r="J118" s="128"/>
    </row>
    <row r="119" spans="2:10" x14ac:dyDescent="0.3">
      <c r="B119" s="103"/>
      <c r="C119" s="103"/>
      <c r="D119" s="128"/>
      <c r="E119" s="128"/>
      <c r="F119" s="128"/>
      <c r="G119" s="128"/>
      <c r="H119" s="128"/>
      <c r="I119" s="128"/>
      <c r="J119" s="128"/>
    </row>
    <row r="120" spans="2:10" x14ac:dyDescent="0.3">
      <c r="B120" s="129"/>
      <c r="C120" s="130"/>
      <c r="D120" s="103"/>
      <c r="E120" s="103"/>
      <c r="F120" s="103"/>
      <c r="G120" s="105"/>
      <c r="H120" s="105"/>
      <c r="I120" s="103"/>
      <c r="J120" s="106"/>
    </row>
    <row r="121" spans="2:10" x14ac:dyDescent="0.3">
      <c r="B121" s="129"/>
      <c r="C121" s="130"/>
      <c r="D121" s="142"/>
      <c r="E121" s="142"/>
      <c r="F121" s="103"/>
      <c r="G121" s="131"/>
      <c r="H121" s="127"/>
      <c r="I121" s="127"/>
      <c r="J121" s="132"/>
    </row>
    <row r="122" spans="2:10" x14ac:dyDescent="0.3">
      <c r="B122" s="129"/>
      <c r="C122" s="130"/>
      <c r="D122" s="142"/>
      <c r="E122" s="142"/>
      <c r="F122" s="103"/>
      <c r="G122" s="131"/>
      <c r="H122" s="127"/>
      <c r="I122" s="127"/>
      <c r="J122" s="132"/>
    </row>
    <row r="123" spans="2:10" x14ac:dyDescent="0.3">
      <c r="B123" s="129"/>
      <c r="C123" s="130"/>
      <c r="D123" s="142"/>
      <c r="E123" s="142"/>
      <c r="F123" s="103"/>
      <c r="G123" s="131"/>
      <c r="H123" s="127"/>
      <c r="I123" s="127"/>
      <c r="J123" s="132"/>
    </row>
    <row r="124" spans="2:10" x14ac:dyDescent="0.3">
      <c r="B124" s="129"/>
      <c r="C124" s="130"/>
      <c r="D124" s="142"/>
      <c r="E124" s="142"/>
      <c r="F124" s="103"/>
      <c r="G124" s="131"/>
      <c r="H124" s="127"/>
      <c r="I124" s="127"/>
      <c r="J124" s="132"/>
    </row>
    <row r="125" spans="2:10" x14ac:dyDescent="0.3">
      <c r="B125" s="129"/>
      <c r="C125" s="130"/>
      <c r="D125" s="142"/>
      <c r="E125" s="142"/>
      <c r="F125" s="103"/>
      <c r="G125" s="131"/>
      <c r="H125" s="127"/>
      <c r="I125" s="127"/>
      <c r="J125" s="132"/>
    </row>
    <row r="126" spans="2:10" x14ac:dyDescent="0.3">
      <c r="B126" s="129"/>
      <c r="C126" s="130"/>
      <c r="D126" s="142"/>
      <c r="E126" s="142"/>
      <c r="F126" s="103"/>
      <c r="G126" s="131"/>
      <c r="H126" s="127"/>
      <c r="I126" s="127"/>
      <c r="J126" s="132"/>
    </row>
    <row r="127" spans="2:10" x14ac:dyDescent="0.3">
      <c r="B127" s="129"/>
      <c r="C127" s="130"/>
      <c r="D127" s="142"/>
      <c r="E127" s="142"/>
      <c r="F127" s="103"/>
      <c r="G127" s="131"/>
      <c r="H127" s="127"/>
      <c r="I127" s="127"/>
      <c r="J127" s="132"/>
    </row>
    <row r="128" spans="2:10" x14ac:dyDescent="0.3">
      <c r="B128" s="129"/>
      <c r="C128" s="130"/>
      <c r="D128" s="142"/>
      <c r="E128" s="142"/>
      <c r="F128" s="103"/>
      <c r="G128" s="131"/>
      <c r="H128" s="127"/>
      <c r="I128" s="127"/>
      <c r="J128" s="132"/>
    </row>
    <row r="129" spans="2:10" x14ac:dyDescent="0.3">
      <c r="B129" s="129"/>
      <c r="C129" s="130"/>
      <c r="D129" s="142"/>
      <c r="E129" s="142"/>
      <c r="F129" s="103"/>
      <c r="G129" s="131"/>
      <c r="H129" s="127"/>
      <c r="I129" s="127"/>
      <c r="J129" s="132"/>
    </row>
    <row r="130" spans="2:10" x14ac:dyDescent="0.3">
      <c r="B130" s="128"/>
      <c r="C130" s="128"/>
      <c r="D130" s="142"/>
      <c r="E130" s="142"/>
      <c r="F130" s="103"/>
      <c r="G130" s="131"/>
      <c r="H130" s="127"/>
      <c r="I130" s="127"/>
      <c r="J130" s="132"/>
    </row>
    <row r="131" spans="2:10" x14ac:dyDescent="0.3">
      <c r="B131" s="128"/>
      <c r="C131" s="128"/>
      <c r="D131" s="128"/>
      <c r="E131" s="128"/>
      <c r="F131" s="128"/>
      <c r="G131" s="128"/>
      <c r="H131" s="128"/>
      <c r="I131" s="128"/>
      <c r="J131" s="128"/>
    </row>
    <row r="132" spans="2:10" x14ac:dyDescent="0.3">
      <c r="B132" s="103"/>
      <c r="C132" s="103"/>
      <c r="D132" s="128"/>
      <c r="E132" s="128"/>
      <c r="F132" s="128"/>
      <c r="G132" s="128"/>
      <c r="H132" s="128"/>
      <c r="I132" s="128"/>
      <c r="J132" s="128"/>
    </row>
    <row r="133" spans="2:10" x14ac:dyDescent="0.3">
      <c r="B133" s="129"/>
      <c r="C133" s="130"/>
      <c r="D133" s="103"/>
      <c r="E133" s="103"/>
      <c r="F133" s="103"/>
      <c r="G133" s="105"/>
      <c r="H133" s="105"/>
      <c r="I133" s="103"/>
      <c r="J133" s="106"/>
    </row>
    <row r="134" spans="2:10" x14ac:dyDescent="0.3">
      <c r="B134" s="129"/>
      <c r="C134" s="130"/>
      <c r="D134" s="142"/>
      <c r="E134" s="142"/>
      <c r="F134" s="103"/>
      <c r="G134" s="131"/>
      <c r="H134" s="127"/>
      <c r="I134" s="127"/>
      <c r="J134" s="132"/>
    </row>
    <row r="135" spans="2:10" x14ac:dyDescent="0.3">
      <c r="B135" s="129"/>
      <c r="C135" s="130"/>
      <c r="D135" s="142"/>
      <c r="E135" s="142"/>
      <c r="F135" s="103"/>
      <c r="G135" s="131"/>
      <c r="H135" s="127"/>
      <c r="I135" s="127"/>
      <c r="J135" s="132"/>
    </row>
    <row r="136" spans="2:10" x14ac:dyDescent="0.3">
      <c r="B136" s="129"/>
      <c r="C136" s="130"/>
      <c r="D136" s="142"/>
      <c r="E136" s="142"/>
      <c r="F136" s="103"/>
      <c r="G136" s="131"/>
      <c r="H136" s="127"/>
      <c r="I136" s="127"/>
      <c r="J136" s="132"/>
    </row>
    <row r="137" spans="2:10" x14ac:dyDescent="0.3">
      <c r="B137" s="129"/>
      <c r="C137" s="130"/>
      <c r="D137" s="142"/>
      <c r="E137" s="142"/>
      <c r="F137" s="103"/>
      <c r="G137" s="131"/>
      <c r="H137" s="127"/>
      <c r="I137" s="127"/>
      <c r="J137" s="132"/>
    </row>
    <row r="138" spans="2:10" x14ac:dyDescent="0.3">
      <c r="B138" s="129"/>
      <c r="C138" s="130"/>
      <c r="D138" s="142"/>
      <c r="E138" s="142"/>
      <c r="F138" s="103"/>
      <c r="G138" s="131"/>
      <c r="H138" s="127"/>
      <c r="I138" s="127"/>
      <c r="J138" s="132"/>
    </row>
    <row r="139" spans="2:10" x14ac:dyDescent="0.3">
      <c r="B139" s="129"/>
      <c r="C139" s="130"/>
      <c r="D139" s="142"/>
      <c r="E139" s="142"/>
      <c r="F139" s="103"/>
      <c r="G139" s="131"/>
      <c r="H139" s="127"/>
      <c r="I139" s="127"/>
      <c r="J139" s="132"/>
    </row>
    <row r="140" spans="2:10" x14ac:dyDescent="0.3">
      <c r="D140" s="142"/>
      <c r="E140" s="142"/>
      <c r="F140" s="103"/>
      <c r="G140" s="131"/>
      <c r="H140" s="127"/>
      <c r="I140" s="127"/>
      <c r="J140" s="132"/>
    </row>
    <row r="145" spans="2:10" x14ac:dyDescent="0.3">
      <c r="B145" s="128"/>
      <c r="C145" s="128"/>
      <c r="D145" s="128"/>
      <c r="E145" s="128"/>
      <c r="F145" s="128"/>
      <c r="G145" s="128"/>
      <c r="H145" s="128"/>
      <c r="I145" s="128"/>
      <c r="J145" s="128"/>
    </row>
    <row r="146" spans="2:10" x14ac:dyDescent="0.3">
      <c r="B146" s="103"/>
      <c r="C146" s="103"/>
      <c r="D146" s="128"/>
      <c r="E146" s="128"/>
      <c r="F146" s="128"/>
      <c r="G146" s="128"/>
      <c r="H146" s="128"/>
      <c r="I146" s="128"/>
      <c r="J146" s="128"/>
    </row>
    <row r="147" spans="2:10" x14ac:dyDescent="0.3">
      <c r="B147" s="129"/>
      <c r="C147" s="130"/>
      <c r="D147" s="103"/>
      <c r="E147" s="103"/>
      <c r="F147" s="103"/>
      <c r="G147" s="105"/>
      <c r="H147" s="105"/>
      <c r="I147" s="103"/>
      <c r="J147" s="106"/>
    </row>
    <row r="148" spans="2:10" x14ac:dyDescent="0.3">
      <c r="B148" s="129"/>
      <c r="C148" s="130"/>
      <c r="D148" s="142"/>
      <c r="E148" s="142"/>
      <c r="F148" s="103"/>
      <c r="G148" s="131"/>
      <c r="H148" s="127"/>
      <c r="I148" s="127"/>
      <c r="J148" s="132"/>
    </row>
    <row r="149" spans="2:10" x14ac:dyDescent="0.3">
      <c r="B149" s="129"/>
      <c r="C149" s="130"/>
      <c r="D149" s="142"/>
      <c r="E149" s="142"/>
      <c r="F149" s="103"/>
      <c r="G149" s="131"/>
      <c r="H149" s="127"/>
      <c r="I149" s="127"/>
      <c r="J149" s="132"/>
    </row>
    <row r="150" spans="2:10" x14ac:dyDescent="0.3">
      <c r="B150" s="129"/>
      <c r="C150" s="130"/>
      <c r="D150" s="142"/>
      <c r="E150" s="142"/>
      <c r="F150" s="103"/>
      <c r="G150" s="131"/>
      <c r="H150" s="127"/>
      <c r="I150" s="127"/>
      <c r="J150" s="132"/>
    </row>
    <row r="151" spans="2:10" x14ac:dyDescent="0.3">
      <c r="B151" s="129"/>
      <c r="C151" s="130"/>
      <c r="D151" s="142"/>
      <c r="E151" s="142"/>
      <c r="F151" s="103"/>
      <c r="G151" s="131"/>
      <c r="H151" s="127"/>
      <c r="I151" s="127"/>
      <c r="J151" s="132"/>
    </row>
    <row r="152" spans="2:10" x14ac:dyDescent="0.3">
      <c r="B152" s="129"/>
      <c r="C152" s="130"/>
      <c r="D152" s="142"/>
      <c r="E152" s="142"/>
      <c r="F152" s="103"/>
      <c r="G152" s="131"/>
      <c r="H152" s="127"/>
      <c r="I152" s="127"/>
      <c r="J152" s="132"/>
    </row>
    <row r="153" spans="2:10" x14ac:dyDescent="0.3">
      <c r="B153" s="129"/>
      <c r="C153" s="130"/>
      <c r="D153" s="142"/>
      <c r="E153" s="142"/>
      <c r="F153" s="103"/>
      <c r="G153" s="131"/>
      <c r="H153" s="127"/>
      <c r="I153" s="127"/>
      <c r="J153" s="132"/>
    </row>
    <row r="154" spans="2:10" x14ac:dyDescent="0.3">
      <c r="D154" s="142"/>
      <c r="E154" s="142"/>
      <c r="F154" s="103"/>
      <c r="G154" s="131"/>
      <c r="H154" s="127"/>
      <c r="I154" s="127"/>
      <c r="J154" s="132"/>
    </row>
  </sheetData>
  <mergeCells count="4">
    <mergeCell ref="B1:M2"/>
    <mergeCell ref="P1:Y3"/>
    <mergeCell ref="B71:D71"/>
    <mergeCell ref="E71:I71"/>
  </mergeCells>
  <phoneticPr fontId="6" type="noConversion"/>
  <hyperlinks>
    <hyperlink ref="L6" r:id="rId1" display="https://www.worldsport.ge/ge/page/186696_realma-pogbas-damatebistvis-fexburteli-unda-gayidos?fbclid=IwAR1Q8_AuVjfuFyEqRQbAPIWQl1LwCJxT8yrAB4_5wAq_JUjGwmGboJ4jIZo" xr:uid="{00000000-0004-0000-0000-000000000000}"/>
    <hyperlink ref="AB6" r:id="rId2" display="https://www.worldsport.ge/ge/page/186696_realma-pogbas-damatebistvis-fexburteli-unda-gayidos?fbclid=IwAR1Q8_AuVjfuFyEqRQbAPIWQl1LwCJxT8yrAB4_5wAq_JUjGwmGboJ4jIZo" xr:uid="{00000000-0004-0000-0000-000001000000}"/>
    <hyperlink ref="AB22" r:id="rId3" display="https://www.worldsport.ge/ge/page/186696_realma-pogbas-damatebistvis-fexburteli-unda-gayidos?fbclid=IwAR1Q8_AuVjfuFyEqRQbAPIWQl1LwCJxT8yrAB4_5wAq_JUjGwmGboJ4jIZo" xr:uid="{00000000-0004-0000-0000-000002000000}"/>
    <hyperlink ref="L39" r:id="rId4" display="https://www.worldsport.ge/ge/page/186696_realma-pogbas-damatebistvis-fexburteli-unda-gayidos?fbclid=IwAR1Q8_AuVjfuFyEqRQbAPIWQl1LwCJxT8yrAB4_5wAq_JUjGwmGboJ4jIZo" xr:uid="{00000000-0004-0000-0000-000003000000}"/>
    <hyperlink ref="AB39" r:id="rId5" display="https://www.worldsport.ge/ge/page/186696_realma-pogbas-damatebistvis-fexburteli-unda-gayidos?fbclid=IwAR1Q8_AuVjfuFyEqRQbAPIWQl1LwCJxT8yrAB4_5wAq_JUjGwmGboJ4jIZo" xr:uid="{00000000-0004-0000-0000-000004000000}"/>
    <hyperlink ref="L22" r:id="rId6" display="https://www.worldsport.ge/ge/page/186696_realma-pogbas-damatebistvis-fexburteli-unda-gayidos?fbclid=IwAR1Q8_AuVjfuFyEqRQbAPIWQl1LwCJxT8yrAB4_5wAq_JUjGwmGboJ4jIZo" xr:uid="{00000000-0004-0000-0000-000005000000}"/>
    <hyperlink ref="L56" r:id="rId7" display="https://www.worldsport.ge/ge/page/186696_realma-pogbas-damatebistvis-fexburteli-unda-gayidos?fbclid=IwAR1Q8_AuVjfuFyEqRQbAPIWQl1LwCJxT8yrAB4_5wAq_JUjGwmGboJ4jIZo" xr:uid="{CC8E0609-B3E4-4E5C-A87D-4541FE49050B}"/>
    <hyperlink ref="AB56" r:id="rId8" display="https://www.worldsport.ge/ge/page/186696_realma-pogbas-damatebistvis-fexburteli-unda-gayidos?fbclid=IwAR1Q8_AuVjfuFyEqRQbAPIWQl1LwCJxT8yrAB4_5wAq_JUjGwmGboJ4jIZo" xr:uid="{7AABB5C8-3105-4987-B9D9-D916CA1AA38B}"/>
    <hyperlink ref="L73" r:id="rId9" display="https://www.worldsport.ge/ge/page/186696_realma-pogbas-damatebistvis-fexburteli-unda-gayidos?fbclid=IwAR1Q8_AuVjfuFyEqRQbAPIWQl1LwCJxT8yrAB4_5wAq_JUjGwmGboJ4jIZo" xr:uid="{82745D11-ECC3-474E-BC25-40DE26C1FF5F}"/>
  </hyperlinks>
  <pageMargins left="0.7" right="0.7" top="0.75" bottom="0.75" header="0.3" footer="0.3"/>
  <pageSetup paperSize="9"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25" r:id="rId13" name="Button 1">
              <controlPr defaultSize="0" print="0" autoFill="0" autoPict="0" macro="StoreAllRefresh">
                <anchor moveWithCells="1" sizeWithCells="1">
                  <from>
                    <xdr:col>15</xdr:col>
                    <xdr:colOff>0</xdr:colOff>
                    <xdr:row>1</xdr:row>
                    <xdr:rowOff>0</xdr:rowOff>
                  </from>
                  <to>
                    <xdr:col>17</xdr:col>
                    <xdr:colOff>228600</xdr:colOff>
                    <xdr:row>2</xdr:row>
                    <xdr:rowOff>66675</xdr:rowOff>
                  </to>
                </anchor>
              </controlPr>
            </control>
          </mc:Choice>
        </mc:AlternateContent>
      </controls>
    </mc:Choice>
  </mc:AlternateContent>
  <tableParts count="9">
    <tablePart r:id="rId14"/>
    <tablePart r:id="rId15"/>
    <tablePart r:id="rId16"/>
    <tablePart r:id="rId17"/>
    <tablePart r:id="rId18"/>
    <tablePart r:id="rId19"/>
    <tablePart r:id="rId20"/>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493"/>
  <sheetViews>
    <sheetView topLeftCell="A468" zoomScale="85" zoomScaleNormal="85" workbookViewId="0">
      <selection activeCell="A483" sqref="A483:K493"/>
    </sheetView>
  </sheetViews>
  <sheetFormatPr defaultColWidth="8.85546875" defaultRowHeight="18.75" x14ac:dyDescent="0.3"/>
  <cols>
    <col min="1" max="1" width="17.85546875" style="12" bestFit="1" customWidth="1"/>
    <col min="2" max="2" width="10.7109375" style="5" customWidth="1"/>
    <col min="3" max="3" width="14.5703125" style="5" bestFit="1" customWidth="1"/>
    <col min="4" max="4" width="14.85546875" style="5" bestFit="1" customWidth="1"/>
    <col min="5" max="5" width="8.85546875" style="5"/>
    <col min="6" max="6" width="11.85546875" style="5" hidden="1" customWidth="1"/>
    <col min="7" max="7" width="16.7109375" style="5" hidden="1" customWidth="1"/>
    <col min="8" max="8" width="10" style="5" hidden="1" customWidth="1"/>
    <col min="9" max="13" width="8.85546875" style="5"/>
    <col min="14" max="14" width="10.5703125" style="5" bestFit="1" customWidth="1"/>
    <col min="15"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9" t="s">
        <v>89</v>
      </c>
      <c r="B2" s="10" t="s">
        <v>15</v>
      </c>
      <c r="C2" s="121">
        <v>45371</v>
      </c>
      <c r="D2" s="121">
        <v>45420</v>
      </c>
      <c r="E2" s="10">
        <v>4.33</v>
      </c>
      <c r="F2" s="10">
        <v>3.3239999999999998</v>
      </c>
      <c r="G2" s="10">
        <v>0.99999999999997868</v>
      </c>
      <c r="H2" s="10">
        <v>3.9999999999999147E-2</v>
      </c>
      <c r="I2" s="10">
        <v>2.2000000000000242</v>
      </c>
      <c r="J2" s="10" t="s">
        <v>41</v>
      </c>
      <c r="K2" s="11" t="s">
        <v>41</v>
      </c>
    </row>
    <row r="3" spans="1:11" x14ac:dyDescent="0.3">
      <c r="A3" s="9" t="s">
        <v>89</v>
      </c>
      <c r="B3" s="10" t="s">
        <v>17</v>
      </c>
      <c r="C3" s="121">
        <v>45420</v>
      </c>
      <c r="D3" s="121">
        <v>45462</v>
      </c>
      <c r="E3" s="10">
        <v>4.3059056494011303</v>
      </c>
      <c r="F3" s="10">
        <v>3.5649999999999999</v>
      </c>
      <c r="G3" s="10">
        <v>-1.4094350598869987</v>
      </c>
      <c r="H3" s="10">
        <v>-5.6377402395479947E-2</v>
      </c>
      <c r="I3" s="10">
        <v>4.140564940113034</v>
      </c>
      <c r="J3" s="10" t="s">
        <v>41</v>
      </c>
      <c r="K3" s="11" t="s">
        <v>41</v>
      </c>
    </row>
    <row r="4" spans="1:11" x14ac:dyDescent="0.3">
      <c r="A4" s="9" t="s">
        <v>89</v>
      </c>
      <c r="B4" s="10" t="s">
        <v>18</v>
      </c>
      <c r="C4" s="121">
        <v>45462</v>
      </c>
      <c r="D4" s="121">
        <v>45511</v>
      </c>
      <c r="E4" s="10">
        <v>4.2603989557711701</v>
      </c>
      <c r="F4" s="10">
        <v>3.7690000000000001</v>
      </c>
      <c r="G4" s="10">
        <v>-5.9601044228830169</v>
      </c>
      <c r="H4" s="10">
        <v>-0.23840417691532068</v>
      </c>
      <c r="I4" s="10">
        <v>8.7898955771169796</v>
      </c>
      <c r="J4" s="10" t="s">
        <v>41</v>
      </c>
      <c r="K4" s="11" t="s">
        <v>41</v>
      </c>
    </row>
    <row r="5" spans="1:11" x14ac:dyDescent="0.3">
      <c r="A5" s="9" t="s">
        <v>89</v>
      </c>
      <c r="B5" s="10" t="s">
        <v>9</v>
      </c>
      <c r="C5" s="121">
        <v>45511</v>
      </c>
      <c r="D5" s="121">
        <v>45560</v>
      </c>
      <c r="E5" s="10">
        <v>4.1635964518362503</v>
      </c>
      <c r="F5" s="10">
        <v>3.9554</v>
      </c>
      <c r="G5" s="10">
        <v>-15.640354816375002</v>
      </c>
      <c r="H5" s="10">
        <v>-0.62561419265500007</v>
      </c>
      <c r="I5" s="10">
        <v>6.539645183624998</v>
      </c>
      <c r="J5" s="10" t="s">
        <v>41</v>
      </c>
      <c r="K5" s="11" t="s">
        <v>41</v>
      </c>
    </row>
    <row r="6" spans="1:11" x14ac:dyDescent="0.3">
      <c r="A6" s="9" t="s">
        <v>89</v>
      </c>
      <c r="B6" s="10" t="s">
        <v>10</v>
      </c>
      <c r="C6" s="121">
        <v>45560</v>
      </c>
      <c r="D6" s="121">
        <v>45602</v>
      </c>
      <c r="E6" s="10">
        <v>4.0888379528242096</v>
      </c>
      <c r="F6" s="10">
        <v>4.0954999999999995</v>
      </c>
      <c r="G6" s="10">
        <v>-23.11620471757907</v>
      </c>
      <c r="H6" s="10">
        <v>-0.92464818870316279</v>
      </c>
      <c r="I6" s="10">
        <v>10.113795282420934</v>
      </c>
      <c r="J6" s="10" t="s">
        <v>41</v>
      </c>
      <c r="K6" s="11" t="s">
        <v>41</v>
      </c>
    </row>
    <row r="7" spans="1:11" x14ac:dyDescent="0.3">
      <c r="A7" s="9" t="s">
        <v>89</v>
      </c>
      <c r="B7" s="10" t="s">
        <v>12</v>
      </c>
      <c r="C7" s="121">
        <v>45602</v>
      </c>
      <c r="D7" s="121">
        <v>45637</v>
      </c>
      <c r="E7" s="10">
        <v>3.97499211817318</v>
      </c>
      <c r="F7" s="10">
        <v>4.1952999999999996</v>
      </c>
      <c r="G7" s="10">
        <v>-34.50078818268203</v>
      </c>
      <c r="H7" s="10">
        <v>-1.3800315273072812</v>
      </c>
      <c r="I7" s="10">
        <v>6.0992118173180287</v>
      </c>
      <c r="J7" s="10" t="s">
        <v>41</v>
      </c>
      <c r="K7" s="11" t="s">
        <v>41</v>
      </c>
    </row>
    <row r="8" spans="1:11" x14ac:dyDescent="0.3">
      <c r="A8" s="9" t="s">
        <v>89</v>
      </c>
      <c r="B8" s="10" t="s">
        <v>13</v>
      </c>
      <c r="C8" s="121">
        <v>45637</v>
      </c>
      <c r="D8" s="121">
        <v>45693</v>
      </c>
      <c r="E8" s="10">
        <v>3.9172555946097298</v>
      </c>
      <c r="F8" s="10">
        <v>4.2774999999999999</v>
      </c>
      <c r="G8" s="10">
        <v>-40.274440539027047</v>
      </c>
      <c r="H8" s="10">
        <v>-1.6109776215610818</v>
      </c>
      <c r="I8" s="10">
        <v>10.165559460972995</v>
      </c>
      <c r="J8" s="10" t="s">
        <v>41</v>
      </c>
      <c r="K8" s="11" t="s">
        <v>41</v>
      </c>
    </row>
    <row r="9" spans="1:11" x14ac:dyDescent="0.3">
      <c r="A9" s="9" t="s">
        <v>89</v>
      </c>
      <c r="B9" s="10" t="s">
        <v>14</v>
      </c>
      <c r="C9" s="121">
        <v>45693</v>
      </c>
      <c r="D9" s="121">
        <v>45736</v>
      </c>
      <c r="E9" s="10">
        <v>3.8048682529406399</v>
      </c>
      <c r="F9" s="10">
        <v>4.3411000000000008</v>
      </c>
      <c r="G9" s="10">
        <v>-51.513174705936038</v>
      </c>
      <c r="H9" s="10">
        <v>-2.0605269882374415</v>
      </c>
      <c r="I9" s="10">
        <v>5.7768252940639808</v>
      </c>
      <c r="J9" s="10" t="s">
        <v>41</v>
      </c>
      <c r="K9" s="11" t="s">
        <v>41</v>
      </c>
    </row>
    <row r="10" spans="1:11" x14ac:dyDescent="0.3">
      <c r="A10" s="9" t="s">
        <v>89</v>
      </c>
      <c r="B10" s="10" t="s">
        <v>15</v>
      </c>
      <c r="C10" s="121">
        <v>45736</v>
      </c>
      <c r="D10" s="121">
        <v>45785</v>
      </c>
      <c r="E10" s="10">
        <v>3.7514655763244802</v>
      </c>
      <c r="F10" s="10">
        <v>4.3690999999999995</v>
      </c>
      <c r="G10" s="10">
        <v>-56.853442367552006</v>
      </c>
      <c r="H10" s="10">
        <v>-2.2741376947020804</v>
      </c>
      <c r="I10" s="10">
        <v>7.5565576324480244</v>
      </c>
      <c r="J10" s="10" t="s">
        <v>41</v>
      </c>
      <c r="K10" s="11" t="s">
        <v>41</v>
      </c>
    </row>
    <row r="11" spans="1:11" x14ac:dyDescent="0.3">
      <c r="A11" s="9" t="s">
        <v>89</v>
      </c>
      <c r="B11" s="10" t="s">
        <v>17</v>
      </c>
      <c r="C11" s="121">
        <v>45785</v>
      </c>
      <c r="D11" s="121">
        <v>45827</v>
      </c>
      <c r="E11" s="10">
        <v>3.6831922316640502</v>
      </c>
      <c r="F11" s="10">
        <v>4.3690999999999995</v>
      </c>
      <c r="G11" s="10">
        <v>-63.680776833595012</v>
      </c>
      <c r="H11" s="10">
        <v>-2.5472310733438004</v>
      </c>
      <c r="I11" s="10" t="s">
        <v>41</v>
      </c>
      <c r="J11" s="10" t="s">
        <v>41</v>
      </c>
      <c r="K11" s="11" t="s">
        <v>41</v>
      </c>
    </row>
    <row r="12" spans="1:11" x14ac:dyDescent="0.3">
      <c r="A12" s="9" t="s">
        <v>89</v>
      </c>
      <c r="B12" s="10"/>
      <c r="C12" s="121"/>
      <c r="D12" s="121"/>
      <c r="E12" s="10"/>
      <c r="F12" s="10"/>
      <c r="G12" s="10"/>
      <c r="H12" s="10"/>
      <c r="I12" s="10">
        <v>-374.1</v>
      </c>
      <c r="J12" s="10" t="s">
        <v>41</v>
      </c>
      <c r="K12" s="11" t="s">
        <v>41</v>
      </c>
    </row>
    <row r="13" spans="1:11" x14ac:dyDescent="0.3">
      <c r="A13" s="9" t="s">
        <v>89</v>
      </c>
      <c r="B13" s="10"/>
      <c r="C13" s="121"/>
      <c r="D13" s="121"/>
      <c r="E13" s="10"/>
      <c r="F13" s="10"/>
      <c r="G13" s="10"/>
      <c r="H13" s="10"/>
      <c r="I13" s="10">
        <v>-374.1</v>
      </c>
      <c r="J13" s="10" t="s">
        <v>41</v>
      </c>
      <c r="K13" s="11" t="s">
        <v>41</v>
      </c>
    </row>
    <row r="14" spans="1:11" x14ac:dyDescent="0.3">
      <c r="A14" s="9">
        <v>46192</v>
      </c>
      <c r="B14" s="10" t="s">
        <v>9</v>
      </c>
      <c r="C14" s="121" t="s">
        <v>109</v>
      </c>
      <c r="D14" s="121" t="s">
        <v>110</v>
      </c>
      <c r="E14" s="10">
        <v>4.4424999999999999</v>
      </c>
      <c r="F14" s="10">
        <v>9.2500000000000249</v>
      </c>
      <c r="G14" s="10">
        <v>9.2500000000000249</v>
      </c>
      <c r="H14" s="10">
        <v>0.37000000000000099</v>
      </c>
      <c r="I14" s="10">
        <v>0.15000000000000568</v>
      </c>
      <c r="J14" s="10">
        <v>1.3499999999999623</v>
      </c>
      <c r="K14" s="11">
        <v>-12.460000000000004</v>
      </c>
    </row>
    <row r="15" spans="1:11" x14ac:dyDescent="0.3">
      <c r="A15" s="9">
        <v>46192</v>
      </c>
      <c r="B15" s="10" t="s">
        <v>10</v>
      </c>
      <c r="C15" s="121" t="s">
        <v>110</v>
      </c>
      <c r="D15" s="121" t="s">
        <v>99</v>
      </c>
      <c r="E15" s="10">
        <v>4.4625000000000004</v>
      </c>
      <c r="F15" s="10">
        <v>2.0000000000000462</v>
      </c>
      <c r="G15" s="10">
        <v>11.250000000000071</v>
      </c>
      <c r="H15" s="10">
        <v>0.45000000000000284</v>
      </c>
      <c r="I15" s="10">
        <v>0.15000000000000568</v>
      </c>
      <c r="J15" s="10">
        <v>3.0499999999999972</v>
      </c>
      <c r="K15" s="11">
        <v>-17.039999999999988</v>
      </c>
    </row>
    <row r="16" spans="1:11" x14ac:dyDescent="0.3">
      <c r="A16" s="9">
        <v>46192</v>
      </c>
      <c r="B16" s="10" t="s">
        <v>12</v>
      </c>
      <c r="C16" s="121" t="s">
        <v>99</v>
      </c>
      <c r="D16" s="121" t="s">
        <v>111</v>
      </c>
      <c r="E16" s="10">
        <v>4.5164999999999997</v>
      </c>
      <c r="F16" s="10">
        <v>5.3999999999999382</v>
      </c>
      <c r="G16" s="10">
        <v>16.650000000000009</v>
      </c>
      <c r="H16" s="10">
        <v>0.66600000000000037</v>
      </c>
      <c r="I16" s="10">
        <v>1.1299999999999422</v>
      </c>
      <c r="J16" s="10">
        <v>7.3500000000000121</v>
      </c>
      <c r="K16" s="11">
        <v>-19.850000000000012</v>
      </c>
    </row>
    <row r="17" spans="1:11" x14ac:dyDescent="0.3">
      <c r="A17" s="9">
        <v>46192</v>
      </c>
      <c r="B17" s="10" t="s">
        <v>13</v>
      </c>
      <c r="C17" s="121" t="s">
        <v>111</v>
      </c>
      <c r="D17" s="121" t="s">
        <v>125</v>
      </c>
      <c r="E17" s="10">
        <v>4.5361000000000002</v>
      </c>
      <c r="F17" s="10">
        <v>1.9600000000000506</v>
      </c>
      <c r="G17" s="10">
        <v>18.61000000000006</v>
      </c>
      <c r="H17" s="10">
        <v>0.74440000000000239</v>
      </c>
      <c r="I17" s="10">
        <v>1.5699999999999825</v>
      </c>
      <c r="J17" s="10">
        <v>6.8500000000000227</v>
      </c>
      <c r="K17" s="11">
        <v>-20.659999999999989</v>
      </c>
    </row>
    <row r="18" spans="1:11" x14ac:dyDescent="0.3">
      <c r="A18" s="9">
        <v>46192</v>
      </c>
      <c r="B18" s="10" t="s">
        <v>14</v>
      </c>
      <c r="C18" s="121" t="s">
        <v>125</v>
      </c>
      <c r="D18" s="121" t="s">
        <v>147</v>
      </c>
      <c r="E18" s="10">
        <v>4.5331000000000001</v>
      </c>
      <c r="F18" s="10">
        <v>-0.30000000000001137</v>
      </c>
      <c r="G18" s="10">
        <v>18.310000000000048</v>
      </c>
      <c r="H18" s="10">
        <v>0.73240000000000194</v>
      </c>
      <c r="I18" s="10">
        <v>1.5400000000000524</v>
      </c>
      <c r="J18" s="10">
        <v>6.390000000000029</v>
      </c>
      <c r="K18" s="11">
        <v>-20.950000000000024</v>
      </c>
    </row>
    <row r="19" spans="1:11" x14ac:dyDescent="0.3">
      <c r="A19" s="9">
        <v>46192</v>
      </c>
      <c r="B19" s="10" t="s">
        <v>15</v>
      </c>
      <c r="C19" s="121" t="s">
        <v>147</v>
      </c>
      <c r="D19" s="121" t="s">
        <v>149</v>
      </c>
      <c r="E19" s="10">
        <v>4.4995000000000003</v>
      </c>
      <c r="F19" s="10">
        <v>-3.3599999999999852</v>
      </c>
      <c r="G19" s="10">
        <v>14.950000000000063</v>
      </c>
      <c r="H19" s="10">
        <v>0.59800000000000253</v>
      </c>
      <c r="I19" s="10">
        <v>1.440000000000019</v>
      </c>
      <c r="J19" s="10" t="s">
        <v>41</v>
      </c>
      <c r="K19" s="11" t="s">
        <v>41</v>
      </c>
    </row>
    <row r="20" spans="1:11" x14ac:dyDescent="0.3">
      <c r="A20" s="9">
        <v>46192</v>
      </c>
      <c r="B20" s="10" t="s">
        <v>17</v>
      </c>
      <c r="C20" s="121" t="s">
        <v>149</v>
      </c>
      <c r="D20" s="121">
        <v>46470</v>
      </c>
      <c r="E20" s="10">
        <v>4.4679000000000002</v>
      </c>
      <c r="F20" s="10">
        <v>-3.1600000000000072</v>
      </c>
      <c r="G20" s="10">
        <v>11.790000000000056</v>
      </c>
      <c r="H20" s="10">
        <v>0.47160000000000224</v>
      </c>
      <c r="I20" s="10">
        <v>1.3600000000000279</v>
      </c>
      <c r="J20" s="10" t="s">
        <v>41</v>
      </c>
      <c r="K20" s="11" t="s">
        <v>41</v>
      </c>
    </row>
    <row r="21" spans="1:11" x14ac:dyDescent="0.3">
      <c r="A21" s="9">
        <v>46192</v>
      </c>
      <c r="B21" s="10"/>
      <c r="C21" s="121"/>
      <c r="D21" s="121"/>
      <c r="E21" s="10"/>
      <c r="F21" s="10"/>
      <c r="G21" s="10"/>
      <c r="H21" s="10"/>
      <c r="I21" s="10">
        <v>0</v>
      </c>
      <c r="J21" s="10" t="s">
        <v>41</v>
      </c>
      <c r="K21" s="11">
        <v>0</v>
      </c>
    </row>
    <row r="22" spans="1:11" x14ac:dyDescent="0.3">
      <c r="A22" s="9">
        <v>46192</v>
      </c>
      <c r="B22" s="10"/>
      <c r="C22" s="121"/>
      <c r="D22" s="121"/>
      <c r="E22" s="10"/>
      <c r="F22" s="10"/>
      <c r="G22" s="10"/>
      <c r="H22" s="10"/>
      <c r="I22" s="10">
        <v>0</v>
      </c>
      <c r="J22" s="10" t="s">
        <v>41</v>
      </c>
      <c r="K22" s="11">
        <v>0</v>
      </c>
    </row>
    <row r="23" spans="1:11" x14ac:dyDescent="0.3">
      <c r="A23" s="9">
        <v>46192</v>
      </c>
      <c r="B23" s="10"/>
      <c r="C23" s="121"/>
      <c r="D23" s="121"/>
      <c r="E23" s="10"/>
      <c r="F23" s="10"/>
      <c r="G23" s="10"/>
      <c r="H23" s="10"/>
      <c r="I23" s="10">
        <v>0</v>
      </c>
      <c r="J23" s="10" t="s">
        <v>41</v>
      </c>
      <c r="K23" s="11">
        <v>0</v>
      </c>
    </row>
    <row r="24" spans="1:11" x14ac:dyDescent="0.3">
      <c r="A24" s="9">
        <v>46192</v>
      </c>
      <c r="B24" s="10"/>
      <c r="C24" s="121"/>
      <c r="D24" s="121"/>
      <c r="E24" s="10"/>
      <c r="F24" s="10"/>
      <c r="G24" s="10"/>
      <c r="H24" s="10"/>
      <c r="I24" s="10">
        <v>0</v>
      </c>
      <c r="J24" s="10" t="s">
        <v>41</v>
      </c>
      <c r="K24" s="11">
        <v>0</v>
      </c>
    </row>
    <row r="25" spans="1:11" x14ac:dyDescent="0.3">
      <c r="A25" s="296">
        <v>46195</v>
      </c>
      <c r="B25" s="297" t="s">
        <v>9</v>
      </c>
      <c r="C25" s="298" t="s">
        <v>109</v>
      </c>
      <c r="D25" s="298" t="s">
        <v>110</v>
      </c>
      <c r="E25" s="297">
        <v>4.4390000000000001</v>
      </c>
      <c r="F25" s="297">
        <v>8.6500000000000021</v>
      </c>
      <c r="G25" s="297">
        <v>8.6500000000000021</v>
      </c>
      <c r="H25" s="297">
        <v>0.34600000000000009</v>
      </c>
      <c r="I25" s="297">
        <v>-0.34999999999998366</v>
      </c>
      <c r="J25" s="297">
        <v>7.6499999999999346</v>
      </c>
      <c r="K25" s="299">
        <v>-10.559999999999992</v>
      </c>
    </row>
    <row r="26" spans="1:11" x14ac:dyDescent="0.3">
      <c r="A26" s="296">
        <v>46195</v>
      </c>
      <c r="B26" s="297" t="s">
        <v>10</v>
      </c>
      <c r="C26" s="298" t="s">
        <v>110</v>
      </c>
      <c r="D26" s="298" t="s">
        <v>99</v>
      </c>
      <c r="E26" s="297">
        <v>4.4589999999999996</v>
      </c>
      <c r="F26" s="297">
        <v>1.8500000000000405</v>
      </c>
      <c r="G26" s="297">
        <v>10.500000000000043</v>
      </c>
      <c r="H26" s="297">
        <v>0.42000000000000171</v>
      </c>
      <c r="I26" s="297">
        <v>-0.35000000000007248</v>
      </c>
      <c r="J26" s="297">
        <v>2.2000000000000242</v>
      </c>
      <c r="K26" s="299">
        <v>-13.640000000000008</v>
      </c>
    </row>
    <row r="27" spans="1:11" x14ac:dyDescent="0.3">
      <c r="A27" s="296">
        <v>46195</v>
      </c>
      <c r="B27" s="297" t="s">
        <v>12</v>
      </c>
      <c r="C27" s="298" t="s">
        <v>99</v>
      </c>
      <c r="D27" s="298" t="s">
        <v>111</v>
      </c>
      <c r="E27" s="297">
        <v>4.5170000000000003</v>
      </c>
      <c r="F27" s="297">
        <v>5.7999999999999829</v>
      </c>
      <c r="G27" s="297">
        <v>16.300000000000026</v>
      </c>
      <c r="H27" s="297">
        <v>0.65200000000000102</v>
      </c>
      <c r="I27" s="297">
        <v>5.0000000000061107E-2</v>
      </c>
      <c r="J27" s="297">
        <v>6.7999999999999616</v>
      </c>
      <c r="K27" s="299">
        <v>-14.100000000000001</v>
      </c>
    </row>
    <row r="28" spans="1:11" x14ac:dyDescent="0.3">
      <c r="A28" s="296">
        <v>46195</v>
      </c>
      <c r="B28" s="297" t="s">
        <v>13</v>
      </c>
      <c r="C28" s="298" t="s">
        <v>111</v>
      </c>
      <c r="D28" s="298" t="s">
        <v>125</v>
      </c>
      <c r="E28" s="297">
        <v>4.5129999999999999</v>
      </c>
      <c r="F28" s="297">
        <v>0.49000000000001265</v>
      </c>
      <c r="G28" s="297">
        <v>16.790000000000038</v>
      </c>
      <c r="H28" s="297">
        <v>0.67160000000000153</v>
      </c>
      <c r="I28" s="297">
        <v>-2.3100000000000342</v>
      </c>
      <c r="J28" s="297">
        <v>4.9299999999999677</v>
      </c>
      <c r="K28" s="299">
        <v>-15.810000000000013</v>
      </c>
    </row>
    <row r="29" spans="1:11" x14ac:dyDescent="0.3">
      <c r="A29" s="296">
        <v>46195</v>
      </c>
      <c r="B29" s="297" t="s">
        <v>14</v>
      </c>
      <c r="C29" s="298" t="s">
        <v>125</v>
      </c>
      <c r="D29" s="298" t="s">
        <v>147</v>
      </c>
      <c r="E29" s="297">
        <v>4.5039999999999996</v>
      </c>
      <c r="F29" s="297">
        <v>-0.65999999999997172</v>
      </c>
      <c r="G29" s="297">
        <v>16.130000000000067</v>
      </c>
      <c r="H29" s="297">
        <v>0.64520000000000266</v>
      </c>
      <c r="I29" s="297">
        <v>-2.910000000000057</v>
      </c>
      <c r="J29" s="297">
        <v>1.9900000000000695</v>
      </c>
      <c r="K29" s="299">
        <v>-16.299999999999937</v>
      </c>
    </row>
    <row r="30" spans="1:11" x14ac:dyDescent="0.3">
      <c r="A30" s="296">
        <v>46195</v>
      </c>
      <c r="B30" s="297" t="s">
        <v>15</v>
      </c>
      <c r="C30" s="298" t="s">
        <v>147</v>
      </c>
      <c r="D30" s="298" t="s">
        <v>149</v>
      </c>
      <c r="E30" s="297">
        <v>4.4710000000000001</v>
      </c>
      <c r="F30" s="297">
        <v>-3.5900000000000709</v>
      </c>
      <c r="G30" s="297">
        <v>12.539999999999996</v>
      </c>
      <c r="H30" s="297">
        <v>0.50159999999999982</v>
      </c>
      <c r="I30" s="297">
        <v>-2.8500000000000192</v>
      </c>
      <c r="J30" s="297">
        <v>-1.6700000000000159</v>
      </c>
      <c r="K30" s="299" t="s">
        <v>41</v>
      </c>
    </row>
    <row r="31" spans="1:11" x14ac:dyDescent="0.3">
      <c r="A31" s="296">
        <v>46195</v>
      </c>
      <c r="B31" s="297" t="s">
        <v>17</v>
      </c>
      <c r="C31" s="298" t="s">
        <v>149</v>
      </c>
      <c r="D31" s="298">
        <v>46470</v>
      </c>
      <c r="E31" s="297">
        <v>4.4400000000000004</v>
      </c>
      <c r="F31" s="297">
        <v>-3.3999999999999808</v>
      </c>
      <c r="G31" s="297">
        <v>9.1400000000000148</v>
      </c>
      <c r="H31" s="297">
        <v>0.36560000000000059</v>
      </c>
      <c r="I31" s="297">
        <v>-2.7899999999999814</v>
      </c>
      <c r="J31" s="297">
        <v>-2.4000000000000021</v>
      </c>
      <c r="K31" s="299" t="s">
        <v>41</v>
      </c>
    </row>
    <row r="32" spans="1:11" x14ac:dyDescent="0.3">
      <c r="A32" s="296">
        <v>46195</v>
      </c>
      <c r="B32" s="297"/>
      <c r="C32" s="298"/>
      <c r="D32" s="298"/>
      <c r="E32" s="297"/>
      <c r="F32" s="297"/>
      <c r="G32" s="297"/>
      <c r="H32" s="297"/>
      <c r="I32" s="297" t="s">
        <v>41</v>
      </c>
      <c r="J32" s="297">
        <v>0</v>
      </c>
      <c r="K32" s="299">
        <v>0</v>
      </c>
    </row>
    <row r="33" spans="1:11" x14ac:dyDescent="0.3">
      <c r="A33" s="296">
        <v>46195</v>
      </c>
      <c r="B33" s="297"/>
      <c r="C33" s="298"/>
      <c r="D33" s="298"/>
      <c r="E33" s="297"/>
      <c r="F33" s="297"/>
      <c r="G33" s="297"/>
      <c r="H33" s="297"/>
      <c r="I33" s="297" t="s">
        <v>41</v>
      </c>
      <c r="J33" s="297">
        <v>0</v>
      </c>
      <c r="K33" s="299">
        <v>0</v>
      </c>
    </row>
    <row r="34" spans="1:11" x14ac:dyDescent="0.3">
      <c r="A34" s="296">
        <v>46195</v>
      </c>
      <c r="B34" s="297"/>
      <c r="C34" s="298"/>
      <c r="D34" s="298"/>
      <c r="E34" s="297"/>
      <c r="F34" s="297"/>
      <c r="G34" s="297"/>
      <c r="H34" s="297"/>
      <c r="I34" s="297" t="s">
        <v>41</v>
      </c>
      <c r="J34" s="297">
        <v>0</v>
      </c>
      <c r="K34" s="299">
        <v>0</v>
      </c>
    </row>
    <row r="35" spans="1:11" x14ac:dyDescent="0.3">
      <c r="A35" s="300">
        <v>46195</v>
      </c>
      <c r="B35" s="301"/>
      <c r="C35" s="302"/>
      <c r="D35" s="302"/>
      <c r="E35" s="301"/>
      <c r="F35" s="301"/>
      <c r="G35" s="301"/>
      <c r="H35" s="301"/>
      <c r="I35" s="301" t="s">
        <v>41</v>
      </c>
      <c r="J35" s="301">
        <v>0</v>
      </c>
      <c r="K35" s="303">
        <v>0</v>
      </c>
    </row>
    <row r="36" spans="1:11" x14ac:dyDescent="0.3">
      <c r="A36" s="296">
        <v>46196</v>
      </c>
      <c r="B36" s="297" t="s">
        <v>9</v>
      </c>
      <c r="C36" s="298" t="s">
        <v>109</v>
      </c>
      <c r="D36" s="298" t="s">
        <v>110</v>
      </c>
      <c r="E36" s="297">
        <v>4.4329999999999998</v>
      </c>
      <c r="F36" s="297">
        <v>8.3000000000000185</v>
      </c>
      <c r="G36" s="297">
        <v>8.3000000000000185</v>
      </c>
      <c r="H36" s="297">
        <v>0.33200000000000074</v>
      </c>
      <c r="I36" s="297">
        <v>-0.60000000000002274</v>
      </c>
      <c r="J36" s="297">
        <v>7.299999999999951</v>
      </c>
      <c r="K36" s="299">
        <v>-10.909999999999975</v>
      </c>
    </row>
    <row r="37" spans="1:11" x14ac:dyDescent="0.3">
      <c r="A37" s="296">
        <v>46196</v>
      </c>
      <c r="B37" s="297" t="s">
        <v>10</v>
      </c>
      <c r="C37" s="298" t="s">
        <v>110</v>
      </c>
      <c r="D37" s="298" t="s">
        <v>99</v>
      </c>
      <c r="E37" s="297">
        <v>4.4530000000000003</v>
      </c>
      <c r="F37" s="297">
        <v>2.0000000000000462</v>
      </c>
      <c r="G37" s="297">
        <v>10.300000000000065</v>
      </c>
      <c r="H37" s="297">
        <v>0.41200000000000259</v>
      </c>
      <c r="I37" s="297">
        <v>-0.59999999999993392</v>
      </c>
      <c r="J37" s="297">
        <v>2.0000000000000462</v>
      </c>
      <c r="K37" s="299">
        <v>-13.839999999999986</v>
      </c>
    </row>
    <row r="38" spans="1:11" x14ac:dyDescent="0.3">
      <c r="A38" s="296">
        <v>46196</v>
      </c>
      <c r="B38" s="297" t="s">
        <v>12</v>
      </c>
      <c r="C38" s="298" t="s">
        <v>99</v>
      </c>
      <c r="D38" s="298" t="s">
        <v>111</v>
      </c>
      <c r="E38" s="297">
        <v>4.5030000000000001</v>
      </c>
      <c r="F38" s="297">
        <v>4.9999999999999822</v>
      </c>
      <c r="G38" s="297">
        <v>15.300000000000047</v>
      </c>
      <c r="H38" s="297">
        <v>0.61200000000000188</v>
      </c>
      <c r="I38" s="297">
        <v>-1.4000000000000234</v>
      </c>
      <c r="J38" s="297">
        <v>5.7999999999999829</v>
      </c>
      <c r="K38" s="299">
        <v>-15.09999999999998</v>
      </c>
    </row>
    <row r="39" spans="1:11" x14ac:dyDescent="0.3">
      <c r="A39" s="296">
        <v>46196</v>
      </c>
      <c r="B39" s="297" t="s">
        <v>13</v>
      </c>
      <c r="C39" s="298" t="s">
        <v>111</v>
      </c>
      <c r="D39" s="298" t="s">
        <v>125</v>
      </c>
      <c r="E39" s="297">
        <v>4.5018000000000002</v>
      </c>
      <c r="F39" s="297">
        <v>-0.11999999999998678</v>
      </c>
      <c r="G39" s="297">
        <v>15.18000000000006</v>
      </c>
      <c r="H39" s="297">
        <v>0.6072000000000024</v>
      </c>
      <c r="I39" s="297">
        <v>-1.1199999999999655</v>
      </c>
      <c r="J39" s="297">
        <v>3.3199999999999896</v>
      </c>
      <c r="K39" s="299">
        <v>-17.419999999999991</v>
      </c>
    </row>
    <row r="40" spans="1:11" x14ac:dyDescent="0.3">
      <c r="A40" s="296">
        <v>46196</v>
      </c>
      <c r="B40" s="297" t="s">
        <v>14</v>
      </c>
      <c r="C40" s="298" t="s">
        <v>125</v>
      </c>
      <c r="D40" s="298" t="s">
        <v>147</v>
      </c>
      <c r="E40" s="297">
        <v>4.4922000000000004</v>
      </c>
      <c r="F40" s="297">
        <v>-0.95999999999998309</v>
      </c>
      <c r="G40" s="297">
        <v>14.220000000000077</v>
      </c>
      <c r="H40" s="297">
        <v>0.56880000000000308</v>
      </c>
      <c r="I40" s="297">
        <v>-1.1799999999999145</v>
      </c>
      <c r="J40" s="297">
        <v>8.0000000000080007E-2</v>
      </c>
      <c r="K40" s="299">
        <v>-18.209999999999926</v>
      </c>
    </row>
    <row r="41" spans="1:11" x14ac:dyDescent="0.3">
      <c r="A41" s="296">
        <v>46196</v>
      </c>
      <c r="B41" s="297" t="s">
        <v>15</v>
      </c>
      <c r="C41" s="298" t="s">
        <v>147</v>
      </c>
      <c r="D41" s="298" t="s">
        <v>149</v>
      </c>
      <c r="E41" s="297">
        <v>4.4535</v>
      </c>
      <c r="F41" s="297">
        <v>-3.8700000000000401</v>
      </c>
      <c r="G41" s="297">
        <v>10.350000000000037</v>
      </c>
      <c r="H41" s="297">
        <v>0.41400000000000148</v>
      </c>
      <c r="I41" s="297">
        <v>-1.7500000000000071</v>
      </c>
      <c r="J41" s="297">
        <v>-3.8599999999999746</v>
      </c>
      <c r="K41" s="299" t="s">
        <v>41</v>
      </c>
    </row>
    <row r="42" spans="1:11" x14ac:dyDescent="0.3">
      <c r="A42" s="296">
        <v>46196</v>
      </c>
      <c r="B42" s="297" t="s">
        <v>17</v>
      </c>
      <c r="C42" s="298" t="s">
        <v>149</v>
      </c>
      <c r="D42" s="298">
        <v>46470</v>
      </c>
      <c r="E42" s="297">
        <v>4.4166999999999996</v>
      </c>
      <c r="F42" s="297">
        <v>-3.6800000000000388</v>
      </c>
      <c r="G42" s="297">
        <v>6.6699999999999982</v>
      </c>
      <c r="H42" s="297">
        <v>0.26679999999999993</v>
      </c>
      <c r="I42" s="297">
        <v>-2.3300000000000765</v>
      </c>
      <c r="J42" s="297">
        <v>-4.8700000000000188</v>
      </c>
      <c r="K42" s="299" t="s">
        <v>41</v>
      </c>
    </row>
    <row r="43" spans="1:11" x14ac:dyDescent="0.3">
      <c r="A43" s="296">
        <v>46196</v>
      </c>
      <c r="B43" s="297"/>
      <c r="C43" s="298"/>
      <c r="D43" s="298"/>
      <c r="E43" s="297"/>
      <c r="F43" s="297"/>
      <c r="G43" s="297"/>
      <c r="H43" s="297"/>
      <c r="I43" s="297">
        <v>0</v>
      </c>
      <c r="J43" s="297">
        <v>0</v>
      </c>
      <c r="K43" s="299">
        <v>0</v>
      </c>
    </row>
    <row r="44" spans="1:11" x14ac:dyDescent="0.3">
      <c r="A44" s="296">
        <v>46196</v>
      </c>
      <c r="B44" s="297"/>
      <c r="C44" s="298"/>
      <c r="D44" s="298"/>
      <c r="E44" s="297"/>
      <c r="F44" s="297"/>
      <c r="G44" s="297"/>
      <c r="H44" s="297"/>
      <c r="I44" s="297">
        <v>0</v>
      </c>
      <c r="J44" s="297">
        <v>0</v>
      </c>
      <c r="K44" s="299">
        <v>0</v>
      </c>
    </row>
    <row r="45" spans="1:11" x14ac:dyDescent="0.3">
      <c r="A45" s="296">
        <v>46196</v>
      </c>
      <c r="B45" s="297"/>
      <c r="C45" s="298"/>
      <c r="D45" s="298"/>
      <c r="E45" s="297"/>
      <c r="F45" s="297"/>
      <c r="G45" s="297"/>
      <c r="H45" s="297"/>
      <c r="I45" s="297">
        <v>0</v>
      </c>
      <c r="J45" s="297">
        <v>0</v>
      </c>
      <c r="K45" s="299">
        <v>0</v>
      </c>
    </row>
    <row r="46" spans="1:11" x14ac:dyDescent="0.3">
      <c r="A46" s="300">
        <v>46196</v>
      </c>
      <c r="B46" s="301"/>
      <c r="C46" s="302"/>
      <c r="D46" s="302"/>
      <c r="E46" s="301"/>
      <c r="F46" s="301"/>
      <c r="G46" s="301"/>
      <c r="H46" s="301"/>
      <c r="I46" s="301">
        <v>0</v>
      </c>
      <c r="J46" s="301">
        <v>0</v>
      </c>
      <c r="K46" s="303">
        <v>0</v>
      </c>
    </row>
    <row r="47" spans="1:11" x14ac:dyDescent="0.3">
      <c r="A47" s="9">
        <v>46197</v>
      </c>
      <c r="B47" s="10" t="s">
        <v>9</v>
      </c>
      <c r="C47" s="121" t="s">
        <v>109</v>
      </c>
      <c r="D47" s="121" t="s">
        <v>110</v>
      </c>
      <c r="E47" s="10">
        <v>4.4375</v>
      </c>
      <c r="F47" s="10">
        <v>8.7500000000000355</v>
      </c>
      <c r="G47" s="10">
        <v>8.7500000000000355</v>
      </c>
      <c r="H47" s="10">
        <v>0.35000000000000142</v>
      </c>
      <c r="I47" s="10">
        <v>0.45000000000001705</v>
      </c>
      <c r="J47" s="10">
        <v>0.34999999999998366</v>
      </c>
      <c r="K47" s="11">
        <v>-6.449999999999978</v>
      </c>
    </row>
    <row r="48" spans="1:11" x14ac:dyDescent="0.3">
      <c r="A48" s="9">
        <v>46197</v>
      </c>
      <c r="B48" s="10" t="s">
        <v>10</v>
      </c>
      <c r="C48" s="121" t="s">
        <v>110</v>
      </c>
      <c r="D48" s="121" t="s">
        <v>99</v>
      </c>
      <c r="E48" s="10">
        <v>4.4574999999999996</v>
      </c>
      <c r="F48" s="10">
        <v>1.9999999999999574</v>
      </c>
      <c r="G48" s="10">
        <v>10.749999999999993</v>
      </c>
      <c r="H48" s="10">
        <v>0.42999999999999972</v>
      </c>
      <c r="I48" s="10">
        <v>0.44999999999992824</v>
      </c>
      <c r="J48" s="10">
        <v>0.99999999999997868</v>
      </c>
      <c r="K48" s="11">
        <v>-9.5100000000000406</v>
      </c>
    </row>
    <row r="49" spans="1:11" x14ac:dyDescent="0.3">
      <c r="A49" s="9">
        <v>46197</v>
      </c>
      <c r="B49" s="10" t="s">
        <v>12</v>
      </c>
      <c r="C49" s="121" t="s">
        <v>99</v>
      </c>
      <c r="D49" s="121" t="s">
        <v>111</v>
      </c>
      <c r="E49" s="10">
        <v>4.5125000000000002</v>
      </c>
      <c r="F49" s="10">
        <v>5.5000000000000604</v>
      </c>
      <c r="G49" s="10">
        <v>16.250000000000053</v>
      </c>
      <c r="H49" s="10">
        <v>0.65000000000000213</v>
      </c>
      <c r="I49" s="10">
        <v>0.95000000000000639</v>
      </c>
      <c r="J49" s="10">
        <v>0.9700000000000486</v>
      </c>
      <c r="K49" s="11">
        <v>-10.409999999999986</v>
      </c>
    </row>
    <row r="50" spans="1:11" x14ac:dyDescent="0.3">
      <c r="A50" s="9">
        <v>46197</v>
      </c>
      <c r="B50" s="10" t="s">
        <v>13</v>
      </c>
      <c r="C50" s="121" t="s">
        <v>111</v>
      </c>
      <c r="D50" s="121" t="s">
        <v>125</v>
      </c>
      <c r="E50" s="10">
        <v>4.5141999999999998</v>
      </c>
      <c r="F50" s="10">
        <v>0.16999999999995907</v>
      </c>
      <c r="G50" s="10">
        <v>16.420000000000012</v>
      </c>
      <c r="H50" s="10">
        <v>0.65680000000000049</v>
      </c>
      <c r="I50" s="10">
        <v>1.2399999999999523</v>
      </c>
      <c r="J50" s="10">
        <v>1.0399999999999743</v>
      </c>
      <c r="K50" s="11">
        <v>-12.910000000000021</v>
      </c>
    </row>
    <row r="51" spans="1:11" x14ac:dyDescent="0.3">
      <c r="A51" s="9">
        <v>46197</v>
      </c>
      <c r="B51" s="10" t="s">
        <v>14</v>
      </c>
      <c r="C51" s="121" t="s">
        <v>125</v>
      </c>
      <c r="D51" s="121" t="s">
        <v>147</v>
      </c>
      <c r="E51" s="10">
        <v>4.5057</v>
      </c>
      <c r="F51" s="10">
        <v>-0.849999999999973</v>
      </c>
      <c r="G51" s="10">
        <v>15.570000000000039</v>
      </c>
      <c r="H51" s="10">
        <v>0.62280000000000157</v>
      </c>
      <c r="I51" s="10">
        <v>1.3499999999999623</v>
      </c>
      <c r="J51" s="10">
        <v>2.3500000000000298</v>
      </c>
      <c r="K51" s="11">
        <v>-13.750000000000018</v>
      </c>
    </row>
    <row r="52" spans="1:11" x14ac:dyDescent="0.3">
      <c r="A52" s="9">
        <v>46197</v>
      </c>
      <c r="B52" s="10" t="s">
        <v>15</v>
      </c>
      <c r="C52" s="121" t="s">
        <v>147</v>
      </c>
      <c r="D52" s="121" t="s">
        <v>149</v>
      </c>
      <c r="E52" s="10">
        <v>4.4652000000000003</v>
      </c>
      <c r="F52" s="10">
        <v>-4.0499999999999758</v>
      </c>
      <c r="G52" s="10">
        <v>11.520000000000064</v>
      </c>
      <c r="H52" s="10">
        <v>0.46080000000000254</v>
      </c>
      <c r="I52" s="10">
        <v>1.1700000000000266</v>
      </c>
      <c r="J52" s="10">
        <v>1.27000000000006</v>
      </c>
      <c r="K52" s="11" t="s">
        <v>41</v>
      </c>
    </row>
    <row r="53" spans="1:11" x14ac:dyDescent="0.3">
      <c r="A53" s="9">
        <v>46197</v>
      </c>
      <c r="B53" s="10" t="s">
        <v>17</v>
      </c>
      <c r="C53" s="121" t="s">
        <v>149</v>
      </c>
      <c r="D53" s="121">
        <v>46470</v>
      </c>
      <c r="E53" s="10">
        <v>4.4267000000000003</v>
      </c>
      <c r="F53" s="10">
        <v>-3.8499999999999979</v>
      </c>
      <c r="G53" s="10">
        <v>7.6700000000000657</v>
      </c>
      <c r="H53" s="10">
        <v>0.30680000000000263</v>
      </c>
      <c r="I53" s="10">
        <v>1.0000000000000675</v>
      </c>
      <c r="J53" s="10">
        <v>0.20000000000006679</v>
      </c>
      <c r="K53" s="11" t="s">
        <v>41</v>
      </c>
    </row>
    <row r="54" spans="1:11" x14ac:dyDescent="0.3">
      <c r="A54" s="9">
        <v>46197</v>
      </c>
      <c r="B54" s="10"/>
      <c r="C54" s="121"/>
      <c r="D54" s="121"/>
      <c r="E54" s="10"/>
      <c r="F54" s="10"/>
      <c r="G54" s="10"/>
      <c r="H54" s="10"/>
      <c r="I54" s="10">
        <v>0</v>
      </c>
      <c r="J54" s="10">
        <v>0</v>
      </c>
      <c r="K54" s="11">
        <v>0</v>
      </c>
    </row>
    <row r="55" spans="1:11" x14ac:dyDescent="0.3">
      <c r="A55" s="9">
        <v>46197</v>
      </c>
      <c r="B55" s="10"/>
      <c r="C55" s="121"/>
      <c r="D55" s="121"/>
      <c r="E55" s="10"/>
      <c r="F55" s="10"/>
      <c r="G55" s="10"/>
      <c r="H55" s="10"/>
      <c r="I55" s="10">
        <v>0</v>
      </c>
      <c r="J55" s="10">
        <v>0</v>
      </c>
      <c r="K55" s="11">
        <v>0</v>
      </c>
    </row>
    <row r="56" spans="1:11" x14ac:dyDescent="0.3">
      <c r="A56" s="9">
        <v>46197</v>
      </c>
      <c r="B56" s="10"/>
      <c r="C56" s="121"/>
      <c r="D56" s="121"/>
      <c r="E56" s="10"/>
      <c r="F56" s="10"/>
      <c r="G56" s="10"/>
      <c r="H56" s="10"/>
      <c r="I56" s="10">
        <v>0</v>
      </c>
      <c r="J56" s="10">
        <v>0</v>
      </c>
      <c r="K56" s="11">
        <v>0</v>
      </c>
    </row>
    <row r="57" spans="1:11" x14ac:dyDescent="0.3">
      <c r="A57" s="291">
        <v>46197</v>
      </c>
      <c r="B57" s="292"/>
      <c r="C57" s="293"/>
      <c r="D57" s="293"/>
      <c r="E57" s="292"/>
      <c r="F57" s="292"/>
      <c r="G57" s="292"/>
      <c r="H57" s="292"/>
      <c r="I57" s="292">
        <v>0</v>
      </c>
      <c r="J57" s="292">
        <v>0</v>
      </c>
      <c r="K57" s="295">
        <v>0</v>
      </c>
    </row>
    <row r="58" spans="1:11" x14ac:dyDescent="0.3">
      <c r="A58" s="347">
        <v>46198</v>
      </c>
      <c r="B58" s="348" t="s">
        <v>9</v>
      </c>
      <c r="C58" s="349" t="s">
        <v>109</v>
      </c>
      <c r="D58" s="349" t="s">
        <v>110</v>
      </c>
      <c r="E58" s="348">
        <v>4.4122000000000003</v>
      </c>
      <c r="F58" s="348">
        <v>6.2200000000000699</v>
      </c>
      <c r="G58" s="348">
        <v>6.2200000000000699</v>
      </c>
      <c r="H58" s="348">
        <v>0.2488000000000028</v>
      </c>
      <c r="I58" s="348">
        <v>-2.5299999999999656</v>
      </c>
      <c r="J58" s="348">
        <v>-2.8799999999999493</v>
      </c>
      <c r="K58" s="350">
        <v>-7.7799999999999869</v>
      </c>
    </row>
    <row r="59" spans="1:11" x14ac:dyDescent="0.3">
      <c r="A59" s="347">
        <v>46198</v>
      </c>
      <c r="B59" s="348" t="s">
        <v>10</v>
      </c>
      <c r="C59" s="349" t="s">
        <v>110</v>
      </c>
      <c r="D59" s="349" t="s">
        <v>99</v>
      </c>
      <c r="E59" s="348">
        <v>4.4231999999999996</v>
      </c>
      <c r="F59" s="348">
        <v>1.0999999999999233</v>
      </c>
      <c r="G59" s="348">
        <v>7.3199999999999932</v>
      </c>
      <c r="H59" s="348">
        <v>0.29279999999999973</v>
      </c>
      <c r="I59" s="348">
        <v>-3.4299999999999997</v>
      </c>
      <c r="J59" s="348">
        <v>-3.7800000000000722</v>
      </c>
      <c r="K59" s="350">
        <v>-10.280000000000022</v>
      </c>
    </row>
    <row r="60" spans="1:11" x14ac:dyDescent="0.3">
      <c r="A60" s="347">
        <v>46198</v>
      </c>
      <c r="B60" s="348" t="s">
        <v>12</v>
      </c>
      <c r="C60" s="349" t="s">
        <v>99</v>
      </c>
      <c r="D60" s="349" t="s">
        <v>111</v>
      </c>
      <c r="E60" s="348">
        <v>4.4741999999999997</v>
      </c>
      <c r="F60" s="348">
        <v>5.1000000000000156</v>
      </c>
      <c r="G60" s="348">
        <v>12.420000000000009</v>
      </c>
      <c r="H60" s="348">
        <v>0.49680000000000035</v>
      </c>
      <c r="I60" s="348">
        <v>-3.8300000000000445</v>
      </c>
      <c r="J60" s="348">
        <v>-3.1000000000000583</v>
      </c>
      <c r="K60" s="350">
        <v>-10.690000000000044</v>
      </c>
    </row>
    <row r="61" spans="1:11" x14ac:dyDescent="0.3">
      <c r="A61" s="347">
        <v>46198</v>
      </c>
      <c r="B61" s="348" t="s">
        <v>13</v>
      </c>
      <c r="C61" s="349" t="s">
        <v>111</v>
      </c>
      <c r="D61" s="349" t="s">
        <v>125</v>
      </c>
      <c r="E61" s="348">
        <v>4.4801000000000002</v>
      </c>
      <c r="F61" s="348">
        <v>0.59000000000004604</v>
      </c>
      <c r="G61" s="348">
        <v>13.010000000000055</v>
      </c>
      <c r="H61" s="348">
        <v>0.52040000000000219</v>
      </c>
      <c r="I61" s="348">
        <v>-3.4099999999999575</v>
      </c>
      <c r="J61" s="348">
        <v>-4.0300000000000225</v>
      </c>
      <c r="K61" s="350">
        <v>-12.000000000000011</v>
      </c>
    </row>
    <row r="62" spans="1:11" x14ac:dyDescent="0.3">
      <c r="A62" s="347">
        <v>46198</v>
      </c>
      <c r="B62" s="348" t="s">
        <v>14</v>
      </c>
      <c r="C62" s="349" t="s">
        <v>125</v>
      </c>
      <c r="D62" s="349" t="s">
        <v>147</v>
      </c>
      <c r="E62" s="348">
        <v>4.4737</v>
      </c>
      <c r="F62" s="348">
        <v>-0.64000000000001833</v>
      </c>
      <c r="G62" s="348">
        <v>12.370000000000037</v>
      </c>
      <c r="H62" s="348">
        <v>0.49480000000000146</v>
      </c>
      <c r="I62" s="348">
        <v>-3.2000000000000028</v>
      </c>
      <c r="J62" s="348">
        <v>-4.3999999999999595</v>
      </c>
      <c r="K62" s="350">
        <v>-12.38999999999999</v>
      </c>
    </row>
    <row r="63" spans="1:11" x14ac:dyDescent="0.3">
      <c r="A63" s="347">
        <v>46198</v>
      </c>
      <c r="B63" s="348" t="s">
        <v>15</v>
      </c>
      <c r="C63" s="349" t="s">
        <v>147</v>
      </c>
      <c r="D63" s="349" t="s">
        <v>149</v>
      </c>
      <c r="E63" s="348">
        <v>4.4257999999999997</v>
      </c>
      <c r="F63" s="348">
        <v>-4.7900000000000276</v>
      </c>
      <c r="G63" s="348">
        <v>7.580000000000009</v>
      </c>
      <c r="H63" s="348">
        <v>0.30320000000000036</v>
      </c>
      <c r="I63" s="348">
        <v>-3.9400000000000546</v>
      </c>
      <c r="J63" s="348">
        <v>-5.9300000000000352</v>
      </c>
      <c r="K63" s="350" t="s">
        <v>41</v>
      </c>
    </row>
    <row r="64" spans="1:11" x14ac:dyDescent="0.3">
      <c r="A64" s="347">
        <v>46198</v>
      </c>
      <c r="B64" s="348" t="s">
        <v>17</v>
      </c>
      <c r="C64" s="349" t="s">
        <v>149</v>
      </c>
      <c r="D64" s="349">
        <v>46470</v>
      </c>
      <c r="E64" s="348">
        <v>4.3799000000000001</v>
      </c>
      <c r="F64" s="348">
        <v>-4.5899999999999608</v>
      </c>
      <c r="G64" s="348">
        <v>2.9900000000000482</v>
      </c>
      <c r="H64" s="348">
        <v>0.11960000000000193</v>
      </c>
      <c r="I64" s="348">
        <v>-4.6800000000000175</v>
      </c>
      <c r="J64" s="348">
        <v>-7.43999999999998</v>
      </c>
      <c r="K64" s="350" t="s">
        <v>41</v>
      </c>
    </row>
    <row r="65" spans="1:11" x14ac:dyDescent="0.3">
      <c r="A65" s="347">
        <v>46198</v>
      </c>
      <c r="B65" s="348"/>
      <c r="C65" s="349"/>
      <c r="D65" s="349"/>
      <c r="E65" s="348"/>
      <c r="F65" s="348"/>
      <c r="G65" s="348"/>
      <c r="H65" s="348"/>
      <c r="I65" s="348">
        <v>0</v>
      </c>
      <c r="J65" s="348">
        <v>0</v>
      </c>
      <c r="K65" s="350">
        <v>0</v>
      </c>
    </row>
    <row r="66" spans="1:11" x14ac:dyDescent="0.3">
      <c r="A66" s="347">
        <v>46198</v>
      </c>
      <c r="B66" s="348"/>
      <c r="C66" s="349"/>
      <c r="D66" s="349"/>
      <c r="E66" s="348"/>
      <c r="F66" s="348"/>
      <c r="G66" s="348"/>
      <c r="H66" s="348"/>
      <c r="I66" s="348">
        <v>0</v>
      </c>
      <c r="J66" s="348">
        <v>0</v>
      </c>
      <c r="K66" s="350">
        <v>0</v>
      </c>
    </row>
    <row r="67" spans="1:11" x14ac:dyDescent="0.3">
      <c r="A67" s="347">
        <v>46198</v>
      </c>
      <c r="B67" s="348"/>
      <c r="C67" s="349"/>
      <c r="D67" s="349"/>
      <c r="E67" s="348"/>
      <c r="F67" s="348"/>
      <c r="G67" s="348"/>
      <c r="H67" s="348"/>
      <c r="I67" s="348">
        <v>0</v>
      </c>
      <c r="J67" s="348">
        <v>0</v>
      </c>
      <c r="K67" s="350">
        <v>0</v>
      </c>
    </row>
    <row r="68" spans="1:11" x14ac:dyDescent="0.3">
      <c r="A68" s="347">
        <v>46198</v>
      </c>
      <c r="B68" s="348"/>
      <c r="C68" s="349"/>
      <c r="D68" s="349"/>
      <c r="E68" s="348"/>
      <c r="F68" s="348"/>
      <c r="G68" s="348"/>
      <c r="H68" s="348"/>
      <c r="I68" s="348">
        <v>0</v>
      </c>
      <c r="J68" s="348">
        <v>0</v>
      </c>
      <c r="K68" s="350">
        <v>0</v>
      </c>
    </row>
    <row r="69" spans="1:11" x14ac:dyDescent="0.3">
      <c r="A69" s="347">
        <v>46199</v>
      </c>
      <c r="B69" s="348" t="s">
        <v>9</v>
      </c>
      <c r="C69" s="349" t="s">
        <v>109</v>
      </c>
      <c r="D69" s="349" t="s">
        <v>110</v>
      </c>
      <c r="E69" s="348">
        <v>4.4039999999999999</v>
      </c>
      <c r="F69" s="348">
        <v>5.400000000000027</v>
      </c>
      <c r="G69" s="348">
        <v>5.400000000000027</v>
      </c>
      <c r="H69" s="348">
        <v>0.21600000000000108</v>
      </c>
      <c r="I69" s="348">
        <v>-0.82000000000004292</v>
      </c>
      <c r="J69" s="348">
        <v>-3.8499999999999979</v>
      </c>
      <c r="K69" s="350">
        <v>-10.219999999999985</v>
      </c>
    </row>
    <row r="70" spans="1:11" x14ac:dyDescent="0.3">
      <c r="A70" s="347">
        <v>46199</v>
      </c>
      <c r="B70" s="348" t="s">
        <v>10</v>
      </c>
      <c r="C70" s="349" t="s">
        <v>110</v>
      </c>
      <c r="D70" s="349" t="s">
        <v>99</v>
      </c>
      <c r="E70" s="348">
        <v>4.4139999999999997</v>
      </c>
      <c r="F70" s="348">
        <v>0.99999999999997868</v>
      </c>
      <c r="G70" s="348">
        <v>6.4000000000000057</v>
      </c>
      <c r="H70" s="348">
        <v>0.25600000000000023</v>
      </c>
      <c r="I70" s="348">
        <v>-0.91999999999998749</v>
      </c>
      <c r="J70" s="348">
        <v>-4.8500000000000654</v>
      </c>
      <c r="K70" s="350">
        <v>-14.650000000000052</v>
      </c>
    </row>
    <row r="71" spans="1:11" x14ac:dyDescent="0.3">
      <c r="A71" s="347">
        <v>46199</v>
      </c>
      <c r="B71" s="348" t="s">
        <v>12</v>
      </c>
      <c r="C71" s="349" t="s">
        <v>99</v>
      </c>
      <c r="D71" s="349" t="s">
        <v>111</v>
      </c>
      <c r="E71" s="348">
        <v>4.4589999999999996</v>
      </c>
      <c r="F71" s="348">
        <v>4.4999999999999929</v>
      </c>
      <c r="G71" s="348">
        <v>10.899999999999999</v>
      </c>
      <c r="H71" s="348">
        <v>0.43599999999999994</v>
      </c>
      <c r="I71" s="348">
        <v>-1.5200000000000102</v>
      </c>
      <c r="J71" s="348">
        <v>-5.7500000000000107</v>
      </c>
      <c r="K71" s="350">
        <v>-18.179999999999996</v>
      </c>
    </row>
    <row r="72" spans="1:11" x14ac:dyDescent="0.3">
      <c r="A72" s="347">
        <v>46199</v>
      </c>
      <c r="B72" s="348" t="s">
        <v>13</v>
      </c>
      <c r="C72" s="349" t="s">
        <v>111</v>
      </c>
      <c r="D72" s="349" t="s">
        <v>125</v>
      </c>
      <c r="E72" s="348">
        <v>4.4652000000000003</v>
      </c>
      <c r="F72" s="348">
        <v>0.62000000000006494</v>
      </c>
      <c r="G72" s="348">
        <v>11.520000000000064</v>
      </c>
      <c r="H72" s="348">
        <v>0.46080000000000254</v>
      </c>
      <c r="I72" s="348">
        <v>-1.4899999999999913</v>
      </c>
      <c r="J72" s="348">
        <v>-7.0899999999999963</v>
      </c>
      <c r="K72" s="350">
        <v>-19.099999999999984</v>
      </c>
    </row>
    <row r="73" spans="1:11" x14ac:dyDescent="0.3">
      <c r="A73" s="347">
        <v>46199</v>
      </c>
      <c r="B73" s="348" t="s">
        <v>14</v>
      </c>
      <c r="C73" s="349" t="s">
        <v>125</v>
      </c>
      <c r="D73" s="349" t="s">
        <v>147</v>
      </c>
      <c r="E73" s="348">
        <v>4.4302000000000001</v>
      </c>
      <c r="F73" s="348">
        <v>-3.5000000000000142</v>
      </c>
      <c r="G73" s="348">
        <v>8.0200000000000493</v>
      </c>
      <c r="H73" s="348">
        <v>0.32080000000000197</v>
      </c>
      <c r="I73" s="348">
        <v>-4.3499999999999872</v>
      </c>
      <c r="J73" s="348">
        <v>-10.29</v>
      </c>
      <c r="K73" s="350">
        <v>-22.210000000000019</v>
      </c>
    </row>
    <row r="74" spans="1:11" x14ac:dyDescent="0.3">
      <c r="A74" s="347">
        <v>46199</v>
      </c>
      <c r="B74" s="348" t="s">
        <v>15</v>
      </c>
      <c r="C74" s="349" t="s">
        <v>147</v>
      </c>
      <c r="D74" s="349" t="s">
        <v>149</v>
      </c>
      <c r="E74" s="348">
        <v>4.4204999999999997</v>
      </c>
      <c r="F74" s="348">
        <v>-0.9700000000000486</v>
      </c>
      <c r="G74" s="348">
        <v>7.0500000000000007</v>
      </c>
      <c r="H74" s="348">
        <v>0.28200000000000003</v>
      </c>
      <c r="I74" s="348">
        <v>-0.53000000000000824</v>
      </c>
      <c r="J74" s="348">
        <v>-7.9000000000000625</v>
      </c>
      <c r="K74" s="350" t="s">
        <v>41</v>
      </c>
    </row>
    <row r="75" spans="1:11" x14ac:dyDescent="0.3">
      <c r="A75" s="347">
        <v>46199</v>
      </c>
      <c r="B75" s="348" t="s">
        <v>17</v>
      </c>
      <c r="C75" s="349" t="s">
        <v>149</v>
      </c>
      <c r="D75" s="349">
        <v>46470</v>
      </c>
      <c r="E75" s="348">
        <v>4.4127000000000001</v>
      </c>
      <c r="F75" s="348">
        <v>-0.7799999999999585</v>
      </c>
      <c r="G75" s="348">
        <v>6.2700000000000422</v>
      </c>
      <c r="H75" s="348">
        <v>0.25080000000000169</v>
      </c>
      <c r="I75" s="348">
        <v>3.279999999999994</v>
      </c>
      <c r="J75" s="348">
        <v>-5.5200000000000138</v>
      </c>
      <c r="K75" s="350" t="s">
        <v>41</v>
      </c>
    </row>
    <row r="76" spans="1:11" x14ac:dyDescent="0.3">
      <c r="A76" s="347">
        <v>46199</v>
      </c>
      <c r="B76" s="348"/>
      <c r="C76" s="349"/>
      <c r="D76" s="349"/>
      <c r="E76" s="348"/>
      <c r="F76" s="348"/>
      <c r="G76" s="348"/>
      <c r="H76" s="348"/>
      <c r="I76" s="348">
        <v>0</v>
      </c>
      <c r="J76" s="348">
        <v>0</v>
      </c>
      <c r="K76" s="350">
        <v>0</v>
      </c>
    </row>
    <row r="77" spans="1:11" x14ac:dyDescent="0.3">
      <c r="A77" s="347">
        <v>46199</v>
      </c>
      <c r="B77" s="348"/>
      <c r="C77" s="349"/>
      <c r="D77" s="349"/>
      <c r="E77" s="348"/>
      <c r="F77" s="348"/>
      <c r="G77" s="348"/>
      <c r="H77" s="348"/>
      <c r="I77" s="348">
        <v>0</v>
      </c>
      <c r="J77" s="348">
        <v>0</v>
      </c>
      <c r="K77" s="350">
        <v>0</v>
      </c>
    </row>
    <row r="78" spans="1:11" x14ac:dyDescent="0.3">
      <c r="A78" s="347">
        <v>46199</v>
      </c>
      <c r="B78" s="348"/>
      <c r="C78" s="349"/>
      <c r="D78" s="349"/>
      <c r="E78" s="348"/>
      <c r="F78" s="348"/>
      <c r="G78" s="348"/>
      <c r="H78" s="348"/>
      <c r="I78" s="348">
        <v>0</v>
      </c>
      <c r="J78" s="348">
        <v>0</v>
      </c>
      <c r="K78" s="350">
        <v>0</v>
      </c>
    </row>
    <row r="79" spans="1:11" x14ac:dyDescent="0.3">
      <c r="A79" s="351">
        <v>46199</v>
      </c>
      <c r="B79" s="352"/>
      <c r="C79" s="353"/>
      <c r="D79" s="353"/>
      <c r="E79" s="352"/>
      <c r="F79" s="352"/>
      <c r="G79" s="352"/>
      <c r="H79" s="352"/>
      <c r="I79" s="352">
        <v>0</v>
      </c>
      <c r="J79" s="352">
        <v>0</v>
      </c>
      <c r="K79" s="354">
        <v>0</v>
      </c>
    </row>
    <row r="80" spans="1:11" x14ac:dyDescent="0.3">
      <c r="A80" s="9">
        <v>46202</v>
      </c>
      <c r="B80" s="10" t="s">
        <v>9</v>
      </c>
      <c r="C80" s="121" t="s">
        <v>109</v>
      </c>
      <c r="D80" s="121" t="s">
        <v>110</v>
      </c>
      <c r="E80" s="10">
        <v>4.4115000000000002</v>
      </c>
      <c r="F80" s="10">
        <v>6.1500000000000554</v>
      </c>
      <c r="G80" s="10">
        <v>6.1500000000000554</v>
      </c>
      <c r="H80" s="10">
        <v>0.24600000000000222</v>
      </c>
      <c r="I80" s="10">
        <v>0.75000000000002842</v>
      </c>
      <c r="J80" s="10">
        <v>-2.7499999999999858</v>
      </c>
      <c r="K80" s="11">
        <v>-6.5500000000000114</v>
      </c>
    </row>
    <row r="81" spans="1:11" x14ac:dyDescent="0.3">
      <c r="A81" s="9">
        <v>46202</v>
      </c>
      <c r="B81" s="10" t="s">
        <v>10</v>
      </c>
      <c r="C81" s="121" t="s">
        <v>110</v>
      </c>
      <c r="D81" s="121" t="s">
        <v>99</v>
      </c>
      <c r="E81" s="10">
        <v>4.4215</v>
      </c>
      <c r="F81" s="10">
        <v>0.99999999999997868</v>
      </c>
      <c r="G81" s="10">
        <v>7.1500000000000341</v>
      </c>
      <c r="H81" s="10">
        <v>0.28600000000000136</v>
      </c>
      <c r="I81" s="10">
        <v>0.75000000000002842</v>
      </c>
      <c r="J81" s="10">
        <v>-3.7499999999999645</v>
      </c>
      <c r="K81" s="11">
        <v>-7.3000000000000398</v>
      </c>
    </row>
    <row r="82" spans="1:11" x14ac:dyDescent="0.3">
      <c r="A82" s="9">
        <v>46202</v>
      </c>
      <c r="B82" s="10" t="s">
        <v>12</v>
      </c>
      <c r="C82" s="121" t="s">
        <v>99</v>
      </c>
      <c r="D82" s="121" t="s">
        <v>111</v>
      </c>
      <c r="E82" s="10">
        <v>4.4702000000000002</v>
      </c>
      <c r="F82" s="10">
        <v>4.8700000000000188</v>
      </c>
      <c r="G82" s="10">
        <v>12.020000000000053</v>
      </c>
      <c r="H82" s="10">
        <v>0.48080000000000211</v>
      </c>
      <c r="I82" s="10">
        <v>1.1200000000000543</v>
      </c>
      <c r="J82" s="10">
        <v>-4.6800000000000175</v>
      </c>
      <c r="K82" s="11">
        <v>-5.3799999999999848</v>
      </c>
    </row>
    <row r="83" spans="1:11" x14ac:dyDescent="0.3">
      <c r="A83" s="9">
        <v>46202</v>
      </c>
      <c r="B83" s="10" t="s">
        <v>13</v>
      </c>
      <c r="C83" s="121" t="s">
        <v>111</v>
      </c>
      <c r="D83" s="121" t="s">
        <v>125</v>
      </c>
      <c r="E83" s="10">
        <v>4.4752000000000001</v>
      </c>
      <c r="F83" s="10">
        <v>0.49999999999998934</v>
      </c>
      <c r="G83" s="10">
        <v>12.520000000000042</v>
      </c>
      <c r="H83" s="10">
        <v>0.50080000000000169</v>
      </c>
      <c r="I83" s="10">
        <v>0.99999999999997868</v>
      </c>
      <c r="J83" s="10">
        <v>-3.7799999999999834</v>
      </c>
      <c r="K83" s="11">
        <v>-6.5100000000000158</v>
      </c>
    </row>
    <row r="84" spans="1:11" x14ac:dyDescent="0.3">
      <c r="A84" s="9">
        <v>46202</v>
      </c>
      <c r="B84" s="10" t="s">
        <v>14</v>
      </c>
      <c r="C84" s="121" t="s">
        <v>125</v>
      </c>
      <c r="D84" s="121" t="s">
        <v>147</v>
      </c>
      <c r="E84" s="10">
        <v>4.4451999999999998</v>
      </c>
      <c r="F84" s="10">
        <v>-3.0000000000000249</v>
      </c>
      <c r="G84" s="10">
        <v>9.5200000000000173</v>
      </c>
      <c r="H84" s="10">
        <v>0.38080000000000069</v>
      </c>
      <c r="I84" s="10">
        <v>1.499999999999968</v>
      </c>
      <c r="J84" s="10">
        <v>-5.8799999999999741</v>
      </c>
      <c r="K84" s="11">
        <v>-9.2100000000000293</v>
      </c>
    </row>
    <row r="85" spans="1:11" x14ac:dyDescent="0.3">
      <c r="A85" s="9">
        <v>46202</v>
      </c>
      <c r="B85" s="10" t="s">
        <v>15</v>
      </c>
      <c r="C85" s="121" t="s">
        <v>147</v>
      </c>
      <c r="D85" s="121" t="s">
        <v>149</v>
      </c>
      <c r="E85" s="10">
        <v>4.4154999999999998</v>
      </c>
      <c r="F85" s="10">
        <v>-2.970000000000006</v>
      </c>
      <c r="G85" s="10">
        <v>6.5500000000000114</v>
      </c>
      <c r="H85" s="10">
        <v>0.26200000000000045</v>
      </c>
      <c r="I85" s="10">
        <v>-0.49999999999998934</v>
      </c>
      <c r="J85" s="10">
        <v>-5.5500000000000327</v>
      </c>
      <c r="K85" s="11" t="s">
        <v>41</v>
      </c>
    </row>
    <row r="86" spans="1:11" x14ac:dyDescent="0.3">
      <c r="A86" s="9">
        <v>46202</v>
      </c>
      <c r="B86" s="10" t="s">
        <v>17</v>
      </c>
      <c r="C86" s="121" t="s">
        <v>149</v>
      </c>
      <c r="D86" s="121">
        <v>46470</v>
      </c>
      <c r="E86" s="10">
        <v>4.3875999999999999</v>
      </c>
      <c r="F86" s="10">
        <v>-2.7899999999999814</v>
      </c>
      <c r="G86" s="10">
        <v>3.76000000000003</v>
      </c>
      <c r="H86" s="10">
        <v>0.1504000000000012</v>
      </c>
      <c r="I86" s="10">
        <v>-2.5100000000000122</v>
      </c>
      <c r="J86" s="10">
        <v>-5.2400000000000446</v>
      </c>
      <c r="K86" s="11" t="s">
        <v>41</v>
      </c>
    </row>
    <row r="87" spans="1:11" x14ac:dyDescent="0.3">
      <c r="A87" s="9">
        <v>46202</v>
      </c>
      <c r="B87" s="10"/>
      <c r="C87" s="121"/>
      <c r="D87" s="121"/>
      <c r="E87" s="10"/>
      <c r="F87" s="10"/>
      <c r="G87" s="10"/>
      <c r="H87" s="10"/>
      <c r="I87" s="10">
        <v>0</v>
      </c>
      <c r="J87" s="10">
        <v>0</v>
      </c>
      <c r="K87" s="11">
        <v>0</v>
      </c>
    </row>
    <row r="88" spans="1:11" x14ac:dyDescent="0.3">
      <c r="A88" s="9">
        <v>46202</v>
      </c>
      <c r="B88" s="10"/>
      <c r="C88" s="121"/>
      <c r="D88" s="121"/>
      <c r="E88" s="10"/>
      <c r="F88" s="10"/>
      <c r="G88" s="10"/>
      <c r="H88" s="10"/>
      <c r="I88" s="10">
        <v>0</v>
      </c>
      <c r="J88" s="10">
        <v>0</v>
      </c>
      <c r="K88" s="11">
        <v>0</v>
      </c>
    </row>
    <row r="89" spans="1:11" x14ac:dyDescent="0.3">
      <c r="A89" s="9">
        <v>46202</v>
      </c>
      <c r="B89" s="10"/>
      <c r="C89" s="121"/>
      <c r="D89" s="121"/>
      <c r="E89" s="10"/>
      <c r="F89" s="10"/>
      <c r="G89" s="10"/>
      <c r="H89" s="10"/>
      <c r="I89" s="10">
        <v>0</v>
      </c>
      <c r="J89" s="10">
        <v>0</v>
      </c>
      <c r="K89" s="11">
        <v>0</v>
      </c>
    </row>
    <row r="90" spans="1:11" x14ac:dyDescent="0.3">
      <c r="A90" s="9">
        <v>46202</v>
      </c>
      <c r="B90" s="10"/>
      <c r="C90" s="121"/>
      <c r="D90" s="121"/>
      <c r="E90" s="10"/>
      <c r="F90" s="10"/>
      <c r="G90" s="10"/>
      <c r="H90" s="10"/>
      <c r="I90" s="10">
        <v>0</v>
      </c>
      <c r="J90" s="10">
        <v>0</v>
      </c>
      <c r="K90" s="11">
        <v>0</v>
      </c>
    </row>
    <row r="91" spans="1:11" x14ac:dyDescent="0.3">
      <c r="A91" s="9">
        <v>46203</v>
      </c>
      <c r="B91" s="10" t="s">
        <v>9</v>
      </c>
      <c r="C91" s="121" t="s">
        <v>109</v>
      </c>
      <c r="D91" s="121" t="s">
        <v>110</v>
      </c>
      <c r="E91" s="10">
        <v>4.4077000000000002</v>
      </c>
      <c r="F91" s="10">
        <v>5.7700000000000529</v>
      </c>
      <c r="G91" s="10">
        <v>5.7700000000000529</v>
      </c>
      <c r="H91" s="10">
        <v>0.23080000000000211</v>
      </c>
      <c r="I91" s="10">
        <v>-0.38000000000000256</v>
      </c>
      <c r="J91" s="10">
        <v>-2.5299999999999656</v>
      </c>
      <c r="K91" s="11">
        <v>-6.7299999999999471</v>
      </c>
    </row>
    <row r="92" spans="1:11" x14ac:dyDescent="0.3">
      <c r="A92" s="9">
        <v>46203</v>
      </c>
      <c r="B92" s="10" t="s">
        <v>10</v>
      </c>
      <c r="C92" s="121" t="s">
        <v>110</v>
      </c>
      <c r="D92" s="121" t="s">
        <v>99</v>
      </c>
      <c r="E92" s="10">
        <v>4.4226999999999999</v>
      </c>
      <c r="F92" s="10">
        <v>1.499999999999968</v>
      </c>
      <c r="G92" s="10">
        <v>7.2700000000000209</v>
      </c>
      <c r="H92" s="10">
        <v>0.29080000000000084</v>
      </c>
      <c r="I92" s="10">
        <v>0.11999999999998678</v>
      </c>
      <c r="J92" s="10">
        <v>-3.0300000000000438</v>
      </c>
      <c r="K92" s="11">
        <v>-9.7400000000000375</v>
      </c>
    </row>
    <row r="93" spans="1:11" x14ac:dyDescent="0.3">
      <c r="A93" s="9">
        <v>46203</v>
      </c>
      <c r="B93" s="10" t="s">
        <v>12</v>
      </c>
      <c r="C93" s="121" t="s">
        <v>99</v>
      </c>
      <c r="D93" s="121" t="s">
        <v>111</v>
      </c>
      <c r="E93" s="10">
        <v>4.4797000000000002</v>
      </c>
      <c r="F93" s="10">
        <v>5.7000000000000384</v>
      </c>
      <c r="G93" s="10">
        <v>12.970000000000059</v>
      </c>
      <c r="H93" s="10">
        <v>0.51880000000000237</v>
      </c>
      <c r="I93" s="10">
        <v>0.95000000000000639</v>
      </c>
      <c r="J93" s="10">
        <v>-2.3299999999999876</v>
      </c>
      <c r="K93" s="11">
        <v>-10.799999999999965</v>
      </c>
    </row>
    <row r="94" spans="1:11" x14ac:dyDescent="0.3">
      <c r="A94" s="9">
        <v>46203</v>
      </c>
      <c r="B94" s="10" t="s">
        <v>13</v>
      </c>
      <c r="C94" s="121" t="s">
        <v>111</v>
      </c>
      <c r="D94" s="121" t="s">
        <v>125</v>
      </c>
      <c r="E94" s="10">
        <v>4.4856999999999996</v>
      </c>
      <c r="F94" s="10">
        <v>0.59999999999993392</v>
      </c>
      <c r="G94" s="10">
        <v>13.569999999999993</v>
      </c>
      <c r="H94" s="10">
        <v>0.54279999999999973</v>
      </c>
      <c r="I94" s="10">
        <v>1.049999999999951</v>
      </c>
      <c r="J94" s="10">
        <v>-1.6100000000000669</v>
      </c>
      <c r="K94" s="11">
        <v>-10.800000000000054</v>
      </c>
    </row>
    <row r="95" spans="1:11" x14ac:dyDescent="0.3">
      <c r="A95" s="9">
        <v>46203</v>
      </c>
      <c r="B95" s="10" t="s">
        <v>14</v>
      </c>
      <c r="C95" s="121" t="s">
        <v>125</v>
      </c>
      <c r="D95" s="121" t="s">
        <v>147</v>
      </c>
      <c r="E95" s="10">
        <v>4.4607000000000001</v>
      </c>
      <c r="F95" s="10">
        <v>-2.4999999999999467</v>
      </c>
      <c r="G95" s="10">
        <v>11.070000000000046</v>
      </c>
      <c r="H95" s="10">
        <v>0.44280000000000186</v>
      </c>
      <c r="I95" s="10">
        <v>1.5500000000000291</v>
      </c>
      <c r="J95" s="10">
        <v>-3.1500000000000306</v>
      </c>
      <c r="K95" s="11">
        <v>-12.619999999999987</v>
      </c>
    </row>
    <row r="96" spans="1:11" x14ac:dyDescent="0.3">
      <c r="A96" s="9">
        <v>46203</v>
      </c>
      <c r="B96" s="10" t="s">
        <v>15</v>
      </c>
      <c r="C96" s="121" t="s">
        <v>147</v>
      </c>
      <c r="D96" s="121" t="s">
        <v>149</v>
      </c>
      <c r="E96" s="10">
        <v>4.4324000000000003</v>
      </c>
      <c r="F96" s="10">
        <v>-2.829999999999977</v>
      </c>
      <c r="G96" s="10">
        <v>8.2400000000000695</v>
      </c>
      <c r="H96" s="10">
        <v>0.32960000000000278</v>
      </c>
      <c r="I96" s="10">
        <v>1.6900000000000581</v>
      </c>
      <c r="J96" s="10">
        <v>-2.1099999999999675</v>
      </c>
      <c r="K96" s="11" t="s">
        <v>41</v>
      </c>
    </row>
    <row r="97" spans="1:11" x14ac:dyDescent="0.3">
      <c r="A97" s="9">
        <v>46203</v>
      </c>
      <c r="B97" s="10" t="s">
        <v>17</v>
      </c>
      <c r="C97" s="121" t="s">
        <v>149</v>
      </c>
      <c r="D97" s="121">
        <v>46470</v>
      </c>
      <c r="E97" s="10">
        <v>4.4059999999999997</v>
      </c>
      <c r="F97" s="10">
        <v>-2.6400000000000645</v>
      </c>
      <c r="G97" s="10">
        <v>5.600000000000005</v>
      </c>
      <c r="H97" s="10">
        <v>0.2240000000000002</v>
      </c>
      <c r="I97" s="10">
        <v>1.839999999999975</v>
      </c>
      <c r="J97" s="10">
        <v>-1.0699999999999932</v>
      </c>
      <c r="K97" s="11" t="s">
        <v>41</v>
      </c>
    </row>
    <row r="98" spans="1:11" x14ac:dyDescent="0.3">
      <c r="A98" s="9">
        <v>46203</v>
      </c>
      <c r="B98" s="10"/>
      <c r="C98" s="121"/>
      <c r="D98" s="121"/>
      <c r="E98" s="10"/>
      <c r="F98" s="10"/>
      <c r="G98" s="10"/>
      <c r="H98" s="10"/>
      <c r="I98" s="10">
        <v>0</v>
      </c>
      <c r="J98" s="10">
        <v>0</v>
      </c>
      <c r="K98" s="11">
        <v>0</v>
      </c>
    </row>
    <row r="99" spans="1:11" x14ac:dyDescent="0.3">
      <c r="A99" s="9">
        <v>46203</v>
      </c>
      <c r="B99" s="10"/>
      <c r="C99" s="121"/>
      <c r="D99" s="121"/>
      <c r="E99" s="10"/>
      <c r="F99" s="10"/>
      <c r="G99" s="10"/>
      <c r="H99" s="10"/>
      <c r="I99" s="10">
        <v>0</v>
      </c>
      <c r="J99" s="10">
        <v>0</v>
      </c>
      <c r="K99" s="11">
        <v>0</v>
      </c>
    </row>
    <row r="100" spans="1:11" x14ac:dyDescent="0.3">
      <c r="A100" s="9">
        <v>46203</v>
      </c>
      <c r="B100" s="10"/>
      <c r="C100" s="121"/>
      <c r="D100" s="121"/>
      <c r="E100" s="10"/>
      <c r="F100" s="10"/>
      <c r="G100" s="10"/>
      <c r="H100" s="10"/>
      <c r="I100" s="10">
        <v>0</v>
      </c>
      <c r="J100" s="10">
        <v>0</v>
      </c>
      <c r="K100" s="11">
        <v>0</v>
      </c>
    </row>
    <row r="101" spans="1:11" x14ac:dyDescent="0.3">
      <c r="A101" s="9">
        <v>46203</v>
      </c>
      <c r="B101" s="10"/>
      <c r="C101" s="121"/>
      <c r="D101" s="121"/>
      <c r="E101" s="10"/>
      <c r="F101" s="10"/>
      <c r="G101" s="10"/>
      <c r="H101" s="10"/>
      <c r="I101" s="10">
        <v>0</v>
      </c>
      <c r="J101" s="10">
        <v>0</v>
      </c>
      <c r="K101" s="11">
        <v>0</v>
      </c>
    </row>
    <row r="102" spans="1:11" x14ac:dyDescent="0.3">
      <c r="A102" s="9">
        <v>46204</v>
      </c>
      <c r="B102" s="10" t="s">
        <v>9</v>
      </c>
      <c r="C102" s="121" t="s">
        <v>109</v>
      </c>
      <c r="D102" s="121" t="s">
        <v>110</v>
      </c>
      <c r="E102" s="10">
        <v>4.4085999999999999</v>
      </c>
      <c r="F102" s="10">
        <v>5.8600000000000207</v>
      </c>
      <c r="G102" s="10">
        <v>5.8600000000000207</v>
      </c>
      <c r="H102" s="10">
        <v>0.23440000000000083</v>
      </c>
      <c r="I102" s="10">
        <v>8.9999999999967883E-2</v>
      </c>
      <c r="J102" s="10">
        <v>-2.8900000000000148</v>
      </c>
      <c r="K102" s="11">
        <v>-6.7899999999999849</v>
      </c>
    </row>
    <row r="103" spans="1:11" x14ac:dyDescent="0.3">
      <c r="A103" s="9">
        <v>46204</v>
      </c>
      <c r="B103" s="10" t="s">
        <v>10</v>
      </c>
      <c r="C103" s="121" t="s">
        <v>110</v>
      </c>
      <c r="D103" s="121" t="s">
        <v>99</v>
      </c>
      <c r="E103" s="10">
        <v>4.4286000000000003</v>
      </c>
      <c r="F103" s="10">
        <v>2.0000000000000462</v>
      </c>
      <c r="G103" s="10">
        <v>7.8600000000000669</v>
      </c>
      <c r="H103" s="10">
        <v>0.31440000000000268</v>
      </c>
      <c r="I103" s="10">
        <v>0.59000000000004604</v>
      </c>
      <c r="J103" s="10">
        <v>-2.889999999999926</v>
      </c>
      <c r="K103" s="11">
        <v>-9.2099999999999405</v>
      </c>
    </row>
    <row r="104" spans="1:11" x14ac:dyDescent="0.3">
      <c r="A104" s="9">
        <v>46204</v>
      </c>
      <c r="B104" s="10" t="s">
        <v>12</v>
      </c>
      <c r="C104" s="121" t="s">
        <v>99</v>
      </c>
      <c r="D104" s="121" t="s">
        <v>111</v>
      </c>
      <c r="E104" s="10">
        <v>4.4836</v>
      </c>
      <c r="F104" s="10">
        <v>5.4999999999999716</v>
      </c>
      <c r="G104" s="10">
        <v>13.360000000000039</v>
      </c>
      <c r="H104" s="10">
        <v>0.53440000000000154</v>
      </c>
      <c r="I104" s="10">
        <v>0.38999999999997925</v>
      </c>
      <c r="J104" s="10">
        <v>-2.8900000000000148</v>
      </c>
      <c r="K104" s="11">
        <v>-10.350000000000037</v>
      </c>
    </row>
    <row r="105" spans="1:11" x14ac:dyDescent="0.3">
      <c r="A105" s="9">
        <v>46204</v>
      </c>
      <c r="B105" s="10" t="s">
        <v>13</v>
      </c>
      <c r="C105" s="121" t="s">
        <v>111</v>
      </c>
      <c r="D105" s="121" t="s">
        <v>125</v>
      </c>
      <c r="E105" s="10">
        <v>4.4885999999999999</v>
      </c>
      <c r="F105" s="10">
        <v>0.49999999999998934</v>
      </c>
      <c r="G105" s="10">
        <v>13.860000000000028</v>
      </c>
      <c r="H105" s="10">
        <v>0.55440000000000111</v>
      </c>
      <c r="I105" s="10">
        <v>0.29000000000003467</v>
      </c>
      <c r="J105" s="10">
        <v>-2.5599999999999845</v>
      </c>
      <c r="K105" s="11">
        <v>-10.820000000000007</v>
      </c>
    </row>
    <row r="106" spans="1:11" x14ac:dyDescent="0.3">
      <c r="A106" s="9">
        <v>46204</v>
      </c>
      <c r="B106" s="10" t="s">
        <v>14</v>
      </c>
      <c r="C106" s="121" t="s">
        <v>125</v>
      </c>
      <c r="D106" s="121" t="s">
        <v>147</v>
      </c>
      <c r="E106" s="10">
        <v>4.4635999999999996</v>
      </c>
      <c r="F106" s="10">
        <v>-2.5000000000000355</v>
      </c>
      <c r="G106" s="10">
        <v>11.359999999999992</v>
      </c>
      <c r="H106" s="10">
        <v>0.45439999999999969</v>
      </c>
      <c r="I106" s="10">
        <v>0.28999999999994586</v>
      </c>
      <c r="J106" s="10">
        <v>-4.210000000000047</v>
      </c>
      <c r="K106" s="11">
        <v>-12.770000000000081</v>
      </c>
    </row>
    <row r="107" spans="1:11" x14ac:dyDescent="0.3">
      <c r="A107" s="9">
        <v>46204</v>
      </c>
      <c r="B107" s="10" t="s">
        <v>15</v>
      </c>
      <c r="C107" s="121" t="s">
        <v>147</v>
      </c>
      <c r="D107" s="121" t="s">
        <v>149</v>
      </c>
      <c r="E107" s="10">
        <v>4.4447000000000001</v>
      </c>
      <c r="F107" s="10">
        <v>-1.8899999999999473</v>
      </c>
      <c r="G107" s="10">
        <v>9.470000000000045</v>
      </c>
      <c r="H107" s="10">
        <v>0.3788000000000018</v>
      </c>
      <c r="I107" s="10">
        <v>1.2299999999999756</v>
      </c>
      <c r="J107" s="10">
        <v>-2.0500000000000185</v>
      </c>
      <c r="K107" s="11" t="s">
        <v>41</v>
      </c>
    </row>
    <row r="108" spans="1:11" x14ac:dyDescent="0.3">
      <c r="A108" s="9">
        <v>46204</v>
      </c>
      <c r="B108" s="10" t="s">
        <v>17</v>
      </c>
      <c r="C108" s="121" t="s">
        <v>149</v>
      </c>
      <c r="D108" s="121">
        <v>46470</v>
      </c>
      <c r="E108" s="10">
        <v>4.4276999999999997</v>
      </c>
      <c r="F108" s="10">
        <v>-1.7000000000000348</v>
      </c>
      <c r="G108" s="10">
        <v>7.7700000000000102</v>
      </c>
      <c r="H108" s="10">
        <v>0.31080000000000041</v>
      </c>
      <c r="I108" s="10">
        <v>2.1700000000000053</v>
      </c>
      <c r="J108" s="10">
        <v>9.9999999999944578E-2</v>
      </c>
      <c r="K108" s="11" t="s">
        <v>41</v>
      </c>
    </row>
    <row r="109" spans="1:11" x14ac:dyDescent="0.3">
      <c r="A109" s="9">
        <v>46204</v>
      </c>
      <c r="B109" s="10"/>
      <c r="C109" s="121"/>
      <c r="D109" s="121"/>
      <c r="E109" s="10"/>
      <c r="F109" s="10"/>
      <c r="G109" s="10"/>
      <c r="H109" s="10"/>
      <c r="I109" s="10">
        <v>0</v>
      </c>
      <c r="J109" s="10">
        <v>0</v>
      </c>
      <c r="K109" s="11">
        <v>0</v>
      </c>
    </row>
    <row r="110" spans="1:11" x14ac:dyDescent="0.3">
      <c r="A110" s="9">
        <v>46204</v>
      </c>
      <c r="B110" s="10"/>
      <c r="C110" s="121"/>
      <c r="D110" s="121"/>
      <c r="E110" s="10"/>
      <c r="F110" s="10"/>
      <c r="G110" s="10"/>
      <c r="H110" s="10"/>
      <c r="I110" s="10">
        <v>0</v>
      </c>
      <c r="J110" s="10">
        <v>0</v>
      </c>
      <c r="K110" s="11">
        <v>0</v>
      </c>
    </row>
    <row r="111" spans="1:11" x14ac:dyDescent="0.3">
      <c r="A111" s="9">
        <v>46204</v>
      </c>
      <c r="B111" s="10"/>
      <c r="C111" s="121"/>
      <c r="D111" s="121"/>
      <c r="E111" s="10"/>
      <c r="F111" s="10"/>
      <c r="G111" s="10"/>
      <c r="H111" s="10"/>
      <c r="I111" s="10">
        <v>0</v>
      </c>
      <c r="J111" s="10">
        <v>0</v>
      </c>
      <c r="K111" s="11">
        <v>0</v>
      </c>
    </row>
    <row r="112" spans="1:11" x14ac:dyDescent="0.3">
      <c r="A112" s="9">
        <v>46204</v>
      </c>
      <c r="B112" s="10"/>
      <c r="C112" s="121"/>
      <c r="D112" s="121"/>
      <c r="E112" s="10"/>
      <c r="F112" s="10"/>
      <c r="G112" s="10"/>
      <c r="H112" s="10"/>
      <c r="I112" s="10">
        <v>0</v>
      </c>
      <c r="J112" s="10">
        <v>0</v>
      </c>
      <c r="K112" s="11">
        <v>0</v>
      </c>
    </row>
    <row r="113" spans="1:11" x14ac:dyDescent="0.3">
      <c r="A113" s="9">
        <v>46205</v>
      </c>
      <c r="B113" s="10" t="s">
        <v>9</v>
      </c>
      <c r="C113" s="121" t="s">
        <v>109</v>
      </c>
      <c r="D113" s="121" t="s">
        <v>110</v>
      </c>
      <c r="E113" s="10">
        <v>4.4046000000000003</v>
      </c>
      <c r="F113" s="10">
        <v>5.4600000000000648</v>
      </c>
      <c r="G113" s="10">
        <v>5.4600000000000648</v>
      </c>
      <c r="H113" s="10">
        <v>0.21840000000000259</v>
      </c>
      <c r="I113" s="10">
        <v>-0.39999999999995595</v>
      </c>
      <c r="J113" s="10">
        <v>-0.76000000000000512</v>
      </c>
      <c r="K113" s="11">
        <v>-8.539999999999992</v>
      </c>
    </row>
    <row r="114" spans="1:11" x14ac:dyDescent="0.3">
      <c r="A114" s="9">
        <v>46205</v>
      </c>
      <c r="B114" s="10" t="s">
        <v>10</v>
      </c>
      <c r="C114" s="121" t="s">
        <v>110</v>
      </c>
      <c r="D114" s="121" t="s">
        <v>99</v>
      </c>
      <c r="E114" s="10">
        <v>4.4276</v>
      </c>
      <c r="F114" s="10">
        <v>2.2999999999999687</v>
      </c>
      <c r="G114" s="10">
        <v>7.7600000000000335</v>
      </c>
      <c r="H114" s="10">
        <v>0.31040000000000134</v>
      </c>
      <c r="I114" s="10">
        <v>-0.1000000000000334</v>
      </c>
      <c r="J114" s="10">
        <v>0.44000000000004036</v>
      </c>
      <c r="K114" s="11">
        <v>-10.12000000000004</v>
      </c>
    </row>
    <row r="115" spans="1:11" x14ac:dyDescent="0.3">
      <c r="A115" s="9">
        <v>46205</v>
      </c>
      <c r="B115" s="10" t="s">
        <v>12</v>
      </c>
      <c r="C115" s="121" t="s">
        <v>99</v>
      </c>
      <c r="D115" s="121" t="s">
        <v>111</v>
      </c>
      <c r="E115" s="10">
        <v>4.4846000000000004</v>
      </c>
      <c r="F115" s="10">
        <v>5.7000000000000384</v>
      </c>
      <c r="G115" s="10">
        <v>13.460000000000072</v>
      </c>
      <c r="H115" s="10">
        <v>0.53840000000000288</v>
      </c>
      <c r="I115" s="10">
        <v>0.1000000000000334</v>
      </c>
      <c r="J115" s="10">
        <v>1.0400000000000631</v>
      </c>
      <c r="K115" s="11">
        <v>-10.319999999999929</v>
      </c>
    </row>
    <row r="116" spans="1:11" x14ac:dyDescent="0.3">
      <c r="A116" s="9">
        <v>46205</v>
      </c>
      <c r="B116" s="10" t="s">
        <v>13</v>
      </c>
      <c r="C116" s="121" t="s">
        <v>111</v>
      </c>
      <c r="D116" s="121" t="s">
        <v>125</v>
      </c>
      <c r="E116" s="10">
        <v>4.4920999999999998</v>
      </c>
      <c r="F116" s="10">
        <v>0.7499999999999396</v>
      </c>
      <c r="G116" s="10">
        <v>14.210000000000012</v>
      </c>
      <c r="H116" s="10">
        <v>0.56840000000000046</v>
      </c>
      <c r="I116" s="10">
        <v>0.34999999999998366</v>
      </c>
      <c r="J116" s="10">
        <v>1.1999999999999567</v>
      </c>
      <c r="K116" s="11">
        <v>-11.050000000000004</v>
      </c>
    </row>
    <row r="117" spans="1:11" x14ac:dyDescent="0.3">
      <c r="A117" s="9">
        <v>46205</v>
      </c>
      <c r="B117" s="10" t="s">
        <v>14</v>
      </c>
      <c r="C117" s="121" t="s">
        <v>125</v>
      </c>
      <c r="D117" s="121" t="s">
        <v>147</v>
      </c>
      <c r="E117" s="10">
        <v>4.4771000000000001</v>
      </c>
      <c r="F117" s="10">
        <v>-1.499999999999968</v>
      </c>
      <c r="G117" s="10">
        <v>12.710000000000043</v>
      </c>
      <c r="H117" s="10">
        <v>0.50840000000000174</v>
      </c>
      <c r="I117" s="10">
        <v>1.3500000000000512</v>
      </c>
      <c r="J117" s="10">
        <v>0.34000000000000696</v>
      </c>
      <c r="K117" s="11">
        <v>-12.16999999999997</v>
      </c>
    </row>
    <row r="118" spans="1:11" x14ac:dyDescent="0.3">
      <c r="A118" s="9">
        <v>46205</v>
      </c>
      <c r="B118" s="10" t="s">
        <v>15</v>
      </c>
      <c r="C118" s="121" t="s">
        <v>147</v>
      </c>
      <c r="D118" s="121" t="s">
        <v>149</v>
      </c>
      <c r="E118" s="10">
        <v>4.4497</v>
      </c>
      <c r="F118" s="10">
        <v>-2.7400000000000091</v>
      </c>
      <c r="G118" s="10">
        <v>9.9700000000000344</v>
      </c>
      <c r="H118" s="10">
        <v>0.39880000000000138</v>
      </c>
      <c r="I118" s="10">
        <v>0.49999999999998934</v>
      </c>
      <c r="J118" s="10">
        <v>2.3900000000000254</v>
      </c>
      <c r="K118" s="11" t="s">
        <v>41</v>
      </c>
    </row>
    <row r="119" spans="1:11" x14ac:dyDescent="0.3">
      <c r="A119" s="9">
        <v>46205</v>
      </c>
      <c r="B119" s="10" t="s">
        <v>17</v>
      </c>
      <c r="C119" s="121" t="s">
        <v>149</v>
      </c>
      <c r="D119" s="121">
        <v>46470</v>
      </c>
      <c r="E119" s="10">
        <v>4.4241000000000001</v>
      </c>
      <c r="F119" s="10">
        <v>-2.5599999999999845</v>
      </c>
      <c r="G119" s="10">
        <v>7.4100000000000499</v>
      </c>
      <c r="H119" s="10">
        <v>0.296400000000002</v>
      </c>
      <c r="I119" s="10">
        <v>-0.35999999999996035</v>
      </c>
      <c r="J119" s="10">
        <v>4.4200000000000017</v>
      </c>
      <c r="K119" s="11" t="s">
        <v>41</v>
      </c>
    </row>
    <row r="120" spans="1:11" x14ac:dyDescent="0.3">
      <c r="A120" s="9">
        <v>46205</v>
      </c>
      <c r="B120" s="10"/>
      <c r="C120" s="121"/>
      <c r="D120" s="121"/>
      <c r="E120" s="10"/>
      <c r="F120" s="10"/>
      <c r="G120" s="10"/>
      <c r="H120" s="10"/>
      <c r="I120" s="10">
        <v>0</v>
      </c>
      <c r="J120" s="10">
        <v>0</v>
      </c>
      <c r="K120" s="11">
        <v>0</v>
      </c>
    </row>
    <row r="121" spans="1:11" x14ac:dyDescent="0.3">
      <c r="A121" s="9">
        <v>46205</v>
      </c>
      <c r="B121" s="10"/>
      <c r="C121" s="121"/>
      <c r="D121" s="121"/>
      <c r="E121" s="10"/>
      <c r="F121" s="10"/>
      <c r="G121" s="10"/>
      <c r="H121" s="10"/>
      <c r="I121" s="10">
        <v>0</v>
      </c>
      <c r="J121" s="10">
        <v>0</v>
      </c>
      <c r="K121" s="11">
        <v>0</v>
      </c>
    </row>
    <row r="122" spans="1:11" x14ac:dyDescent="0.3">
      <c r="A122" s="9">
        <v>46205</v>
      </c>
      <c r="B122" s="10"/>
      <c r="C122" s="121"/>
      <c r="D122" s="121"/>
      <c r="E122" s="10"/>
      <c r="F122" s="10"/>
      <c r="G122" s="10"/>
      <c r="H122" s="10"/>
      <c r="I122" s="10">
        <v>0</v>
      </c>
      <c r="J122" s="10">
        <v>0</v>
      </c>
      <c r="K122" s="11">
        <v>0</v>
      </c>
    </row>
    <row r="123" spans="1:11" x14ac:dyDescent="0.3">
      <c r="A123" s="9">
        <v>46205</v>
      </c>
      <c r="B123" s="10"/>
      <c r="C123" s="121"/>
      <c r="D123" s="121"/>
      <c r="E123" s="10"/>
      <c r="F123" s="10"/>
      <c r="G123" s="10"/>
      <c r="H123" s="10"/>
      <c r="I123" s="10">
        <v>0</v>
      </c>
      <c r="J123" s="10">
        <v>0</v>
      </c>
      <c r="K123" s="11">
        <v>0</v>
      </c>
    </row>
    <row r="124" spans="1:11" x14ac:dyDescent="0.3">
      <c r="A124" s="9">
        <v>46206</v>
      </c>
      <c r="B124" s="10" t="s">
        <v>9</v>
      </c>
      <c r="C124" s="121" t="s">
        <v>109</v>
      </c>
      <c r="D124" s="121" t="s">
        <v>110</v>
      </c>
      <c r="E124" s="10">
        <v>4.4031000000000002</v>
      </c>
      <c r="F124" s="10">
        <v>5.3100000000000591</v>
      </c>
      <c r="G124" s="10">
        <v>5.3100000000000591</v>
      </c>
      <c r="H124" s="10">
        <v>0.21240000000000236</v>
      </c>
      <c r="I124" s="10">
        <v>-0.15000000000000568</v>
      </c>
      <c r="J124" s="10">
        <v>-8.9999999999967883E-2</v>
      </c>
      <c r="K124" s="11">
        <v>-9.4899999999999984</v>
      </c>
    </row>
    <row r="125" spans="1:11" x14ac:dyDescent="0.3">
      <c r="A125" s="9">
        <v>46206</v>
      </c>
      <c r="B125" s="10" t="s">
        <v>10</v>
      </c>
      <c r="C125" s="121" t="s">
        <v>110</v>
      </c>
      <c r="D125" s="121" t="s">
        <v>99</v>
      </c>
      <c r="E125" s="10">
        <v>4.4280999999999997</v>
      </c>
      <c r="F125" s="10">
        <v>2.4999999999999467</v>
      </c>
      <c r="G125" s="10">
        <v>7.8100000000000058</v>
      </c>
      <c r="H125" s="10">
        <v>0.31240000000000023</v>
      </c>
      <c r="I125" s="10">
        <v>4.9999999999972289E-2</v>
      </c>
      <c r="J125" s="10">
        <v>1.4100000000000001</v>
      </c>
      <c r="K125" s="11">
        <v>-11.940000000000062</v>
      </c>
    </row>
    <row r="126" spans="1:11" x14ac:dyDescent="0.3">
      <c r="A126" s="9">
        <v>46206</v>
      </c>
      <c r="B126" s="10" t="s">
        <v>12</v>
      </c>
      <c r="C126" s="121" t="s">
        <v>99</v>
      </c>
      <c r="D126" s="121" t="s">
        <v>111</v>
      </c>
      <c r="E126" s="10">
        <v>4.4805999999999999</v>
      </c>
      <c r="F126" s="10">
        <v>5.2500000000000213</v>
      </c>
      <c r="G126" s="10">
        <v>13.060000000000027</v>
      </c>
      <c r="H126" s="10">
        <v>0.52240000000000109</v>
      </c>
      <c r="I126" s="10">
        <v>-0.40000000000004476</v>
      </c>
      <c r="J126" s="10">
        <v>2.1600000000000286</v>
      </c>
      <c r="K126" s="11">
        <v>-13.199999999999967</v>
      </c>
    </row>
    <row r="127" spans="1:11" x14ac:dyDescent="0.3">
      <c r="A127" s="9">
        <v>46206</v>
      </c>
      <c r="B127" s="10" t="s">
        <v>13</v>
      </c>
      <c r="C127" s="121" t="s">
        <v>111</v>
      </c>
      <c r="D127" s="121" t="s">
        <v>125</v>
      </c>
      <c r="E127" s="10">
        <v>4.4855999999999998</v>
      </c>
      <c r="F127" s="10">
        <v>0.49999999999998934</v>
      </c>
      <c r="G127" s="10">
        <v>13.560000000000016</v>
      </c>
      <c r="H127" s="10">
        <v>0.54240000000000066</v>
      </c>
      <c r="I127" s="10">
        <v>-0.64999999999999503</v>
      </c>
      <c r="J127" s="10">
        <v>2.039999999999953</v>
      </c>
      <c r="K127" s="11">
        <v>-14.250000000000007</v>
      </c>
    </row>
    <row r="128" spans="1:11" x14ac:dyDescent="0.3">
      <c r="A128" s="9">
        <v>46206</v>
      </c>
      <c r="B128" s="10" t="s">
        <v>14</v>
      </c>
      <c r="C128" s="121" t="s">
        <v>125</v>
      </c>
      <c r="D128" s="121" t="s">
        <v>147</v>
      </c>
      <c r="E128" s="10">
        <v>4.4505999999999997</v>
      </c>
      <c r="F128" s="10">
        <v>-3.5000000000000142</v>
      </c>
      <c r="G128" s="10">
        <v>10.060000000000002</v>
      </c>
      <c r="H128" s="10">
        <v>0.40240000000000009</v>
      </c>
      <c r="I128" s="10">
        <v>-2.6500000000000412</v>
      </c>
      <c r="J128" s="10">
        <v>2.039999999999953</v>
      </c>
      <c r="K128" s="11">
        <v>-17.379999999999995</v>
      </c>
    </row>
    <row r="129" spans="1:11" x14ac:dyDescent="0.3">
      <c r="A129" s="9">
        <v>46206</v>
      </c>
      <c r="B129" s="10" t="s">
        <v>15</v>
      </c>
      <c r="C129" s="121" t="s">
        <v>147</v>
      </c>
      <c r="D129" s="121" t="s">
        <v>149</v>
      </c>
      <c r="E129" s="10">
        <v>4.4271000000000003</v>
      </c>
      <c r="F129" s="10">
        <v>-2.349999999999941</v>
      </c>
      <c r="G129" s="10">
        <v>7.7100000000000612</v>
      </c>
      <c r="H129" s="10">
        <v>0.30840000000000245</v>
      </c>
      <c r="I129" s="10">
        <v>-2.2599999999999731</v>
      </c>
      <c r="J129" s="10">
        <v>0.66000000000006054</v>
      </c>
      <c r="K129" s="11" t="s">
        <v>41</v>
      </c>
    </row>
    <row r="130" spans="1:11" x14ac:dyDescent="0.3">
      <c r="A130" s="9">
        <v>46206</v>
      </c>
      <c r="B130" s="10" t="s">
        <v>17</v>
      </c>
      <c r="C130" s="121" t="s">
        <v>149</v>
      </c>
      <c r="D130" s="121">
        <v>46470</v>
      </c>
      <c r="E130" s="10">
        <v>4.4055</v>
      </c>
      <c r="F130" s="10">
        <v>-2.1600000000000286</v>
      </c>
      <c r="G130" s="10">
        <v>5.5500000000000327</v>
      </c>
      <c r="H130" s="10">
        <v>0.22200000000000131</v>
      </c>
      <c r="I130" s="10">
        <v>-1.8600000000000172</v>
      </c>
      <c r="J130" s="10">
        <v>-0.72000000000000952</v>
      </c>
      <c r="K130" s="11" t="s">
        <v>41</v>
      </c>
    </row>
    <row r="131" spans="1:11" x14ac:dyDescent="0.3">
      <c r="A131" s="9">
        <v>46206</v>
      </c>
      <c r="B131" s="10"/>
      <c r="C131" s="121"/>
      <c r="D131" s="121"/>
      <c r="E131" s="10"/>
      <c r="F131" s="10"/>
      <c r="G131" s="10"/>
      <c r="H131" s="10"/>
      <c r="I131" s="10">
        <v>0</v>
      </c>
      <c r="J131" s="10">
        <v>0</v>
      </c>
      <c r="K131" s="11">
        <v>0</v>
      </c>
    </row>
    <row r="132" spans="1:11" x14ac:dyDescent="0.3">
      <c r="A132" s="9">
        <v>46206</v>
      </c>
      <c r="B132" s="10"/>
      <c r="C132" s="121"/>
      <c r="D132" s="121"/>
      <c r="E132" s="10"/>
      <c r="F132" s="10"/>
      <c r="G132" s="10"/>
      <c r="H132" s="10"/>
      <c r="I132" s="10">
        <v>0</v>
      </c>
      <c r="J132" s="10">
        <v>0</v>
      </c>
      <c r="K132" s="11">
        <v>0</v>
      </c>
    </row>
    <row r="133" spans="1:11" x14ac:dyDescent="0.3">
      <c r="A133" s="9">
        <v>46206</v>
      </c>
      <c r="B133" s="10"/>
      <c r="C133" s="121"/>
      <c r="D133" s="121"/>
      <c r="E133" s="10"/>
      <c r="F133" s="10"/>
      <c r="G133" s="10"/>
      <c r="H133" s="10"/>
      <c r="I133" s="10">
        <v>0</v>
      </c>
      <c r="J133" s="10">
        <v>0</v>
      </c>
      <c r="K133" s="11">
        <v>0</v>
      </c>
    </row>
    <row r="134" spans="1:11" x14ac:dyDescent="0.3">
      <c r="A134" s="9">
        <v>46206</v>
      </c>
      <c r="B134" s="10"/>
      <c r="C134" s="121"/>
      <c r="D134" s="121"/>
      <c r="E134" s="10"/>
      <c r="F134" s="10"/>
      <c r="G134" s="10"/>
      <c r="H134" s="10"/>
      <c r="I134" s="10">
        <v>0</v>
      </c>
      <c r="J134" s="10">
        <v>0</v>
      </c>
      <c r="K134" s="11">
        <v>0</v>
      </c>
    </row>
    <row r="135" spans="1:11" x14ac:dyDescent="0.3">
      <c r="A135" s="416">
        <v>46209</v>
      </c>
      <c r="B135" s="417" t="s">
        <v>9</v>
      </c>
      <c r="C135" s="418" t="s">
        <v>109</v>
      </c>
      <c r="D135" s="418" t="s">
        <v>110</v>
      </c>
      <c r="E135" s="417">
        <v>4.4017999999999997</v>
      </c>
      <c r="F135" s="417">
        <v>5.1800000000000068</v>
      </c>
      <c r="G135" s="417">
        <v>5.1800000000000068</v>
      </c>
      <c r="H135" s="417">
        <v>0.20720000000000027</v>
      </c>
      <c r="I135" s="417">
        <v>-0.1300000000000523</v>
      </c>
      <c r="J135" s="417">
        <v>-0.9700000000000486</v>
      </c>
      <c r="K135" s="419">
        <v>-9.6200000000000507</v>
      </c>
    </row>
    <row r="136" spans="1:11" x14ac:dyDescent="0.3">
      <c r="A136" s="416">
        <v>46209</v>
      </c>
      <c r="B136" s="417" t="s">
        <v>10</v>
      </c>
      <c r="C136" s="418" t="s">
        <v>110</v>
      </c>
      <c r="D136" s="418" t="s">
        <v>99</v>
      </c>
      <c r="E136" s="417">
        <v>4.4218000000000002</v>
      </c>
      <c r="F136" s="417">
        <v>2.0000000000000462</v>
      </c>
      <c r="G136" s="417">
        <v>7.180000000000053</v>
      </c>
      <c r="H136" s="417">
        <v>0.28720000000000212</v>
      </c>
      <c r="I136" s="417">
        <v>-0.62999999999995282</v>
      </c>
      <c r="J136" s="417">
        <v>3.00000000000189E-2</v>
      </c>
      <c r="K136" s="419">
        <v>-12.570000000000014</v>
      </c>
    </row>
    <row r="137" spans="1:11" x14ac:dyDescent="0.3">
      <c r="A137" s="416">
        <v>46209</v>
      </c>
      <c r="B137" s="417" t="s">
        <v>12</v>
      </c>
      <c r="C137" s="418" t="s">
        <v>99</v>
      </c>
      <c r="D137" s="418" t="s">
        <v>111</v>
      </c>
      <c r="E137" s="417">
        <v>4.4680999999999997</v>
      </c>
      <c r="F137" s="417">
        <v>4.6299999999999564</v>
      </c>
      <c r="G137" s="417">
        <v>11.810000000000009</v>
      </c>
      <c r="H137" s="417">
        <v>0.47240000000000038</v>
      </c>
      <c r="I137" s="417">
        <v>-1.2500000000000178</v>
      </c>
      <c r="J137" s="417">
        <v>-0.21000000000004349</v>
      </c>
      <c r="K137" s="419">
        <v>-14.449999999999985</v>
      </c>
    </row>
    <row r="138" spans="1:11" x14ac:dyDescent="0.3">
      <c r="A138" s="416">
        <v>46209</v>
      </c>
      <c r="B138" s="417" t="s">
        <v>13</v>
      </c>
      <c r="C138" s="418" t="s">
        <v>111</v>
      </c>
      <c r="D138" s="418" t="s">
        <v>125</v>
      </c>
      <c r="E138" s="417">
        <v>4.4706000000000001</v>
      </c>
      <c r="F138" s="417">
        <v>0.25000000000003908</v>
      </c>
      <c r="G138" s="417">
        <v>12.060000000000048</v>
      </c>
      <c r="H138" s="417">
        <v>0.48240000000000194</v>
      </c>
      <c r="I138" s="417">
        <v>-1.499999999999968</v>
      </c>
      <c r="J138" s="417">
        <v>-0.45999999999999375</v>
      </c>
      <c r="K138" s="419">
        <v>-15.749999999999975</v>
      </c>
    </row>
    <row r="139" spans="1:11" x14ac:dyDescent="0.3">
      <c r="A139" s="416">
        <v>46209</v>
      </c>
      <c r="B139" s="417" t="s">
        <v>14</v>
      </c>
      <c r="C139" s="418" t="s">
        <v>125</v>
      </c>
      <c r="D139" s="418" t="s">
        <v>147</v>
      </c>
      <c r="E139" s="417">
        <v>4.4306000000000001</v>
      </c>
      <c r="F139" s="417">
        <v>-4.0000000000000036</v>
      </c>
      <c r="G139" s="417">
        <v>8.0600000000000449</v>
      </c>
      <c r="H139" s="417">
        <v>0.3224000000000018</v>
      </c>
      <c r="I139" s="417">
        <v>-1.9999999999999574</v>
      </c>
      <c r="J139" s="417">
        <v>-1.4599999999999724</v>
      </c>
      <c r="K139" s="419">
        <v>-19.379999999999953</v>
      </c>
    </row>
    <row r="140" spans="1:11" x14ac:dyDescent="0.3">
      <c r="A140" s="416">
        <v>46209</v>
      </c>
      <c r="B140" s="417" t="s">
        <v>15</v>
      </c>
      <c r="C140" s="418" t="s">
        <v>147</v>
      </c>
      <c r="D140" s="418" t="s">
        <v>149</v>
      </c>
      <c r="E140" s="417">
        <v>4.4183000000000003</v>
      </c>
      <c r="F140" s="417">
        <v>-1.2299999999999756</v>
      </c>
      <c r="G140" s="417">
        <v>6.8300000000000693</v>
      </c>
      <c r="H140" s="417">
        <v>0.27320000000000277</v>
      </c>
      <c r="I140" s="417">
        <v>-0.8799999999999919</v>
      </c>
      <c r="J140" s="417">
        <v>0.28000000000005798</v>
      </c>
      <c r="K140" s="419" t="s">
        <v>41</v>
      </c>
    </row>
    <row r="141" spans="1:11" x14ac:dyDescent="0.3">
      <c r="A141" s="416">
        <v>46209</v>
      </c>
      <c r="B141" s="417" t="s">
        <v>17</v>
      </c>
      <c r="C141" s="418" t="s">
        <v>149</v>
      </c>
      <c r="D141" s="418">
        <v>46470</v>
      </c>
      <c r="E141" s="417">
        <v>4.4078999999999997</v>
      </c>
      <c r="F141" s="417">
        <v>-1.0400000000000631</v>
      </c>
      <c r="G141" s="417">
        <v>5.7900000000000063</v>
      </c>
      <c r="H141" s="417">
        <v>0.23160000000000025</v>
      </c>
      <c r="I141" s="417">
        <v>0.23999999999997357</v>
      </c>
      <c r="J141" s="417">
        <v>2.0299999999999763</v>
      </c>
      <c r="K141" s="419" t="s">
        <v>41</v>
      </c>
    </row>
    <row r="142" spans="1:11" x14ac:dyDescent="0.3">
      <c r="A142" s="416">
        <v>46209</v>
      </c>
      <c r="B142" s="417"/>
      <c r="C142" s="418"/>
      <c r="D142" s="418"/>
      <c r="E142" s="417"/>
      <c r="F142" s="417"/>
      <c r="G142" s="417"/>
      <c r="H142" s="417"/>
      <c r="I142" s="417">
        <v>0</v>
      </c>
      <c r="J142" s="417">
        <v>0</v>
      </c>
      <c r="K142" s="419">
        <v>0</v>
      </c>
    </row>
    <row r="143" spans="1:11" x14ac:dyDescent="0.3">
      <c r="A143" s="416">
        <v>46209</v>
      </c>
      <c r="B143" s="417"/>
      <c r="C143" s="418"/>
      <c r="D143" s="418"/>
      <c r="E143" s="417"/>
      <c r="F143" s="417"/>
      <c r="G143" s="417"/>
      <c r="H143" s="417"/>
      <c r="I143" s="417">
        <v>0</v>
      </c>
      <c r="J143" s="417">
        <v>0</v>
      </c>
      <c r="K143" s="419">
        <v>0</v>
      </c>
    </row>
    <row r="144" spans="1:11" x14ac:dyDescent="0.3">
      <c r="A144" s="416">
        <v>46209</v>
      </c>
      <c r="B144" s="417"/>
      <c r="C144" s="418"/>
      <c r="D144" s="418"/>
      <c r="E144" s="417"/>
      <c r="F144" s="417"/>
      <c r="G144" s="417"/>
      <c r="H144" s="417"/>
      <c r="I144" s="417">
        <v>0</v>
      </c>
      <c r="J144" s="417">
        <v>0</v>
      </c>
      <c r="K144" s="419">
        <v>0</v>
      </c>
    </row>
    <row r="145" spans="1:11" x14ac:dyDescent="0.3">
      <c r="A145" s="416">
        <v>46209</v>
      </c>
      <c r="B145" s="417"/>
      <c r="C145" s="418"/>
      <c r="D145" s="418"/>
      <c r="E145" s="417"/>
      <c r="F145" s="417"/>
      <c r="G145" s="417"/>
      <c r="H145" s="417"/>
      <c r="I145" s="417">
        <v>0</v>
      </c>
      <c r="J145" s="417">
        <v>0</v>
      </c>
      <c r="K145" s="419">
        <v>0</v>
      </c>
    </row>
    <row r="146" spans="1:11" x14ac:dyDescent="0.3">
      <c r="A146" s="9">
        <v>46210</v>
      </c>
      <c r="B146" s="10" t="s">
        <v>9</v>
      </c>
      <c r="C146" s="121" t="s">
        <v>109</v>
      </c>
      <c r="D146" s="121" t="s">
        <v>110</v>
      </c>
      <c r="E146" s="10">
        <v>4.3998999999999997</v>
      </c>
      <c r="F146" s="10">
        <v>4.9900000000000055</v>
      </c>
      <c r="G146" s="10">
        <v>4.9900000000000055</v>
      </c>
      <c r="H146" s="10">
        <v>0.19960000000000022</v>
      </c>
      <c r="I146" s="10">
        <v>-0.19000000000000128</v>
      </c>
      <c r="J146" s="10">
        <v>-0.78000000000004732</v>
      </c>
      <c r="K146" s="11">
        <v>-9.610000000000074</v>
      </c>
    </row>
    <row r="147" spans="1:11" x14ac:dyDescent="0.3">
      <c r="A147" s="9">
        <v>46210</v>
      </c>
      <c r="B147" s="10" t="s">
        <v>10</v>
      </c>
      <c r="C147" s="121" t="s">
        <v>110</v>
      </c>
      <c r="D147" s="121" t="s">
        <v>99</v>
      </c>
      <c r="E147" s="10">
        <v>4.4249000000000001</v>
      </c>
      <c r="F147" s="10">
        <v>2.5000000000000355</v>
      </c>
      <c r="G147" s="10">
        <v>7.4900000000000411</v>
      </c>
      <c r="H147" s="10">
        <v>0.29960000000000164</v>
      </c>
      <c r="I147" s="10">
        <v>0.30999999999998806</v>
      </c>
      <c r="J147" s="10">
        <v>0.22000000000002018</v>
      </c>
      <c r="K147" s="11">
        <v>-12.270000000000003</v>
      </c>
    </row>
    <row r="148" spans="1:11" x14ac:dyDescent="0.3">
      <c r="A148" s="9">
        <v>46210</v>
      </c>
      <c r="B148" s="10" t="s">
        <v>12</v>
      </c>
      <c r="C148" s="121" t="s">
        <v>99</v>
      </c>
      <c r="D148" s="121" t="s">
        <v>111</v>
      </c>
      <c r="E148" s="10">
        <v>4.4724000000000004</v>
      </c>
      <c r="F148" s="10">
        <v>4.750000000000032</v>
      </c>
      <c r="G148" s="10">
        <v>12.240000000000073</v>
      </c>
      <c r="H148" s="10">
        <v>0.48960000000000292</v>
      </c>
      <c r="I148" s="10">
        <v>0.43000000000006366</v>
      </c>
      <c r="J148" s="10">
        <v>-0.72999999999998622</v>
      </c>
      <c r="K148" s="11">
        <v>-15.84999999999992</v>
      </c>
    </row>
    <row r="149" spans="1:11" x14ac:dyDescent="0.3">
      <c r="A149" s="9">
        <v>46210</v>
      </c>
      <c r="B149" s="10" t="s">
        <v>13</v>
      </c>
      <c r="C149" s="121" t="s">
        <v>111</v>
      </c>
      <c r="D149" s="121" t="s">
        <v>125</v>
      </c>
      <c r="E149" s="10">
        <v>4.4774000000000003</v>
      </c>
      <c r="F149" s="10">
        <v>0.49999999999998934</v>
      </c>
      <c r="G149" s="10">
        <v>12.740000000000062</v>
      </c>
      <c r="H149" s="10">
        <v>0.5096000000000025</v>
      </c>
      <c r="I149" s="10">
        <v>0.68000000000001393</v>
      </c>
      <c r="J149" s="10">
        <v>-0.82999999999993079</v>
      </c>
      <c r="K149" s="11">
        <v>-15.839999999999943</v>
      </c>
    </row>
    <row r="150" spans="1:11" x14ac:dyDescent="0.3">
      <c r="A150" s="9">
        <v>46210</v>
      </c>
      <c r="B150" s="10" t="s">
        <v>14</v>
      </c>
      <c r="C150" s="121" t="s">
        <v>125</v>
      </c>
      <c r="D150" s="121" t="s">
        <v>147</v>
      </c>
      <c r="E150" s="10">
        <v>4.4424000000000001</v>
      </c>
      <c r="F150" s="10">
        <v>-3.5000000000000142</v>
      </c>
      <c r="G150" s="10">
        <v>9.2400000000000482</v>
      </c>
      <c r="H150" s="10">
        <v>0.36960000000000193</v>
      </c>
      <c r="I150" s="10">
        <v>1.1800000000000033</v>
      </c>
      <c r="J150" s="10">
        <v>-1.8299999999999983</v>
      </c>
      <c r="K150" s="11">
        <v>-18.609999999999971</v>
      </c>
    </row>
    <row r="151" spans="1:11" x14ac:dyDescent="0.3">
      <c r="A151" s="9">
        <v>46210</v>
      </c>
      <c r="B151" s="10" t="s">
        <v>15</v>
      </c>
      <c r="C151" s="121" t="s">
        <v>147</v>
      </c>
      <c r="D151" s="121" t="s">
        <v>149</v>
      </c>
      <c r="E151" s="10">
        <v>4.4257999999999997</v>
      </c>
      <c r="F151" s="10">
        <v>-1.6600000000000392</v>
      </c>
      <c r="G151" s="10">
        <v>7.580000000000009</v>
      </c>
      <c r="H151" s="10">
        <v>0.30320000000000036</v>
      </c>
      <c r="I151" s="10">
        <v>0.7499999999999396</v>
      </c>
      <c r="J151" s="10">
        <v>-0.66000000000006054</v>
      </c>
      <c r="K151" s="11" t="s">
        <v>41</v>
      </c>
    </row>
    <row r="152" spans="1:11" x14ac:dyDescent="0.3">
      <c r="A152" s="9">
        <v>46210</v>
      </c>
      <c r="B152" s="10" t="s">
        <v>17</v>
      </c>
      <c r="C152" s="121" t="s">
        <v>149</v>
      </c>
      <c r="D152" s="121">
        <v>46470</v>
      </c>
      <c r="E152" s="10">
        <v>4.4111000000000002</v>
      </c>
      <c r="F152" s="10">
        <v>-1.4699999999999491</v>
      </c>
      <c r="G152" s="10">
        <v>6.1100000000000598</v>
      </c>
      <c r="H152" s="10">
        <v>0.24440000000000239</v>
      </c>
      <c r="I152" s="10">
        <v>0.32000000000005357</v>
      </c>
      <c r="J152" s="10">
        <v>0.51000000000005485</v>
      </c>
      <c r="K152" s="11" t="s">
        <v>41</v>
      </c>
    </row>
    <row r="153" spans="1:11" x14ac:dyDescent="0.3">
      <c r="A153" s="9">
        <v>46210</v>
      </c>
      <c r="B153" s="10"/>
      <c r="C153" s="121"/>
      <c r="D153" s="121"/>
      <c r="E153" s="10"/>
      <c r="F153" s="10"/>
      <c r="G153" s="10"/>
      <c r="H153" s="10"/>
      <c r="I153" s="10">
        <v>0</v>
      </c>
      <c r="J153" s="10">
        <v>0</v>
      </c>
      <c r="K153" s="11">
        <v>0</v>
      </c>
    </row>
    <row r="154" spans="1:11" x14ac:dyDescent="0.3">
      <c r="A154" s="9">
        <v>46210</v>
      </c>
      <c r="B154" s="10"/>
      <c r="C154" s="121"/>
      <c r="D154" s="121"/>
      <c r="E154" s="10"/>
      <c r="F154" s="10"/>
      <c r="G154" s="10"/>
      <c r="H154" s="10"/>
      <c r="I154" s="10">
        <v>0</v>
      </c>
      <c r="J154" s="10">
        <v>0</v>
      </c>
      <c r="K154" s="11">
        <v>0</v>
      </c>
    </row>
    <row r="155" spans="1:11" x14ac:dyDescent="0.3">
      <c r="A155" s="9">
        <v>46210</v>
      </c>
      <c r="B155" s="10"/>
      <c r="C155" s="121"/>
      <c r="D155" s="121"/>
      <c r="E155" s="10"/>
      <c r="F155" s="10"/>
      <c r="G155" s="10"/>
      <c r="H155" s="10"/>
      <c r="I155" s="10">
        <v>0</v>
      </c>
      <c r="J155" s="10">
        <v>0</v>
      </c>
      <c r="K155" s="11">
        <v>0</v>
      </c>
    </row>
    <row r="156" spans="1:11" x14ac:dyDescent="0.3">
      <c r="A156" s="9">
        <v>46210</v>
      </c>
      <c r="B156" s="10"/>
      <c r="C156" s="121"/>
      <c r="D156" s="121"/>
      <c r="E156" s="10"/>
      <c r="F156" s="10"/>
      <c r="G156" s="10"/>
      <c r="H156" s="10"/>
      <c r="I156" s="10">
        <v>0</v>
      </c>
      <c r="J156" s="10">
        <v>0</v>
      </c>
      <c r="K156" s="11">
        <v>0</v>
      </c>
    </row>
    <row r="157" spans="1:11" x14ac:dyDescent="0.3">
      <c r="A157" s="9">
        <v>46211</v>
      </c>
      <c r="B157" s="10" t="s">
        <v>9</v>
      </c>
      <c r="C157" s="121" t="s">
        <v>109</v>
      </c>
      <c r="D157" s="121" t="s">
        <v>110</v>
      </c>
      <c r="E157" s="10">
        <v>4.4173999999999998</v>
      </c>
      <c r="F157" s="10">
        <v>6.7400000000000126</v>
      </c>
      <c r="G157" s="10">
        <v>6.7400000000000126</v>
      </c>
      <c r="H157" s="10">
        <v>0.26960000000000051</v>
      </c>
      <c r="I157" s="10">
        <v>1.7500000000000071</v>
      </c>
      <c r="J157" s="10">
        <v>0.8799999999999919</v>
      </c>
      <c r="K157" s="11">
        <v>-8.9599999999999902</v>
      </c>
    </row>
    <row r="158" spans="1:11" x14ac:dyDescent="0.3">
      <c r="A158" s="9">
        <v>46211</v>
      </c>
      <c r="B158" s="10" t="s">
        <v>10</v>
      </c>
      <c r="C158" s="121" t="s">
        <v>110</v>
      </c>
      <c r="D158" s="121" t="s">
        <v>99</v>
      </c>
      <c r="E158" s="10">
        <v>4.4523999999999999</v>
      </c>
      <c r="F158" s="10">
        <v>3.5000000000000142</v>
      </c>
      <c r="G158" s="10">
        <v>10.240000000000027</v>
      </c>
      <c r="H158" s="10">
        <v>0.40960000000000107</v>
      </c>
      <c r="I158" s="10">
        <v>2.7499999999999858</v>
      </c>
      <c r="J158" s="10">
        <v>2.3799999999999599</v>
      </c>
      <c r="K158" s="11">
        <v>-9.8600000000000243</v>
      </c>
    </row>
    <row r="159" spans="1:11" x14ac:dyDescent="0.3">
      <c r="A159" s="9">
        <v>46211</v>
      </c>
      <c r="B159" s="10" t="s">
        <v>12</v>
      </c>
      <c r="C159" s="121" t="s">
        <v>99</v>
      </c>
      <c r="D159" s="121" t="s">
        <v>111</v>
      </c>
      <c r="E159" s="10">
        <v>4.5148999999999999</v>
      </c>
      <c r="F159" s="10">
        <v>6.25</v>
      </c>
      <c r="G159" s="10">
        <v>16.490000000000027</v>
      </c>
      <c r="H159" s="10">
        <v>0.65960000000000107</v>
      </c>
      <c r="I159" s="10">
        <v>4.2499999999999538</v>
      </c>
      <c r="J159" s="10">
        <v>3.1299999999999883</v>
      </c>
      <c r="K159" s="11">
        <v>-10.789999999999988</v>
      </c>
    </row>
    <row r="160" spans="1:11" x14ac:dyDescent="0.3">
      <c r="A160" s="9">
        <v>46211</v>
      </c>
      <c r="B160" s="10" t="s">
        <v>13</v>
      </c>
      <c r="C160" s="121" t="s">
        <v>111</v>
      </c>
      <c r="D160" s="121" t="s">
        <v>125</v>
      </c>
      <c r="E160" s="10">
        <v>4.5248999999999997</v>
      </c>
      <c r="F160" s="10">
        <v>0.99999999999997868</v>
      </c>
      <c r="G160" s="10">
        <v>17.490000000000006</v>
      </c>
      <c r="H160" s="10">
        <v>0.69960000000000022</v>
      </c>
      <c r="I160" s="10">
        <v>4.7499999999999432</v>
      </c>
      <c r="J160" s="10">
        <v>3.6299999999999777</v>
      </c>
      <c r="K160" s="11">
        <v>-11.670000000000069</v>
      </c>
    </row>
    <row r="161" spans="1:11" x14ac:dyDescent="0.3">
      <c r="A161" s="9">
        <v>46211</v>
      </c>
      <c r="B161" s="10" t="s">
        <v>14</v>
      </c>
      <c r="C161" s="121" t="s">
        <v>125</v>
      </c>
      <c r="D161" s="121" t="s">
        <v>147</v>
      </c>
      <c r="E161" s="10">
        <v>4.5049000000000001</v>
      </c>
      <c r="F161" s="10">
        <v>-1.9999999999999574</v>
      </c>
      <c r="G161" s="10">
        <v>15.490000000000048</v>
      </c>
      <c r="H161" s="10">
        <v>0.61960000000000193</v>
      </c>
      <c r="I161" s="10">
        <v>6.25</v>
      </c>
      <c r="J161" s="10">
        <v>4.1300000000000558</v>
      </c>
      <c r="K161" s="11">
        <v>-13.410000000000011</v>
      </c>
    </row>
    <row r="162" spans="1:11" x14ac:dyDescent="0.3">
      <c r="A162" s="9">
        <v>46211</v>
      </c>
      <c r="B162" s="10" t="s">
        <v>15</v>
      </c>
      <c r="C162" s="121" t="s">
        <v>147</v>
      </c>
      <c r="D162" s="121" t="s">
        <v>149</v>
      </c>
      <c r="E162" s="10">
        <v>4.5037000000000003</v>
      </c>
      <c r="F162" s="10">
        <v>-0.11999999999998678</v>
      </c>
      <c r="G162" s="10">
        <v>15.370000000000061</v>
      </c>
      <c r="H162" s="10">
        <v>0.61480000000000246</v>
      </c>
      <c r="I162" s="10">
        <v>7.7900000000000524</v>
      </c>
      <c r="J162" s="10">
        <v>5.9000000000000163</v>
      </c>
      <c r="K162" s="11" t="s">
        <v>41</v>
      </c>
    </row>
    <row r="163" spans="1:11" x14ac:dyDescent="0.3">
      <c r="A163" s="9">
        <v>46211</v>
      </c>
      <c r="B163" s="10" t="s">
        <v>17</v>
      </c>
      <c r="C163" s="121" t="s">
        <v>149</v>
      </c>
      <c r="D163" s="121">
        <v>46470</v>
      </c>
      <c r="E163" s="10">
        <v>4.5044000000000004</v>
      </c>
      <c r="F163" s="10">
        <v>7.0000000000014495E-2</v>
      </c>
      <c r="G163" s="10">
        <v>15.440000000000076</v>
      </c>
      <c r="H163" s="10">
        <v>0.61760000000000304</v>
      </c>
      <c r="I163" s="10">
        <v>9.3300000000000161</v>
      </c>
      <c r="J163" s="10">
        <v>7.6700000000000657</v>
      </c>
      <c r="K163" s="11" t="s">
        <v>41</v>
      </c>
    </row>
    <row r="164" spans="1:11" x14ac:dyDescent="0.3">
      <c r="A164" s="9">
        <v>46211</v>
      </c>
      <c r="B164" s="10"/>
      <c r="C164" s="121"/>
      <c r="D164" s="121"/>
      <c r="E164" s="10"/>
      <c r="F164" s="10"/>
      <c r="G164" s="10"/>
      <c r="H164" s="10"/>
      <c r="I164" s="10">
        <v>0</v>
      </c>
      <c r="J164" s="10">
        <v>0</v>
      </c>
      <c r="K164" s="11">
        <v>0</v>
      </c>
    </row>
    <row r="165" spans="1:11" x14ac:dyDescent="0.3">
      <c r="A165" s="9">
        <v>46211</v>
      </c>
      <c r="B165" s="10"/>
      <c r="C165" s="121"/>
      <c r="D165" s="121"/>
      <c r="E165" s="10"/>
      <c r="F165" s="10"/>
      <c r="G165" s="10"/>
      <c r="H165" s="10"/>
      <c r="I165" s="10">
        <v>0</v>
      </c>
      <c r="J165" s="10">
        <v>0</v>
      </c>
      <c r="K165" s="11">
        <v>0</v>
      </c>
    </row>
    <row r="166" spans="1:11" x14ac:dyDescent="0.3">
      <c r="A166" s="9">
        <v>46211</v>
      </c>
      <c r="B166" s="10"/>
      <c r="C166" s="121"/>
      <c r="D166" s="121"/>
      <c r="E166" s="10"/>
      <c r="F166" s="10"/>
      <c r="G166" s="10"/>
      <c r="H166" s="10"/>
      <c r="I166" s="10">
        <v>0</v>
      </c>
      <c r="J166" s="10">
        <v>0</v>
      </c>
      <c r="K166" s="11">
        <v>0</v>
      </c>
    </row>
    <row r="167" spans="1:11" x14ac:dyDescent="0.3">
      <c r="A167" s="9">
        <v>46211</v>
      </c>
      <c r="B167" s="10"/>
      <c r="C167" s="121"/>
      <c r="D167" s="121"/>
      <c r="E167" s="10"/>
      <c r="F167" s="10"/>
      <c r="G167" s="10"/>
      <c r="H167" s="10"/>
      <c r="I167" s="10">
        <v>0</v>
      </c>
      <c r="J167" s="10">
        <v>0</v>
      </c>
      <c r="K167" s="11">
        <v>0</v>
      </c>
    </row>
    <row r="168" spans="1:11" x14ac:dyDescent="0.3">
      <c r="A168" s="435">
        <v>46212</v>
      </c>
      <c r="B168" s="10" t="s">
        <v>9</v>
      </c>
      <c r="C168" s="121" t="s">
        <v>109</v>
      </c>
      <c r="D168" s="121" t="s">
        <v>110</v>
      </c>
      <c r="E168" s="436">
        <v>4.4071999999999996</v>
      </c>
      <c r="F168" s="436"/>
      <c r="G168" s="436"/>
      <c r="H168" s="436"/>
      <c r="I168" s="436">
        <v>4.4173999999999998</v>
      </c>
      <c r="J168" s="10">
        <v>0</v>
      </c>
      <c r="K168" s="11">
        <v>0</v>
      </c>
    </row>
    <row r="169" spans="1:11" x14ac:dyDescent="0.3">
      <c r="A169" s="435">
        <v>46212</v>
      </c>
      <c r="B169" s="10" t="s">
        <v>10</v>
      </c>
      <c r="C169" s="121" t="s">
        <v>110</v>
      </c>
      <c r="D169" s="121" t="s">
        <v>99</v>
      </c>
      <c r="E169" s="432">
        <v>4.4371999999999998</v>
      </c>
      <c r="F169" s="432"/>
      <c r="G169" s="432"/>
      <c r="H169" s="432"/>
      <c r="I169" s="432">
        <v>4.4523999999999999</v>
      </c>
      <c r="J169" s="10">
        <v>0</v>
      </c>
      <c r="K169" s="11">
        <v>0</v>
      </c>
    </row>
    <row r="170" spans="1:11" x14ac:dyDescent="0.3">
      <c r="A170" s="435">
        <v>46212</v>
      </c>
      <c r="B170" s="10" t="s">
        <v>12</v>
      </c>
      <c r="C170" s="121" t="s">
        <v>99</v>
      </c>
      <c r="D170" s="121" t="s">
        <v>111</v>
      </c>
      <c r="E170" s="432">
        <v>4.4946999999999999</v>
      </c>
      <c r="F170" s="432"/>
      <c r="G170" s="432"/>
      <c r="H170" s="432"/>
      <c r="I170" s="432">
        <v>4.5148999999999999</v>
      </c>
      <c r="J170" s="10">
        <v>0</v>
      </c>
      <c r="K170" s="11">
        <v>0</v>
      </c>
    </row>
    <row r="171" spans="1:11" x14ac:dyDescent="0.3">
      <c r="A171" s="435">
        <v>46212</v>
      </c>
      <c r="B171" s="10" t="s">
        <v>13</v>
      </c>
      <c r="C171" s="121" t="s">
        <v>111</v>
      </c>
      <c r="D171" s="121" t="s">
        <v>125</v>
      </c>
      <c r="E171" s="432">
        <v>4.4996999999999998</v>
      </c>
      <c r="F171" s="432"/>
      <c r="G171" s="432"/>
      <c r="H171" s="432"/>
      <c r="I171" s="432">
        <v>4.5248999999999997</v>
      </c>
      <c r="J171" s="10">
        <v>0</v>
      </c>
      <c r="K171" s="11">
        <v>0</v>
      </c>
    </row>
    <row r="172" spans="1:11" x14ac:dyDescent="0.3">
      <c r="A172" s="435">
        <v>46212</v>
      </c>
      <c r="B172" s="10" t="s">
        <v>14</v>
      </c>
      <c r="C172" s="121" t="s">
        <v>125</v>
      </c>
      <c r="D172" s="121" t="s">
        <v>147</v>
      </c>
      <c r="E172" s="432">
        <v>4.4646999999999997</v>
      </c>
      <c r="F172" s="432"/>
      <c r="G172" s="432"/>
      <c r="H172" s="432"/>
      <c r="I172" s="432">
        <v>4.5049000000000001</v>
      </c>
      <c r="J172" s="10">
        <v>0</v>
      </c>
      <c r="K172" s="11">
        <v>0</v>
      </c>
    </row>
    <row r="173" spans="1:11" x14ac:dyDescent="0.3">
      <c r="A173" s="435">
        <v>46212</v>
      </c>
      <c r="B173" s="10" t="s">
        <v>15</v>
      </c>
      <c r="C173" s="121" t="s">
        <v>147</v>
      </c>
      <c r="D173" s="121" t="s">
        <v>149</v>
      </c>
      <c r="E173" s="432">
        <v>4.4488000000000003</v>
      </c>
      <c r="F173" s="432"/>
      <c r="G173" s="432"/>
      <c r="H173" s="432"/>
      <c r="I173" s="432">
        <v>4.5037000000000003</v>
      </c>
      <c r="J173" s="10">
        <v>0</v>
      </c>
      <c r="K173" s="11">
        <v>0</v>
      </c>
    </row>
    <row r="174" spans="1:11" x14ac:dyDescent="0.3">
      <c r="A174" s="435">
        <v>46212</v>
      </c>
      <c r="B174" s="10" t="s">
        <v>17</v>
      </c>
      <c r="C174" s="121" t="s">
        <v>149</v>
      </c>
      <c r="D174" s="121">
        <v>46470</v>
      </c>
      <c r="E174" s="432">
        <v>4.4348999999999998</v>
      </c>
      <c r="F174" s="432"/>
      <c r="G174" s="432"/>
      <c r="H174" s="432"/>
      <c r="I174" s="432">
        <v>4.5044000000000004</v>
      </c>
      <c r="J174" s="10">
        <v>0</v>
      </c>
      <c r="K174" s="11">
        <v>0</v>
      </c>
    </row>
    <row r="175" spans="1:11" x14ac:dyDescent="0.3">
      <c r="A175" s="431">
        <v>46213</v>
      </c>
      <c r="B175" s="432" t="s">
        <v>9</v>
      </c>
      <c r="C175" s="433" t="s">
        <v>109</v>
      </c>
      <c r="D175" s="433" t="s">
        <v>110</v>
      </c>
      <c r="E175" s="432">
        <v>4.4074999999999998</v>
      </c>
      <c r="F175" s="432">
        <v>5.7500000000000107</v>
      </c>
      <c r="G175" s="432">
        <v>5.7500000000000107</v>
      </c>
      <c r="H175" s="432">
        <v>0.23000000000000043</v>
      </c>
      <c r="I175" s="432">
        <v>3.00000000000189E-2</v>
      </c>
      <c r="J175" s="432">
        <v>0.43999999999995154</v>
      </c>
      <c r="K175" s="434">
        <v>-4.2500000000000426</v>
      </c>
    </row>
    <row r="176" spans="1:11" x14ac:dyDescent="0.3">
      <c r="A176" s="431">
        <v>46213</v>
      </c>
      <c r="B176" s="432" t="s">
        <v>10</v>
      </c>
      <c r="C176" s="433" t="s">
        <v>110</v>
      </c>
      <c r="D176" s="433" t="s">
        <v>99</v>
      </c>
      <c r="E176" s="432">
        <v>4.4364999999999997</v>
      </c>
      <c r="F176" s="432">
        <v>2.8999999999999915</v>
      </c>
      <c r="G176" s="432">
        <v>8.6500000000000021</v>
      </c>
      <c r="H176" s="432">
        <v>0.34600000000000009</v>
      </c>
      <c r="I176" s="432">
        <v>-7.0000000000014495E-2</v>
      </c>
      <c r="J176" s="432">
        <v>0.83999999999999631</v>
      </c>
      <c r="K176" s="434">
        <v>-3.7700000000000067</v>
      </c>
    </row>
    <row r="177" spans="1:11" x14ac:dyDescent="0.3">
      <c r="A177" s="431">
        <v>46213</v>
      </c>
      <c r="B177" s="432" t="s">
        <v>12</v>
      </c>
      <c r="C177" s="433" t="s">
        <v>99</v>
      </c>
      <c r="D177" s="433" t="s">
        <v>111</v>
      </c>
      <c r="E177" s="432">
        <v>4.4915000000000003</v>
      </c>
      <c r="F177" s="432">
        <v>5.5000000000000604</v>
      </c>
      <c r="G177" s="432">
        <v>14.150000000000063</v>
      </c>
      <c r="H177" s="432">
        <v>0.5660000000000025</v>
      </c>
      <c r="I177" s="432">
        <v>-0.31999999999996476</v>
      </c>
      <c r="J177" s="432">
        <v>1.0900000000000354</v>
      </c>
      <c r="K177" s="434">
        <v>-2.829999999999977</v>
      </c>
    </row>
    <row r="178" spans="1:11" x14ac:dyDescent="0.3">
      <c r="A178" s="431">
        <v>46213</v>
      </c>
      <c r="B178" s="432" t="s">
        <v>13</v>
      </c>
      <c r="C178" s="433" t="s">
        <v>111</v>
      </c>
      <c r="D178" s="433" t="s">
        <v>125</v>
      </c>
      <c r="E178" s="432">
        <v>4.4965000000000002</v>
      </c>
      <c r="F178" s="432">
        <v>0.49999999999998934</v>
      </c>
      <c r="G178" s="432">
        <v>14.650000000000052</v>
      </c>
      <c r="H178" s="432">
        <v>0.58600000000000207</v>
      </c>
      <c r="I178" s="432">
        <v>-0.31999999999996476</v>
      </c>
      <c r="J178" s="432">
        <v>1.0900000000000354</v>
      </c>
      <c r="K178" s="434">
        <v>-4.919999999999991</v>
      </c>
    </row>
    <row r="179" spans="1:11" x14ac:dyDescent="0.3">
      <c r="A179" s="431">
        <v>46213</v>
      </c>
      <c r="B179" s="432" t="s">
        <v>14</v>
      </c>
      <c r="C179" s="433" t="s">
        <v>125</v>
      </c>
      <c r="D179" s="433" t="s">
        <v>147</v>
      </c>
      <c r="E179" s="432">
        <v>4.4589999999999996</v>
      </c>
      <c r="F179" s="432">
        <v>-3.7500000000000533</v>
      </c>
      <c r="G179" s="432">
        <v>10.899999999999999</v>
      </c>
      <c r="H179" s="432">
        <v>0.43599999999999994</v>
      </c>
      <c r="I179" s="432">
        <v>-0.57000000000000384</v>
      </c>
      <c r="J179" s="432">
        <v>0.83999999999999631</v>
      </c>
      <c r="K179" s="434">
        <v>-8.680000000000021</v>
      </c>
    </row>
    <row r="180" spans="1:11" x14ac:dyDescent="0.3">
      <c r="A180" s="431">
        <v>46213</v>
      </c>
      <c r="B180" s="432" t="s">
        <v>15</v>
      </c>
      <c r="C180" s="433" t="s">
        <v>147</v>
      </c>
      <c r="D180" s="433" t="s">
        <v>149</v>
      </c>
      <c r="E180" s="432">
        <v>4.4406999999999996</v>
      </c>
      <c r="F180" s="432">
        <v>-1.8299999999999983</v>
      </c>
      <c r="G180" s="432">
        <v>9.07</v>
      </c>
      <c r="H180" s="432">
        <v>0.36280000000000001</v>
      </c>
      <c r="I180" s="432">
        <v>-0.81000000000006622</v>
      </c>
      <c r="J180" s="432">
        <v>1.359999999999939</v>
      </c>
      <c r="K180" s="434" t="s">
        <v>41</v>
      </c>
    </row>
    <row r="181" spans="1:11" x14ac:dyDescent="0.3">
      <c r="A181" s="431">
        <v>46213</v>
      </c>
      <c r="B181" s="432" t="s">
        <v>17</v>
      </c>
      <c r="C181" s="433" t="s">
        <v>149</v>
      </c>
      <c r="D181" s="433">
        <v>46470</v>
      </c>
      <c r="E181" s="432">
        <v>4.4242999999999997</v>
      </c>
      <c r="F181" s="432">
        <v>-1.639999999999997</v>
      </c>
      <c r="G181" s="432">
        <v>7.4300000000000033</v>
      </c>
      <c r="H181" s="432">
        <v>0.29720000000000013</v>
      </c>
      <c r="I181" s="432">
        <v>-1.0600000000000165</v>
      </c>
      <c r="J181" s="432">
        <v>1.8799999999999706</v>
      </c>
      <c r="K181" s="434" t="s">
        <v>41</v>
      </c>
    </row>
    <row r="182" spans="1:11" x14ac:dyDescent="0.3">
      <c r="A182" s="431">
        <v>46213</v>
      </c>
      <c r="B182" s="432"/>
      <c r="C182" s="433"/>
      <c r="D182" s="433"/>
      <c r="E182" s="432"/>
      <c r="F182" s="432"/>
      <c r="G182" s="432"/>
      <c r="H182" s="432"/>
      <c r="I182" s="432" t="s">
        <v>41</v>
      </c>
      <c r="J182" s="432">
        <v>0</v>
      </c>
      <c r="K182" s="434">
        <v>0</v>
      </c>
    </row>
    <row r="183" spans="1:11" x14ac:dyDescent="0.3">
      <c r="A183" s="431">
        <v>46213</v>
      </c>
      <c r="B183" s="432"/>
      <c r="C183" s="433"/>
      <c r="D183" s="433"/>
      <c r="E183" s="432"/>
      <c r="F183" s="432"/>
      <c r="G183" s="432"/>
      <c r="H183" s="432"/>
      <c r="I183" s="432" t="s">
        <v>41</v>
      </c>
      <c r="J183" s="432">
        <v>0</v>
      </c>
      <c r="K183" s="434">
        <v>0</v>
      </c>
    </row>
    <row r="184" spans="1:11" x14ac:dyDescent="0.3">
      <c r="A184" s="431">
        <v>46213</v>
      </c>
      <c r="B184" s="432"/>
      <c r="C184" s="433"/>
      <c r="D184" s="433"/>
      <c r="E184" s="432"/>
      <c r="F184" s="432"/>
      <c r="G184" s="432"/>
      <c r="H184" s="432"/>
      <c r="I184" s="432" t="s">
        <v>41</v>
      </c>
      <c r="J184" s="432">
        <v>0</v>
      </c>
      <c r="K184" s="434">
        <v>0</v>
      </c>
    </row>
    <row r="185" spans="1:11" x14ac:dyDescent="0.3">
      <c r="A185" s="431">
        <v>46213</v>
      </c>
      <c r="B185" s="432"/>
      <c r="C185" s="433"/>
      <c r="D185" s="433"/>
      <c r="E185" s="432"/>
      <c r="F185" s="432"/>
      <c r="G185" s="432"/>
      <c r="H185" s="432"/>
      <c r="I185" s="432" t="s">
        <v>41</v>
      </c>
      <c r="J185" s="432">
        <v>0</v>
      </c>
      <c r="K185" s="434">
        <v>0</v>
      </c>
    </row>
    <row r="186" spans="1:11" x14ac:dyDescent="0.3">
      <c r="A186" s="456">
        <v>46216</v>
      </c>
      <c r="B186" s="457" t="s">
        <v>9</v>
      </c>
      <c r="C186" s="458" t="s">
        <v>109</v>
      </c>
      <c r="D186" s="458" t="s">
        <v>110</v>
      </c>
      <c r="E186" s="457">
        <v>4.4104999999999999</v>
      </c>
      <c r="F186" s="457">
        <v>6.050000000000022</v>
      </c>
      <c r="G186" s="457">
        <v>6.050000000000022</v>
      </c>
      <c r="H186" s="457">
        <v>0.24200000000000088</v>
      </c>
      <c r="I186" s="457">
        <v>0.30000000000001137</v>
      </c>
      <c r="J186" s="457">
        <v>0.87000000000001521</v>
      </c>
      <c r="K186" s="459">
        <v>-3.9500000000000313</v>
      </c>
    </row>
    <row r="187" spans="1:11" x14ac:dyDescent="0.3">
      <c r="A187" s="456">
        <v>46216</v>
      </c>
      <c r="B187" s="457" t="s">
        <v>10</v>
      </c>
      <c r="C187" s="458" t="s">
        <v>110</v>
      </c>
      <c r="D187" s="458" t="s">
        <v>99</v>
      </c>
      <c r="E187" s="457">
        <v>4.4405000000000001</v>
      </c>
      <c r="F187" s="457">
        <v>3.0000000000000249</v>
      </c>
      <c r="G187" s="457">
        <v>9.0500000000000469</v>
      </c>
      <c r="H187" s="457">
        <v>0.36200000000000188</v>
      </c>
      <c r="I187" s="457">
        <v>0.40000000000004476</v>
      </c>
      <c r="J187" s="457">
        <v>1.8699999999999939</v>
      </c>
      <c r="K187" s="459">
        <v>-3.3699999999999619</v>
      </c>
    </row>
    <row r="188" spans="1:11" x14ac:dyDescent="0.3">
      <c r="A188" s="456">
        <v>46216</v>
      </c>
      <c r="B188" s="457" t="s">
        <v>12</v>
      </c>
      <c r="C188" s="458" t="s">
        <v>99</v>
      </c>
      <c r="D188" s="458" t="s">
        <v>111</v>
      </c>
      <c r="E188" s="457">
        <v>4.4904999999999999</v>
      </c>
      <c r="F188" s="457">
        <v>4.9999999999999822</v>
      </c>
      <c r="G188" s="457">
        <v>14.050000000000029</v>
      </c>
      <c r="H188" s="457">
        <v>0.56200000000000117</v>
      </c>
      <c r="I188" s="457">
        <v>-0.1000000000000334</v>
      </c>
      <c r="J188" s="457">
        <v>2.2400000000000198</v>
      </c>
      <c r="K188" s="459">
        <v>-2.9300000000000104</v>
      </c>
    </row>
    <row r="189" spans="1:11" x14ac:dyDescent="0.3">
      <c r="A189" s="456">
        <v>46216</v>
      </c>
      <c r="B189" s="457" t="s">
        <v>13</v>
      </c>
      <c r="C189" s="458" t="s">
        <v>111</v>
      </c>
      <c r="D189" s="458" t="s">
        <v>125</v>
      </c>
      <c r="E189" s="457">
        <v>4.4980000000000002</v>
      </c>
      <c r="F189" s="457">
        <v>0.75000000000002842</v>
      </c>
      <c r="G189" s="457">
        <v>14.800000000000058</v>
      </c>
      <c r="H189" s="457">
        <v>0.5920000000000023</v>
      </c>
      <c r="I189" s="457">
        <v>0.15000000000000568</v>
      </c>
      <c r="J189" s="457">
        <v>2.7400000000000091</v>
      </c>
      <c r="K189" s="459">
        <v>-4.7699999999999854</v>
      </c>
    </row>
    <row r="190" spans="1:11" x14ac:dyDescent="0.3">
      <c r="A190" s="456">
        <v>46216</v>
      </c>
      <c r="B190" s="457" t="s">
        <v>14</v>
      </c>
      <c r="C190" s="458" t="s">
        <v>125</v>
      </c>
      <c r="D190" s="458" t="s">
        <v>147</v>
      </c>
      <c r="E190" s="457">
        <v>4.4729999999999999</v>
      </c>
      <c r="F190" s="457">
        <v>-2.5000000000000355</v>
      </c>
      <c r="G190" s="457">
        <v>12.300000000000022</v>
      </c>
      <c r="H190" s="457">
        <v>0.49200000000000088</v>
      </c>
      <c r="I190" s="457">
        <v>1.4000000000000234</v>
      </c>
      <c r="J190" s="457">
        <v>4.2399999999999771</v>
      </c>
      <c r="K190" s="459">
        <v>-7.2799999999999976</v>
      </c>
    </row>
    <row r="191" spans="1:11" x14ac:dyDescent="0.3">
      <c r="A191" s="456">
        <v>46216</v>
      </c>
      <c r="B191" s="457" t="s">
        <v>15</v>
      </c>
      <c r="C191" s="458" t="s">
        <v>147</v>
      </c>
      <c r="D191" s="458" t="s">
        <v>149</v>
      </c>
      <c r="E191" s="457">
        <v>4.4833999999999996</v>
      </c>
      <c r="F191" s="457">
        <v>1.0399999999999743</v>
      </c>
      <c r="G191" s="457">
        <v>13.339999999999996</v>
      </c>
      <c r="H191" s="457">
        <v>0.53359999999999985</v>
      </c>
      <c r="I191" s="457">
        <v>4.269999999999996</v>
      </c>
      <c r="J191" s="457">
        <v>6.509999999999927</v>
      </c>
      <c r="K191" s="459" t="s">
        <v>41</v>
      </c>
    </row>
    <row r="192" spans="1:11" x14ac:dyDescent="0.3">
      <c r="A192" s="456">
        <v>46216</v>
      </c>
      <c r="B192" s="457" t="s">
        <v>17</v>
      </c>
      <c r="C192" s="458" t="s">
        <v>149</v>
      </c>
      <c r="D192" s="458">
        <v>46470</v>
      </c>
      <c r="E192" s="457">
        <v>4.4957000000000003</v>
      </c>
      <c r="F192" s="457">
        <v>1.2300000000000644</v>
      </c>
      <c r="G192" s="457">
        <v>14.570000000000061</v>
      </c>
      <c r="H192" s="457">
        <v>0.58280000000000243</v>
      </c>
      <c r="I192" s="457">
        <v>7.1400000000000574</v>
      </c>
      <c r="J192" s="457">
        <v>8.7800000000000544</v>
      </c>
      <c r="K192" s="459" t="s">
        <v>41</v>
      </c>
    </row>
    <row r="193" spans="1:11" x14ac:dyDescent="0.3">
      <c r="A193" s="456">
        <v>46216</v>
      </c>
      <c r="B193" s="457"/>
      <c r="C193" s="458"/>
      <c r="D193" s="458"/>
      <c r="E193" s="457"/>
      <c r="F193" s="457"/>
      <c r="G193" s="457"/>
      <c r="H193" s="457"/>
      <c r="I193" s="457">
        <v>0</v>
      </c>
      <c r="J193" s="457">
        <v>0</v>
      </c>
      <c r="K193" s="459">
        <v>0</v>
      </c>
    </row>
    <row r="194" spans="1:11" x14ac:dyDescent="0.3">
      <c r="A194" s="456">
        <v>46216</v>
      </c>
      <c r="B194" s="457"/>
      <c r="C194" s="458"/>
      <c r="D194" s="458"/>
      <c r="E194" s="457"/>
      <c r="F194" s="457"/>
      <c r="G194" s="457"/>
      <c r="H194" s="457"/>
      <c r="I194" s="457">
        <v>0</v>
      </c>
      <c r="J194" s="457">
        <v>0</v>
      </c>
      <c r="K194" s="459">
        <v>0</v>
      </c>
    </row>
    <row r="195" spans="1:11" x14ac:dyDescent="0.3">
      <c r="A195" s="456">
        <v>46216</v>
      </c>
      <c r="B195" s="457"/>
      <c r="C195" s="458"/>
      <c r="D195" s="458"/>
      <c r="E195" s="457"/>
      <c r="F195" s="457"/>
      <c r="G195" s="457"/>
      <c r="H195" s="457"/>
      <c r="I195" s="457">
        <v>0</v>
      </c>
      <c r="J195" s="457">
        <v>0</v>
      </c>
      <c r="K195" s="459">
        <v>0</v>
      </c>
    </row>
    <row r="196" spans="1:11" x14ac:dyDescent="0.3">
      <c r="A196" s="456">
        <v>46216</v>
      </c>
      <c r="B196" s="457"/>
      <c r="C196" s="458"/>
      <c r="D196" s="458"/>
      <c r="E196" s="457"/>
      <c r="F196" s="457"/>
      <c r="G196" s="457"/>
      <c r="H196" s="457"/>
      <c r="I196" s="457">
        <v>0</v>
      </c>
      <c r="J196" s="457">
        <v>0</v>
      </c>
      <c r="K196" s="459">
        <v>0</v>
      </c>
    </row>
    <row r="197" spans="1:11" x14ac:dyDescent="0.3">
      <c r="A197" s="471">
        <v>46217</v>
      </c>
      <c r="B197" s="472" t="s">
        <v>9</v>
      </c>
      <c r="C197" s="473" t="s">
        <v>109</v>
      </c>
      <c r="D197" s="473" t="s">
        <v>110</v>
      </c>
      <c r="E197" s="472">
        <v>4.4066000000000001</v>
      </c>
      <c r="F197" s="472">
        <v>5.6600000000000428</v>
      </c>
      <c r="G197" s="472">
        <v>5.6600000000000428</v>
      </c>
      <c r="H197" s="472">
        <v>0.22640000000000171</v>
      </c>
      <c r="I197" s="472">
        <v>-0.38999999999997925</v>
      </c>
      <c r="J197" s="472">
        <v>0.67000000000003723</v>
      </c>
      <c r="K197" s="474">
        <v>-2.2400000000000198</v>
      </c>
    </row>
    <row r="198" spans="1:11" x14ac:dyDescent="0.3">
      <c r="A198" s="471">
        <v>46217</v>
      </c>
      <c r="B198" s="472" t="s">
        <v>10</v>
      </c>
      <c r="C198" s="473" t="s">
        <v>110</v>
      </c>
      <c r="D198" s="473" t="s">
        <v>99</v>
      </c>
      <c r="E198" s="472">
        <v>4.4410999999999996</v>
      </c>
      <c r="F198" s="472">
        <v>3.4499999999999531</v>
      </c>
      <c r="G198" s="472">
        <v>9.1099999999999959</v>
      </c>
      <c r="H198" s="472">
        <v>0.36439999999999984</v>
      </c>
      <c r="I198" s="472">
        <v>5.9999999999948983E-2</v>
      </c>
      <c r="J198" s="472">
        <v>1.6199999999999548</v>
      </c>
      <c r="K198" s="474">
        <v>0.90999999999992198</v>
      </c>
    </row>
    <row r="199" spans="1:11" x14ac:dyDescent="0.3">
      <c r="A199" s="471">
        <v>46217</v>
      </c>
      <c r="B199" s="472" t="s">
        <v>12</v>
      </c>
      <c r="C199" s="473" t="s">
        <v>99</v>
      </c>
      <c r="D199" s="473" t="s">
        <v>111</v>
      </c>
      <c r="E199" s="472">
        <v>4.5035999999999996</v>
      </c>
      <c r="F199" s="472">
        <v>6.25</v>
      </c>
      <c r="G199" s="472">
        <v>15.359999999999996</v>
      </c>
      <c r="H199" s="472">
        <v>0.61439999999999984</v>
      </c>
      <c r="I199" s="472">
        <v>1.3099999999999667</v>
      </c>
      <c r="J199" s="472">
        <v>3.1199999999999228</v>
      </c>
      <c r="K199" s="474">
        <v>6.0599999999999987</v>
      </c>
    </row>
    <row r="200" spans="1:11" x14ac:dyDescent="0.3">
      <c r="A200" s="471">
        <v>46217</v>
      </c>
      <c r="B200" s="472" t="s">
        <v>13</v>
      </c>
      <c r="C200" s="473" t="s">
        <v>111</v>
      </c>
      <c r="D200" s="473" t="s">
        <v>125</v>
      </c>
      <c r="E200" s="472">
        <v>4.5110999999999999</v>
      </c>
      <c r="F200" s="472">
        <v>0.75000000000002842</v>
      </c>
      <c r="G200" s="472">
        <v>16.110000000000024</v>
      </c>
      <c r="H200" s="472">
        <v>0.64440000000000097</v>
      </c>
      <c r="I200" s="472">
        <v>1.3099999999999667</v>
      </c>
      <c r="J200" s="472">
        <v>3.3699999999999619</v>
      </c>
      <c r="K200" s="474">
        <v>4.3499999999999872</v>
      </c>
    </row>
    <row r="201" spans="1:11" x14ac:dyDescent="0.3">
      <c r="A201" s="471">
        <v>46217</v>
      </c>
      <c r="B201" s="472" t="s">
        <v>14</v>
      </c>
      <c r="C201" s="473" t="s">
        <v>125</v>
      </c>
      <c r="D201" s="473" t="s">
        <v>147</v>
      </c>
      <c r="E201" s="472">
        <v>4.5011000000000001</v>
      </c>
      <c r="F201" s="472">
        <v>-0.99999999999997868</v>
      </c>
      <c r="G201" s="472">
        <v>15.110000000000046</v>
      </c>
      <c r="H201" s="472">
        <v>0.60440000000000182</v>
      </c>
      <c r="I201" s="472">
        <v>2.8100000000000236</v>
      </c>
      <c r="J201" s="472">
        <v>5.8699999999999974</v>
      </c>
      <c r="K201" s="474">
        <v>3.1900000000000261</v>
      </c>
    </row>
    <row r="202" spans="1:11" x14ac:dyDescent="0.3">
      <c r="A202" s="471">
        <v>46217</v>
      </c>
      <c r="B202" s="472" t="s">
        <v>15</v>
      </c>
      <c r="C202" s="473" t="s">
        <v>147</v>
      </c>
      <c r="D202" s="473" t="s">
        <v>149</v>
      </c>
      <c r="E202" s="472">
        <v>4.4884000000000004</v>
      </c>
      <c r="F202" s="472">
        <v>-1.2699999999999712</v>
      </c>
      <c r="G202" s="472">
        <v>13.840000000000074</v>
      </c>
      <c r="H202" s="472">
        <v>0.55360000000000298</v>
      </c>
      <c r="I202" s="472">
        <v>0.50000000000007816</v>
      </c>
      <c r="J202" s="472">
        <v>6.2600000000000655</v>
      </c>
      <c r="K202" s="474" t="s">
        <v>41</v>
      </c>
    </row>
    <row r="203" spans="1:11" x14ac:dyDescent="0.3">
      <c r="A203" s="471">
        <v>46217</v>
      </c>
      <c r="B203" s="472" t="s">
        <v>17</v>
      </c>
      <c r="C203" s="473" t="s">
        <v>149</v>
      </c>
      <c r="D203" s="473">
        <v>46470</v>
      </c>
      <c r="E203" s="472">
        <v>4.4775999999999998</v>
      </c>
      <c r="F203" s="472">
        <v>-1.0800000000000587</v>
      </c>
      <c r="G203" s="472">
        <v>12.760000000000016</v>
      </c>
      <c r="H203" s="472">
        <v>0.51040000000000063</v>
      </c>
      <c r="I203" s="472">
        <v>-1.8100000000000449</v>
      </c>
      <c r="J203" s="472">
        <v>6.6499999999999559</v>
      </c>
      <c r="K203" s="474" t="s">
        <v>41</v>
      </c>
    </row>
    <row r="204" spans="1:11" x14ac:dyDescent="0.3">
      <c r="A204" s="471">
        <v>46217</v>
      </c>
      <c r="B204" s="472"/>
      <c r="C204" s="473"/>
      <c r="D204" s="473"/>
      <c r="E204" s="472"/>
      <c r="F204" s="472"/>
      <c r="G204" s="472"/>
      <c r="H204" s="472"/>
      <c r="I204" s="472">
        <v>0</v>
      </c>
      <c r="J204" s="472">
        <v>0</v>
      </c>
      <c r="K204" s="474" t="s">
        <v>41</v>
      </c>
    </row>
    <row r="205" spans="1:11" x14ac:dyDescent="0.3">
      <c r="A205" s="471">
        <v>46217</v>
      </c>
      <c r="B205" s="472"/>
      <c r="C205" s="473"/>
      <c r="D205" s="473"/>
      <c r="E205" s="472"/>
      <c r="F205" s="472"/>
      <c r="G205" s="472"/>
      <c r="H205" s="472"/>
      <c r="I205" s="472">
        <v>0</v>
      </c>
      <c r="J205" s="472">
        <v>0</v>
      </c>
      <c r="K205" s="474" t="s">
        <v>41</v>
      </c>
    </row>
    <row r="206" spans="1:11" x14ac:dyDescent="0.3">
      <c r="A206" s="471">
        <v>46217</v>
      </c>
      <c r="B206" s="472"/>
      <c r="C206" s="473"/>
      <c r="D206" s="473"/>
      <c r="E206" s="472"/>
      <c r="F206" s="472"/>
      <c r="G206" s="472"/>
      <c r="H206" s="472"/>
      <c r="I206" s="472">
        <v>0</v>
      </c>
      <c r="J206" s="472">
        <v>0</v>
      </c>
      <c r="K206" s="474" t="s">
        <v>41</v>
      </c>
    </row>
    <row r="207" spans="1:11" x14ac:dyDescent="0.3">
      <c r="A207" s="471">
        <v>46217</v>
      </c>
      <c r="B207" s="472"/>
      <c r="C207" s="473"/>
      <c r="D207" s="473"/>
      <c r="E207" s="472"/>
      <c r="F207" s="472"/>
      <c r="G207" s="472"/>
      <c r="H207" s="472"/>
      <c r="I207" s="472">
        <v>0</v>
      </c>
      <c r="J207" s="472">
        <v>0</v>
      </c>
      <c r="K207" s="474" t="s">
        <v>41</v>
      </c>
    </row>
    <row r="208" spans="1:11" x14ac:dyDescent="0.3">
      <c r="A208" s="9">
        <v>46218</v>
      </c>
      <c r="B208" s="10" t="s">
        <v>9</v>
      </c>
      <c r="C208" s="121" t="s">
        <v>109</v>
      </c>
      <c r="D208" s="121" t="s">
        <v>110</v>
      </c>
      <c r="E208" s="10">
        <v>4.4112</v>
      </c>
      <c r="F208" s="10">
        <v>6.1200000000000365</v>
      </c>
      <c r="G208" s="10">
        <v>6.1200000000000365</v>
      </c>
      <c r="H208" s="10">
        <v>0.24480000000000146</v>
      </c>
      <c r="I208" s="10">
        <v>0.45999999999999375</v>
      </c>
      <c r="J208" s="10">
        <v>-0.61999999999997613</v>
      </c>
      <c r="K208" s="11">
        <v>-2.179999999999982</v>
      </c>
    </row>
    <row r="209" spans="1:11" x14ac:dyDescent="0.3">
      <c r="A209" s="9">
        <v>46218</v>
      </c>
      <c r="B209" s="10" t="s">
        <v>10</v>
      </c>
      <c r="C209" s="121" t="s">
        <v>110</v>
      </c>
      <c r="D209" s="121" t="s">
        <v>99</v>
      </c>
      <c r="E209" s="10">
        <v>4.4477000000000002</v>
      </c>
      <c r="F209" s="10">
        <v>3.6500000000000199</v>
      </c>
      <c r="G209" s="10">
        <v>9.7700000000000564</v>
      </c>
      <c r="H209" s="10">
        <v>0.39080000000000226</v>
      </c>
      <c r="I209" s="10">
        <v>0.66000000000006054</v>
      </c>
      <c r="J209" s="10">
        <v>-0.46999999999997044</v>
      </c>
      <c r="K209" s="11">
        <v>-3.9999999999995595E-2</v>
      </c>
    </row>
    <row r="210" spans="1:11" x14ac:dyDescent="0.3">
      <c r="A210" s="9">
        <v>46218</v>
      </c>
      <c r="B210" s="10" t="s">
        <v>12</v>
      </c>
      <c r="C210" s="121" t="s">
        <v>99</v>
      </c>
      <c r="D210" s="121" t="s">
        <v>111</v>
      </c>
      <c r="E210" s="10">
        <v>4.5102000000000002</v>
      </c>
      <c r="F210" s="10">
        <v>6.25</v>
      </c>
      <c r="G210" s="10">
        <v>16.020000000000056</v>
      </c>
      <c r="H210" s="10">
        <v>0.64080000000000226</v>
      </c>
      <c r="I210" s="10">
        <v>0.66000000000006054</v>
      </c>
      <c r="J210" s="10">
        <v>-0.46999999999997044</v>
      </c>
      <c r="K210" s="11">
        <v>1.8100000000000449</v>
      </c>
    </row>
    <row r="211" spans="1:11" x14ac:dyDescent="0.3">
      <c r="A211" s="9">
        <v>46218</v>
      </c>
      <c r="B211" s="10" t="s">
        <v>13</v>
      </c>
      <c r="C211" s="121" t="s">
        <v>111</v>
      </c>
      <c r="D211" s="121" t="s">
        <v>125</v>
      </c>
      <c r="E211" s="10">
        <v>4.5176999999999996</v>
      </c>
      <c r="F211" s="10">
        <v>0.7499999999999396</v>
      </c>
      <c r="G211" s="10">
        <v>16.769999999999996</v>
      </c>
      <c r="H211" s="10">
        <v>0.67079999999999984</v>
      </c>
      <c r="I211" s="10">
        <v>0.65999999999997172</v>
      </c>
      <c r="J211" s="10">
        <v>-0.72000000000000952</v>
      </c>
      <c r="K211" s="11">
        <v>0.89999999999994529</v>
      </c>
    </row>
    <row r="212" spans="1:11" x14ac:dyDescent="0.3">
      <c r="A212" s="9">
        <v>46218</v>
      </c>
      <c r="B212" s="10" t="s">
        <v>14</v>
      </c>
      <c r="C212" s="121" t="s">
        <v>125</v>
      </c>
      <c r="D212" s="121" t="s">
        <v>147</v>
      </c>
      <c r="E212" s="10">
        <v>4.5076999999999998</v>
      </c>
      <c r="F212" s="10">
        <v>-0.99999999999997868</v>
      </c>
      <c r="G212" s="10">
        <v>15.770000000000017</v>
      </c>
      <c r="H212" s="10">
        <v>0.63080000000000069</v>
      </c>
      <c r="I212" s="10">
        <v>0.65999999999997172</v>
      </c>
      <c r="J212" s="10">
        <v>0.27999999999996916</v>
      </c>
      <c r="K212" s="11">
        <v>9.9999999999944578E-2</v>
      </c>
    </row>
    <row r="213" spans="1:11" x14ac:dyDescent="0.3">
      <c r="A213" s="9">
        <v>46218</v>
      </c>
      <c r="B213" s="10" t="s">
        <v>15</v>
      </c>
      <c r="C213" s="121" t="s">
        <v>147</v>
      </c>
      <c r="D213" s="121" t="s">
        <v>149</v>
      </c>
      <c r="E213" s="10">
        <v>4.4913999999999996</v>
      </c>
      <c r="F213" s="10">
        <v>-1.6300000000000203</v>
      </c>
      <c r="G213" s="10">
        <v>14.139999999999997</v>
      </c>
      <c r="H213" s="10">
        <v>0.56559999999999988</v>
      </c>
      <c r="I213" s="10">
        <v>0.29999999999992255</v>
      </c>
      <c r="J213" s="10">
        <v>-1.2300000000000644</v>
      </c>
      <c r="K213" s="11" t="s">
        <v>41</v>
      </c>
    </row>
    <row r="214" spans="1:11" x14ac:dyDescent="0.3">
      <c r="A214" s="9">
        <v>46218</v>
      </c>
      <c r="B214" s="10" t="s">
        <v>17</v>
      </c>
      <c r="C214" s="121" t="s">
        <v>149</v>
      </c>
      <c r="D214" s="121">
        <v>46470</v>
      </c>
      <c r="E214" s="10">
        <v>4.4770000000000003</v>
      </c>
      <c r="F214" s="10">
        <v>-1.4399999999999302</v>
      </c>
      <c r="G214" s="10">
        <v>12.700000000000067</v>
      </c>
      <c r="H214" s="10">
        <v>0.50800000000000267</v>
      </c>
      <c r="I214" s="10">
        <v>-5.9999999999948983E-2</v>
      </c>
      <c r="J214" s="10">
        <v>-2.7400000000000091</v>
      </c>
      <c r="K214" s="11" t="s">
        <v>41</v>
      </c>
    </row>
    <row r="215" spans="1:11" x14ac:dyDescent="0.3">
      <c r="A215" s="9">
        <v>46218</v>
      </c>
      <c r="B215" s="10"/>
      <c r="C215" s="121"/>
      <c r="D215" s="121"/>
      <c r="E215" s="10"/>
      <c r="F215" s="10"/>
      <c r="G215" s="10"/>
      <c r="H215" s="10"/>
      <c r="I215" s="10">
        <v>0</v>
      </c>
      <c r="J215" s="10">
        <v>0</v>
      </c>
      <c r="K215" s="11">
        <v>0</v>
      </c>
    </row>
    <row r="216" spans="1:11" x14ac:dyDescent="0.3">
      <c r="A216" s="9">
        <v>46218</v>
      </c>
      <c r="B216" s="10"/>
      <c r="C216" s="121"/>
      <c r="D216" s="121"/>
      <c r="E216" s="10"/>
      <c r="F216" s="10"/>
      <c r="G216" s="10"/>
      <c r="H216" s="10"/>
      <c r="I216" s="10">
        <v>0</v>
      </c>
      <c r="J216" s="10">
        <v>0</v>
      </c>
      <c r="K216" s="11">
        <v>0</v>
      </c>
    </row>
    <row r="217" spans="1:11" x14ac:dyDescent="0.3">
      <c r="A217" s="9">
        <v>46218</v>
      </c>
      <c r="B217" s="10"/>
      <c r="C217" s="121"/>
      <c r="D217" s="121"/>
      <c r="E217" s="10"/>
      <c r="F217" s="10"/>
      <c r="G217" s="10"/>
      <c r="H217" s="10"/>
      <c r="I217" s="10">
        <v>0</v>
      </c>
      <c r="J217" s="10">
        <v>0</v>
      </c>
      <c r="K217" s="11">
        <v>0</v>
      </c>
    </row>
    <row r="218" spans="1:11" x14ac:dyDescent="0.3">
      <c r="A218" s="9">
        <v>46218</v>
      </c>
      <c r="B218" s="10"/>
      <c r="C218" s="121"/>
      <c r="D218" s="121"/>
      <c r="E218" s="10"/>
      <c r="F218" s="10"/>
      <c r="G218" s="10"/>
      <c r="H218" s="10"/>
      <c r="I218" s="10">
        <v>0</v>
      </c>
      <c r="J218" s="10">
        <v>0</v>
      </c>
      <c r="K218" s="11">
        <v>0</v>
      </c>
    </row>
    <row r="219" spans="1:11" x14ac:dyDescent="0.3">
      <c r="A219" s="9">
        <v>46219</v>
      </c>
      <c r="B219" s="10" t="s">
        <v>9</v>
      </c>
      <c r="C219" s="121" t="s">
        <v>109</v>
      </c>
      <c r="D219" s="121" t="s">
        <v>110</v>
      </c>
      <c r="E219" s="10">
        <v>4.4130000000000003</v>
      </c>
      <c r="F219" s="10">
        <v>6.3000000000000611</v>
      </c>
      <c r="G219" s="10">
        <v>6.3000000000000611</v>
      </c>
      <c r="H219" s="10">
        <v>0.25200000000000244</v>
      </c>
      <c r="I219" s="10">
        <v>0.18000000000002458</v>
      </c>
      <c r="J219" s="10">
        <v>0.58000000000006935</v>
      </c>
      <c r="K219" s="11">
        <v>5.2999999999999936</v>
      </c>
    </row>
    <row r="220" spans="1:11" x14ac:dyDescent="0.3">
      <c r="A220" s="9">
        <v>46219</v>
      </c>
      <c r="B220" s="10" t="s">
        <v>10</v>
      </c>
      <c r="C220" s="121" t="s">
        <v>110</v>
      </c>
      <c r="D220" s="121" t="s">
        <v>99</v>
      </c>
      <c r="E220" s="10">
        <v>4.4530000000000003</v>
      </c>
      <c r="F220" s="10">
        <v>4.0000000000000036</v>
      </c>
      <c r="G220" s="10">
        <v>10.300000000000065</v>
      </c>
      <c r="H220" s="10">
        <v>0.41200000000000259</v>
      </c>
      <c r="I220" s="10">
        <v>0.53000000000000824</v>
      </c>
      <c r="J220" s="10">
        <v>1.580000000000048</v>
      </c>
      <c r="K220" s="11">
        <v>2.0000000000000462</v>
      </c>
    </row>
    <row r="221" spans="1:11" x14ac:dyDescent="0.3">
      <c r="A221" s="9">
        <v>46219</v>
      </c>
      <c r="B221" s="10" t="s">
        <v>12</v>
      </c>
      <c r="C221" s="121" t="s">
        <v>99</v>
      </c>
      <c r="D221" s="121" t="s">
        <v>111</v>
      </c>
      <c r="E221" s="10">
        <v>4.5179999999999998</v>
      </c>
      <c r="F221" s="10">
        <v>6.4999999999999503</v>
      </c>
      <c r="G221" s="10">
        <v>16.800000000000015</v>
      </c>
      <c r="H221" s="10">
        <v>0.6720000000000006</v>
      </c>
      <c r="I221" s="10">
        <v>0.7799999999999585</v>
      </c>
      <c r="J221" s="10">
        <v>2.3299999999999876</v>
      </c>
      <c r="K221" s="11">
        <v>7.299999999999951</v>
      </c>
    </row>
    <row r="222" spans="1:11" x14ac:dyDescent="0.3">
      <c r="A222" s="9">
        <v>46219</v>
      </c>
      <c r="B222" s="10" t="s">
        <v>13</v>
      </c>
      <c r="C222" s="121" t="s">
        <v>111</v>
      </c>
      <c r="D222" s="121" t="s">
        <v>125</v>
      </c>
      <c r="E222" s="10">
        <v>4.5255000000000001</v>
      </c>
      <c r="F222" s="10">
        <v>0.75000000000002842</v>
      </c>
      <c r="G222" s="10">
        <v>17.550000000000043</v>
      </c>
      <c r="H222" s="10">
        <v>0.70200000000000173</v>
      </c>
      <c r="I222" s="10">
        <v>0.78000000000004732</v>
      </c>
      <c r="J222" s="10">
        <v>2.5800000000000267</v>
      </c>
      <c r="K222" s="11">
        <v>5.6899999999999729</v>
      </c>
    </row>
    <row r="223" spans="1:11" x14ac:dyDescent="0.3">
      <c r="A223" s="9">
        <v>46219</v>
      </c>
      <c r="B223" s="10" t="s">
        <v>14</v>
      </c>
      <c r="C223" s="121" t="s">
        <v>125</v>
      </c>
      <c r="D223" s="121" t="s">
        <v>147</v>
      </c>
      <c r="E223" s="10">
        <v>4.5205000000000002</v>
      </c>
      <c r="F223" s="10">
        <v>-0.49999999999998934</v>
      </c>
      <c r="G223" s="10">
        <v>17.050000000000054</v>
      </c>
      <c r="H223" s="10">
        <v>0.68200000000000216</v>
      </c>
      <c r="I223" s="10">
        <v>1.2800000000000367</v>
      </c>
      <c r="J223" s="10">
        <v>5.5800000000000516</v>
      </c>
      <c r="K223" s="11">
        <v>2.910000000000057</v>
      </c>
    </row>
    <row r="224" spans="1:11" x14ac:dyDescent="0.3">
      <c r="A224" s="9">
        <v>46219</v>
      </c>
      <c r="B224" s="10" t="s">
        <v>15</v>
      </c>
      <c r="C224" s="121" t="s">
        <v>147</v>
      </c>
      <c r="D224" s="121" t="s">
        <v>149</v>
      </c>
      <c r="E224" s="10">
        <v>4.5129000000000001</v>
      </c>
      <c r="F224" s="10">
        <v>-0.76000000000000512</v>
      </c>
      <c r="G224" s="10">
        <v>16.290000000000049</v>
      </c>
      <c r="H224" s="10">
        <v>0.65160000000000196</v>
      </c>
      <c r="I224" s="10">
        <v>2.1500000000000519</v>
      </c>
      <c r="J224" s="10">
        <v>6.4099999999999824</v>
      </c>
      <c r="K224" s="11">
        <v>2.0800000000000374</v>
      </c>
    </row>
    <row r="225" spans="1:11" x14ac:dyDescent="0.3">
      <c r="A225" s="9">
        <v>46219</v>
      </c>
      <c r="B225" s="10" t="s">
        <v>17</v>
      </c>
      <c r="C225" s="121" t="s">
        <v>149</v>
      </c>
      <c r="D225" s="121">
        <v>46470</v>
      </c>
      <c r="E225" s="10">
        <v>4.5072999999999999</v>
      </c>
      <c r="F225" s="10">
        <v>-0.56000000000002714</v>
      </c>
      <c r="G225" s="10">
        <v>15.730000000000022</v>
      </c>
      <c r="H225" s="10">
        <v>0.62920000000000087</v>
      </c>
      <c r="I225" s="10">
        <v>3.029999999999955</v>
      </c>
      <c r="J225" s="10">
        <v>7.240000000000002</v>
      </c>
      <c r="K225" s="11">
        <v>4.1900000000000048</v>
      </c>
    </row>
    <row r="226" spans="1:11" x14ac:dyDescent="0.3">
      <c r="A226" s="9">
        <v>46219</v>
      </c>
      <c r="B226" s="10"/>
      <c r="C226" s="121"/>
      <c r="D226" s="121"/>
      <c r="E226" s="10"/>
      <c r="F226" s="10"/>
      <c r="G226" s="10"/>
      <c r="H226" s="10"/>
      <c r="I226" s="10">
        <v>0</v>
      </c>
      <c r="J226" s="10" t="s">
        <v>41</v>
      </c>
      <c r="K226" s="11">
        <v>0</v>
      </c>
    </row>
    <row r="227" spans="1:11" x14ac:dyDescent="0.3">
      <c r="A227" s="9">
        <v>46219</v>
      </c>
      <c r="B227" s="10"/>
      <c r="C227" s="121"/>
      <c r="D227" s="121"/>
      <c r="E227" s="10"/>
      <c r="F227" s="10"/>
      <c r="G227" s="10"/>
      <c r="H227" s="10"/>
      <c r="I227" s="10">
        <v>0</v>
      </c>
      <c r="J227" s="10" t="s">
        <v>41</v>
      </c>
      <c r="K227" s="11">
        <v>0</v>
      </c>
    </row>
    <row r="228" spans="1:11" x14ac:dyDescent="0.3">
      <c r="A228" s="9">
        <v>46219</v>
      </c>
      <c r="B228" s="10"/>
      <c r="C228" s="121"/>
      <c r="D228" s="121"/>
      <c r="E228" s="10"/>
      <c r="F228" s="10"/>
      <c r="G228" s="10"/>
      <c r="H228" s="10"/>
      <c r="I228" s="10">
        <v>0</v>
      </c>
      <c r="J228" s="10" t="s">
        <v>41</v>
      </c>
      <c r="K228" s="11">
        <v>0</v>
      </c>
    </row>
    <row r="229" spans="1:11" x14ac:dyDescent="0.3">
      <c r="A229" s="9">
        <v>46219</v>
      </c>
      <c r="B229" s="10"/>
      <c r="C229" s="121"/>
      <c r="D229" s="121"/>
      <c r="E229" s="10"/>
      <c r="F229" s="10"/>
      <c r="G229" s="10"/>
      <c r="H229" s="10"/>
      <c r="I229" s="10">
        <v>0</v>
      </c>
      <c r="J229" s="10" t="s">
        <v>41</v>
      </c>
      <c r="K229" s="11">
        <v>0</v>
      </c>
    </row>
    <row r="230" spans="1:11" x14ac:dyDescent="0.3">
      <c r="A230" s="486">
        <v>46220</v>
      </c>
      <c r="B230" s="487" t="s">
        <v>9</v>
      </c>
      <c r="C230" s="488" t="s">
        <v>109</v>
      </c>
      <c r="D230" s="488" t="s">
        <v>110</v>
      </c>
      <c r="E230" s="487">
        <v>4.4101999999999997</v>
      </c>
      <c r="F230" s="487">
        <v>6.0200000000000031</v>
      </c>
      <c r="G230" s="487">
        <v>6.0200000000000031</v>
      </c>
      <c r="H230" s="487">
        <v>0.24080000000000013</v>
      </c>
      <c r="I230" s="487">
        <v>-0.28000000000005798</v>
      </c>
      <c r="J230" s="487">
        <v>0.26999999999999247</v>
      </c>
      <c r="K230" s="489">
        <v>-2.3800000000000487</v>
      </c>
    </row>
    <row r="231" spans="1:11" x14ac:dyDescent="0.3">
      <c r="A231" s="486">
        <v>46220</v>
      </c>
      <c r="B231" s="487" t="s">
        <v>10</v>
      </c>
      <c r="C231" s="488" t="s">
        <v>110</v>
      </c>
      <c r="D231" s="488" t="s">
        <v>99</v>
      </c>
      <c r="E231" s="487">
        <v>4.4501999999999997</v>
      </c>
      <c r="F231" s="487">
        <v>4.0000000000000036</v>
      </c>
      <c r="G231" s="487">
        <v>10.020000000000007</v>
      </c>
      <c r="H231" s="487">
        <v>0.40080000000000027</v>
      </c>
      <c r="I231" s="487">
        <v>-0.28000000000005798</v>
      </c>
      <c r="J231" s="487">
        <v>1.3700000000000045</v>
      </c>
      <c r="K231" s="489">
        <v>0.26999999999999247</v>
      </c>
    </row>
    <row r="232" spans="1:11" x14ac:dyDescent="0.3">
      <c r="A232" s="486">
        <v>46220</v>
      </c>
      <c r="B232" s="487" t="s">
        <v>12</v>
      </c>
      <c r="C232" s="488" t="s">
        <v>99</v>
      </c>
      <c r="D232" s="488" t="s">
        <v>111</v>
      </c>
      <c r="E232" s="487">
        <v>4.5176999999999996</v>
      </c>
      <c r="F232" s="487">
        <v>6.7499999999999893</v>
      </c>
      <c r="G232" s="487">
        <v>16.769999999999996</v>
      </c>
      <c r="H232" s="487">
        <v>0.67079999999999984</v>
      </c>
      <c r="I232" s="487">
        <v>-3.00000000000189E-2</v>
      </c>
      <c r="J232" s="487">
        <v>2.6199999999999335</v>
      </c>
      <c r="K232" s="489">
        <v>1.4899999999999913</v>
      </c>
    </row>
    <row r="233" spans="1:11" x14ac:dyDescent="0.3">
      <c r="A233" s="486">
        <v>46220</v>
      </c>
      <c r="B233" s="487" t="s">
        <v>13</v>
      </c>
      <c r="C233" s="488" t="s">
        <v>111</v>
      </c>
      <c r="D233" s="488" t="s">
        <v>125</v>
      </c>
      <c r="E233" s="487">
        <v>4.5277000000000003</v>
      </c>
      <c r="F233" s="487">
        <v>1.0000000000000675</v>
      </c>
      <c r="G233" s="487">
        <v>17.770000000000064</v>
      </c>
      <c r="H233" s="487">
        <v>0.71080000000000254</v>
      </c>
      <c r="I233" s="487">
        <v>0.22000000000002018</v>
      </c>
      <c r="J233" s="487">
        <v>3.1200000000000117</v>
      </c>
      <c r="K233" s="489">
        <v>2.3900000000000254</v>
      </c>
    </row>
    <row r="234" spans="1:11" x14ac:dyDescent="0.3">
      <c r="A234" s="486">
        <v>46220</v>
      </c>
      <c r="B234" s="487" t="s">
        <v>14</v>
      </c>
      <c r="C234" s="488" t="s">
        <v>125</v>
      </c>
      <c r="D234" s="488" t="s">
        <v>147</v>
      </c>
      <c r="E234" s="487">
        <v>4.5327000000000002</v>
      </c>
      <c r="F234" s="487">
        <v>0.49999999999998934</v>
      </c>
      <c r="G234" s="487">
        <v>18.270000000000053</v>
      </c>
      <c r="H234" s="487">
        <v>0.73080000000000211</v>
      </c>
      <c r="I234" s="487">
        <v>1.2199999999999989</v>
      </c>
      <c r="J234" s="487">
        <v>7.3700000000000543</v>
      </c>
      <c r="K234" s="489">
        <v>5.0500000000000433</v>
      </c>
    </row>
    <row r="235" spans="1:11" x14ac:dyDescent="0.3">
      <c r="A235" s="486">
        <v>46220</v>
      </c>
      <c r="B235" s="487" t="s">
        <v>15</v>
      </c>
      <c r="C235" s="488" t="s">
        <v>147</v>
      </c>
      <c r="D235" s="488" t="s">
        <v>149</v>
      </c>
      <c r="E235" s="487">
        <v>4.5213000000000001</v>
      </c>
      <c r="F235" s="487">
        <v>-1.1400000000000077</v>
      </c>
      <c r="G235" s="487">
        <v>17.130000000000045</v>
      </c>
      <c r="H235" s="487">
        <v>0.68520000000000181</v>
      </c>
      <c r="I235" s="487">
        <v>0.83999999999999631</v>
      </c>
      <c r="J235" s="487">
        <v>8.0600000000000449</v>
      </c>
      <c r="K235" s="489">
        <v>6.8800000000000416</v>
      </c>
    </row>
    <row r="236" spans="1:11" x14ac:dyDescent="0.3">
      <c r="A236" s="486">
        <v>46220</v>
      </c>
      <c r="B236" s="487" t="s">
        <v>17</v>
      </c>
      <c r="C236" s="488" t="s">
        <v>149</v>
      </c>
      <c r="D236" s="488">
        <v>46470</v>
      </c>
      <c r="E236" s="487">
        <v>4.5118</v>
      </c>
      <c r="F236" s="487">
        <v>-0.95000000000000639</v>
      </c>
      <c r="G236" s="487">
        <v>16.180000000000039</v>
      </c>
      <c r="H236" s="487">
        <v>0.64720000000000155</v>
      </c>
      <c r="I236" s="487">
        <v>0.45000000000001705</v>
      </c>
      <c r="J236" s="487">
        <v>8.7500000000000355</v>
      </c>
      <c r="K236" s="489">
        <v>8.7100000000000399</v>
      </c>
    </row>
    <row r="237" spans="1:11" x14ac:dyDescent="0.3">
      <c r="A237" s="486">
        <v>46220</v>
      </c>
      <c r="B237" s="487"/>
      <c r="C237" s="488"/>
      <c r="D237" s="488"/>
      <c r="E237" s="487"/>
      <c r="F237" s="487"/>
      <c r="G237" s="487"/>
      <c r="H237" s="487"/>
      <c r="I237" s="487">
        <v>0</v>
      </c>
      <c r="J237" s="487">
        <v>0</v>
      </c>
      <c r="K237" s="489">
        <v>0</v>
      </c>
    </row>
    <row r="238" spans="1:11" x14ac:dyDescent="0.3">
      <c r="A238" s="486">
        <v>46220</v>
      </c>
      <c r="B238" s="487"/>
      <c r="C238" s="488"/>
      <c r="D238" s="488"/>
      <c r="E238" s="487"/>
      <c r="F238" s="487"/>
      <c r="G238" s="487"/>
      <c r="H238" s="487"/>
      <c r="I238" s="487">
        <v>0</v>
      </c>
      <c r="J238" s="487">
        <v>0</v>
      </c>
      <c r="K238" s="489">
        <v>0</v>
      </c>
    </row>
    <row r="239" spans="1:11" x14ac:dyDescent="0.3">
      <c r="A239" s="486">
        <v>46220</v>
      </c>
      <c r="B239" s="487"/>
      <c r="C239" s="488"/>
      <c r="D239" s="488"/>
      <c r="E239" s="487"/>
      <c r="F239" s="487"/>
      <c r="G239" s="487"/>
      <c r="H239" s="487"/>
      <c r="I239" s="487">
        <v>0</v>
      </c>
      <c r="J239" s="487">
        <v>0</v>
      </c>
      <c r="K239" s="489">
        <v>0</v>
      </c>
    </row>
    <row r="240" spans="1:11" x14ac:dyDescent="0.3">
      <c r="A240" s="486">
        <v>46220</v>
      </c>
      <c r="B240" s="487"/>
      <c r="C240" s="488"/>
      <c r="D240" s="488"/>
      <c r="E240" s="487"/>
      <c r="F240" s="487"/>
      <c r="G240" s="487"/>
      <c r="H240" s="487"/>
      <c r="I240" s="487">
        <v>0</v>
      </c>
      <c r="J240" s="487">
        <v>0</v>
      </c>
      <c r="K240" s="489">
        <v>0</v>
      </c>
    </row>
    <row r="241" spans="1:11" x14ac:dyDescent="0.3">
      <c r="A241" s="486">
        <v>46223</v>
      </c>
      <c r="B241" s="487" t="s">
        <v>9</v>
      </c>
      <c r="C241" s="488" t="s">
        <v>109</v>
      </c>
      <c r="D241" s="488" t="s">
        <v>110</v>
      </c>
      <c r="E241" s="487">
        <v>4.4151999999999996</v>
      </c>
      <c r="F241" s="487">
        <v>6.5199999999999925</v>
      </c>
      <c r="G241" s="487">
        <v>6.5199999999999925</v>
      </c>
      <c r="H241" s="487">
        <v>0.2607999999999997</v>
      </c>
      <c r="I241" s="487">
        <v>0.49999999999998934</v>
      </c>
      <c r="J241" s="487">
        <v>0.46999999999997044</v>
      </c>
      <c r="K241" s="489">
        <v>-1.8800000000000594</v>
      </c>
    </row>
    <row r="242" spans="1:11" x14ac:dyDescent="0.3">
      <c r="A242" s="486">
        <v>46223</v>
      </c>
      <c r="B242" s="487" t="s">
        <v>10</v>
      </c>
      <c r="C242" s="488" t="s">
        <v>110</v>
      </c>
      <c r="D242" s="488" t="s">
        <v>99</v>
      </c>
      <c r="E242" s="487">
        <v>4.4577</v>
      </c>
      <c r="F242" s="487">
        <v>4.2500000000000426</v>
      </c>
      <c r="G242" s="487">
        <v>10.770000000000035</v>
      </c>
      <c r="H242" s="487">
        <v>0.4308000000000014</v>
      </c>
      <c r="I242" s="487">
        <v>0.75000000000002842</v>
      </c>
      <c r="J242" s="487">
        <v>1.7199999999999882</v>
      </c>
      <c r="K242" s="489">
        <v>1.0200000000000209</v>
      </c>
    </row>
    <row r="243" spans="1:11" x14ac:dyDescent="0.3">
      <c r="A243" s="486">
        <v>46223</v>
      </c>
      <c r="B243" s="487" t="s">
        <v>12</v>
      </c>
      <c r="C243" s="488" t="s">
        <v>99</v>
      </c>
      <c r="D243" s="488" t="s">
        <v>111</v>
      </c>
      <c r="E243" s="487">
        <v>4.5351999999999997</v>
      </c>
      <c r="F243" s="487">
        <v>7.749999999999968</v>
      </c>
      <c r="G243" s="487">
        <v>18.520000000000003</v>
      </c>
      <c r="H243" s="487">
        <v>0.74080000000000013</v>
      </c>
      <c r="I243" s="487">
        <v>1.7500000000000071</v>
      </c>
      <c r="J243" s="487">
        <v>4.469999999999974</v>
      </c>
      <c r="K243" s="489">
        <v>3.2399999999999984</v>
      </c>
    </row>
    <row r="244" spans="1:11" x14ac:dyDescent="0.3">
      <c r="A244" s="486">
        <v>46223</v>
      </c>
      <c r="B244" s="487" t="s">
        <v>13</v>
      </c>
      <c r="C244" s="488" t="s">
        <v>111</v>
      </c>
      <c r="D244" s="488" t="s">
        <v>125</v>
      </c>
      <c r="E244" s="487">
        <v>4.5526999999999997</v>
      </c>
      <c r="F244" s="487">
        <v>1.7500000000000071</v>
      </c>
      <c r="G244" s="487">
        <v>20.27000000000001</v>
      </c>
      <c r="H244" s="487">
        <v>0.81080000000000041</v>
      </c>
      <c r="I244" s="487">
        <v>2.4999999999999467</v>
      </c>
      <c r="J244" s="487">
        <v>5.4699999999999527</v>
      </c>
      <c r="K244" s="489">
        <v>4.8899999999999721</v>
      </c>
    </row>
    <row r="245" spans="1:11" x14ac:dyDescent="0.3">
      <c r="A245" s="486">
        <v>46223</v>
      </c>
      <c r="B245" s="487" t="s">
        <v>14</v>
      </c>
      <c r="C245" s="488" t="s">
        <v>125</v>
      </c>
      <c r="D245" s="488" t="s">
        <v>147</v>
      </c>
      <c r="E245" s="487">
        <v>4.5552000000000001</v>
      </c>
      <c r="F245" s="487">
        <v>0.25000000000003908</v>
      </c>
      <c r="G245" s="487">
        <v>20.520000000000049</v>
      </c>
      <c r="H245" s="487">
        <v>0.82080000000000197</v>
      </c>
      <c r="I245" s="487">
        <v>2.2499999999999964</v>
      </c>
      <c r="J245" s="487">
        <v>8.2200000000000273</v>
      </c>
      <c r="K245" s="489">
        <v>7.3000000000000398</v>
      </c>
    </row>
    <row r="246" spans="1:11" x14ac:dyDescent="0.3">
      <c r="A246" s="486">
        <v>46223</v>
      </c>
      <c r="B246" s="487" t="s">
        <v>15</v>
      </c>
      <c r="C246" s="488" t="s">
        <v>147</v>
      </c>
      <c r="D246" s="488" t="s">
        <v>149</v>
      </c>
      <c r="E246" s="487">
        <v>4.5679999999999996</v>
      </c>
      <c r="F246" s="487">
        <v>1.2799999999999478</v>
      </c>
      <c r="G246" s="487">
        <v>21.799999999999997</v>
      </c>
      <c r="H246" s="487">
        <v>0.87199999999999989</v>
      </c>
      <c r="I246" s="487">
        <v>4.669999999999952</v>
      </c>
      <c r="J246" s="487">
        <v>8.4600000000000009</v>
      </c>
      <c r="K246" s="489">
        <v>11.549999999999994</v>
      </c>
    </row>
    <row r="247" spans="1:11" x14ac:dyDescent="0.3">
      <c r="A247" s="486">
        <v>46223</v>
      </c>
      <c r="B247" s="487" t="s">
        <v>17</v>
      </c>
      <c r="C247" s="488" t="s">
        <v>149</v>
      </c>
      <c r="D247" s="488">
        <v>46470</v>
      </c>
      <c r="E247" s="487">
        <v>4.5829000000000004</v>
      </c>
      <c r="F247" s="487">
        <v>1.4900000000000801</v>
      </c>
      <c r="G247" s="487">
        <v>23.290000000000077</v>
      </c>
      <c r="H247" s="487">
        <v>0.93160000000000309</v>
      </c>
      <c r="I247" s="487">
        <v>7.1100000000000385</v>
      </c>
      <c r="J247" s="487">
        <v>8.7200000000000166</v>
      </c>
      <c r="K247" s="489">
        <v>15.820000000000078</v>
      </c>
    </row>
    <row r="248" spans="1:11" x14ac:dyDescent="0.3">
      <c r="A248" s="486">
        <v>46223</v>
      </c>
      <c r="B248" s="487"/>
      <c r="C248" s="488"/>
      <c r="D248" s="488"/>
      <c r="E248" s="487"/>
      <c r="F248" s="487"/>
      <c r="G248" s="487"/>
      <c r="H248" s="487"/>
      <c r="I248" s="487">
        <v>0</v>
      </c>
      <c r="J248" s="487">
        <v>0</v>
      </c>
      <c r="K248" s="489">
        <v>0</v>
      </c>
    </row>
    <row r="249" spans="1:11" x14ac:dyDescent="0.3">
      <c r="A249" s="486">
        <v>46223</v>
      </c>
      <c r="B249" s="487"/>
      <c r="C249" s="488"/>
      <c r="D249" s="488"/>
      <c r="E249" s="487"/>
      <c r="F249" s="487"/>
      <c r="G249" s="487"/>
      <c r="H249" s="487"/>
      <c r="I249" s="487">
        <v>0</v>
      </c>
      <c r="J249" s="487">
        <v>0</v>
      </c>
      <c r="K249" s="489">
        <v>0</v>
      </c>
    </row>
    <row r="250" spans="1:11" x14ac:dyDescent="0.3">
      <c r="A250" s="486">
        <v>46223</v>
      </c>
      <c r="B250" s="487"/>
      <c r="C250" s="488"/>
      <c r="D250" s="488"/>
      <c r="E250" s="487"/>
      <c r="F250" s="487"/>
      <c r="G250" s="487"/>
      <c r="H250" s="487"/>
      <c r="I250" s="487">
        <v>0</v>
      </c>
      <c r="J250" s="487">
        <v>0</v>
      </c>
      <c r="K250" s="489">
        <v>0</v>
      </c>
    </row>
    <row r="251" spans="1:11" x14ac:dyDescent="0.3">
      <c r="A251" s="486">
        <v>46223</v>
      </c>
      <c r="B251" s="487"/>
      <c r="C251" s="488"/>
      <c r="D251" s="488"/>
      <c r="E251" s="487"/>
      <c r="F251" s="487"/>
      <c r="G251" s="487"/>
      <c r="H251" s="487"/>
      <c r="I251" s="487">
        <v>0</v>
      </c>
      <c r="J251" s="487">
        <v>0</v>
      </c>
      <c r="K251" s="489">
        <v>0</v>
      </c>
    </row>
    <row r="252" spans="1:11" x14ac:dyDescent="0.3">
      <c r="A252" s="486">
        <v>46224</v>
      </c>
      <c r="B252" s="487" t="s">
        <v>9</v>
      </c>
      <c r="C252" s="488" t="s">
        <v>109</v>
      </c>
      <c r="D252" s="488" t="s">
        <v>110</v>
      </c>
      <c r="E252" s="487">
        <v>4.4124999999999996</v>
      </c>
      <c r="F252" s="487">
        <v>6.25</v>
      </c>
      <c r="G252" s="487">
        <v>6.25</v>
      </c>
      <c r="H252" s="487">
        <v>0.25</v>
      </c>
      <c r="I252" s="487">
        <v>-0.26999999999999247</v>
      </c>
      <c r="J252" s="487">
        <v>0.58999999999995723</v>
      </c>
      <c r="K252" s="489">
        <v>-3.0000000000000249</v>
      </c>
    </row>
    <row r="253" spans="1:11" x14ac:dyDescent="0.3">
      <c r="A253" s="486">
        <v>46224</v>
      </c>
      <c r="B253" s="487" t="s">
        <v>10</v>
      </c>
      <c r="C253" s="488" t="s">
        <v>110</v>
      </c>
      <c r="D253" s="488" t="s">
        <v>99</v>
      </c>
      <c r="E253" s="487">
        <v>4.4494999999999996</v>
      </c>
      <c r="F253" s="487">
        <v>3.6999999999999922</v>
      </c>
      <c r="G253" s="487">
        <v>9.9499999999999922</v>
      </c>
      <c r="H253" s="487">
        <v>0.39799999999999969</v>
      </c>
      <c r="I253" s="487">
        <v>-0.82000000000004292</v>
      </c>
      <c r="J253" s="487">
        <v>0.83999999999999631</v>
      </c>
      <c r="K253" s="489">
        <v>-1.3000000000000789</v>
      </c>
    </row>
    <row r="254" spans="1:11" x14ac:dyDescent="0.3">
      <c r="A254" s="486">
        <v>46224</v>
      </c>
      <c r="B254" s="487" t="s">
        <v>12</v>
      </c>
      <c r="C254" s="488" t="s">
        <v>99</v>
      </c>
      <c r="D254" s="488" t="s">
        <v>111</v>
      </c>
      <c r="E254" s="487">
        <v>4.5265000000000004</v>
      </c>
      <c r="F254" s="487">
        <v>7.7000000000000846</v>
      </c>
      <c r="G254" s="487">
        <v>17.650000000000077</v>
      </c>
      <c r="H254" s="487">
        <v>0.70600000000000307</v>
      </c>
      <c r="I254" s="487">
        <v>-0.86999999999992639</v>
      </c>
      <c r="J254" s="487">
        <v>2.2900000000000809</v>
      </c>
      <c r="K254" s="489">
        <v>1.0000000000000675</v>
      </c>
    </row>
    <row r="255" spans="1:11" x14ac:dyDescent="0.3">
      <c r="A255" s="486">
        <v>46224</v>
      </c>
      <c r="B255" s="487" t="s">
        <v>13</v>
      </c>
      <c r="C255" s="488" t="s">
        <v>111</v>
      </c>
      <c r="D255" s="488" t="s">
        <v>125</v>
      </c>
      <c r="E255" s="487">
        <v>4.5540000000000003</v>
      </c>
      <c r="F255" s="487">
        <v>2.7499999999999858</v>
      </c>
      <c r="G255" s="487">
        <v>20.400000000000063</v>
      </c>
      <c r="H255" s="487">
        <v>0.8160000000000025</v>
      </c>
      <c r="I255" s="487">
        <v>0.1300000000000523</v>
      </c>
      <c r="J255" s="487">
        <v>4.2900000000000382</v>
      </c>
      <c r="K255" s="489">
        <v>1.7900000000000027</v>
      </c>
    </row>
    <row r="256" spans="1:11" x14ac:dyDescent="0.3">
      <c r="A256" s="486">
        <v>46224</v>
      </c>
      <c r="B256" s="487" t="s">
        <v>14</v>
      </c>
      <c r="C256" s="488" t="s">
        <v>125</v>
      </c>
      <c r="D256" s="488" t="s">
        <v>147</v>
      </c>
      <c r="E256" s="487">
        <v>4.5490000000000004</v>
      </c>
      <c r="F256" s="487">
        <v>-0.49999999999998934</v>
      </c>
      <c r="G256" s="487">
        <v>19.900000000000073</v>
      </c>
      <c r="H256" s="487">
        <v>0.79600000000000293</v>
      </c>
      <c r="I256" s="487">
        <v>-0.61999999999997613</v>
      </c>
      <c r="J256" s="487">
        <v>4.7900000000000276</v>
      </c>
      <c r="K256" s="489">
        <v>1.5900000000000247</v>
      </c>
    </row>
    <row r="257" spans="1:11" x14ac:dyDescent="0.3">
      <c r="A257" s="486">
        <v>46224</v>
      </c>
      <c r="B257" s="487" t="s">
        <v>15</v>
      </c>
      <c r="C257" s="488" t="s">
        <v>147</v>
      </c>
      <c r="D257" s="488" t="s">
        <v>149</v>
      </c>
      <c r="E257" s="487">
        <v>4.5556999999999999</v>
      </c>
      <c r="F257" s="487">
        <v>0.66999999999994841</v>
      </c>
      <c r="G257" s="487">
        <v>20.570000000000022</v>
      </c>
      <c r="H257" s="487">
        <v>0.82280000000000086</v>
      </c>
      <c r="I257" s="487">
        <v>-1.2299999999999756</v>
      </c>
      <c r="J257" s="487">
        <v>6.7299999999999471</v>
      </c>
      <c r="K257" s="489">
        <v>5.6199999999999584</v>
      </c>
    </row>
    <row r="258" spans="1:11" x14ac:dyDescent="0.3">
      <c r="A258" s="486">
        <v>46224</v>
      </c>
      <c r="B258" s="487" t="s">
        <v>17</v>
      </c>
      <c r="C258" s="488" t="s">
        <v>149</v>
      </c>
      <c r="D258" s="488">
        <v>46470</v>
      </c>
      <c r="E258" s="487">
        <v>4.5644</v>
      </c>
      <c r="F258" s="487">
        <v>0.87000000000001521</v>
      </c>
      <c r="G258" s="487">
        <v>21.440000000000037</v>
      </c>
      <c r="H258" s="487">
        <v>0.85760000000000147</v>
      </c>
      <c r="I258" s="487">
        <v>-1.8500000000000405</v>
      </c>
      <c r="J258" s="487">
        <v>8.680000000000021</v>
      </c>
      <c r="K258" s="489">
        <v>9.6499999999999808</v>
      </c>
    </row>
    <row r="259" spans="1:11" x14ac:dyDescent="0.3">
      <c r="A259" s="486">
        <v>46224</v>
      </c>
      <c r="B259" s="487"/>
      <c r="C259" s="488"/>
      <c r="D259" s="488"/>
      <c r="E259" s="487"/>
      <c r="F259" s="487"/>
      <c r="G259" s="487"/>
      <c r="H259" s="487"/>
      <c r="I259" s="487">
        <v>0</v>
      </c>
      <c r="J259" s="487">
        <v>0</v>
      </c>
      <c r="K259" s="489">
        <v>0</v>
      </c>
    </row>
    <row r="260" spans="1:11" x14ac:dyDescent="0.3">
      <c r="A260" s="486">
        <v>46224</v>
      </c>
      <c r="B260" s="487"/>
      <c r="C260" s="488"/>
      <c r="D260" s="488"/>
      <c r="E260" s="487"/>
      <c r="F260" s="487"/>
      <c r="G260" s="487"/>
      <c r="H260" s="487"/>
      <c r="I260" s="487">
        <v>0</v>
      </c>
      <c r="J260" s="487">
        <v>0</v>
      </c>
      <c r="K260" s="489">
        <v>0</v>
      </c>
    </row>
    <row r="261" spans="1:11" x14ac:dyDescent="0.3">
      <c r="A261" s="486">
        <v>46224</v>
      </c>
      <c r="B261" s="487"/>
      <c r="C261" s="488"/>
      <c r="D261" s="488"/>
      <c r="E261" s="487"/>
      <c r="F261" s="487"/>
      <c r="G261" s="487"/>
      <c r="H261" s="487"/>
      <c r="I261" s="487">
        <v>0</v>
      </c>
      <c r="J261" s="487">
        <v>0</v>
      </c>
      <c r="K261" s="489">
        <v>0</v>
      </c>
    </row>
    <row r="262" spans="1:11" x14ac:dyDescent="0.3">
      <c r="A262" s="486">
        <v>46224</v>
      </c>
      <c r="B262" s="487"/>
      <c r="C262" s="488"/>
      <c r="D262" s="488"/>
      <c r="E262" s="487"/>
      <c r="F262" s="487"/>
      <c r="G262" s="487"/>
      <c r="H262" s="487"/>
      <c r="I262" s="487">
        <v>0</v>
      </c>
      <c r="J262" s="487">
        <v>0</v>
      </c>
      <c r="K262" s="489">
        <v>0</v>
      </c>
    </row>
    <row r="263" spans="1:11" x14ac:dyDescent="0.3">
      <c r="A263" s="501">
        <v>46225</v>
      </c>
      <c r="B263" s="502" t="s">
        <v>9</v>
      </c>
      <c r="C263" s="503" t="s">
        <v>109</v>
      </c>
      <c r="D263" s="503" t="s">
        <v>110</v>
      </c>
      <c r="E263" s="502">
        <v>4.415</v>
      </c>
      <c r="F263" s="502">
        <v>6.5000000000000391</v>
      </c>
      <c r="G263" s="502">
        <v>6.5000000000000391</v>
      </c>
      <c r="H263" s="502">
        <v>0.26000000000000156</v>
      </c>
      <c r="I263" s="502">
        <v>0.25000000000003908</v>
      </c>
      <c r="J263" s="502">
        <v>0.38000000000000256</v>
      </c>
      <c r="K263" s="504">
        <v>-2.4000000000000021</v>
      </c>
    </row>
    <row r="264" spans="1:11" x14ac:dyDescent="0.3">
      <c r="A264" s="501">
        <v>46225</v>
      </c>
      <c r="B264" s="502" t="s">
        <v>10</v>
      </c>
      <c r="C264" s="503" t="s">
        <v>110</v>
      </c>
      <c r="D264" s="503" t="s">
        <v>99</v>
      </c>
      <c r="E264" s="502">
        <v>4.45</v>
      </c>
      <c r="F264" s="502">
        <v>3.5000000000000142</v>
      </c>
      <c r="G264" s="502">
        <v>10.000000000000053</v>
      </c>
      <c r="H264" s="502">
        <v>0.40000000000000213</v>
      </c>
      <c r="I264" s="502">
        <v>5.0000000000061107E-2</v>
      </c>
      <c r="J264" s="502">
        <v>0.22999999999999687</v>
      </c>
      <c r="K264" s="504">
        <v>-0.89999999999994529</v>
      </c>
    </row>
    <row r="265" spans="1:11" x14ac:dyDescent="0.3">
      <c r="A265" s="501">
        <v>46225</v>
      </c>
      <c r="B265" s="502" t="s">
        <v>12</v>
      </c>
      <c r="C265" s="503" t="s">
        <v>99</v>
      </c>
      <c r="D265" s="503" t="s">
        <v>111</v>
      </c>
      <c r="E265" s="502">
        <v>4.5274999999999999</v>
      </c>
      <c r="F265" s="502">
        <v>7.749999999999968</v>
      </c>
      <c r="G265" s="502">
        <v>17.750000000000021</v>
      </c>
      <c r="H265" s="502">
        <v>0.71000000000000085</v>
      </c>
      <c r="I265" s="502">
        <v>9.9999999999944578E-2</v>
      </c>
      <c r="J265" s="502">
        <v>1.7299999999999649</v>
      </c>
      <c r="K265" s="504">
        <v>1.049999999999951</v>
      </c>
    </row>
    <row r="266" spans="1:11" x14ac:dyDescent="0.3">
      <c r="A266" s="501">
        <v>46225</v>
      </c>
      <c r="B266" s="502" t="s">
        <v>13</v>
      </c>
      <c r="C266" s="503" t="s">
        <v>111</v>
      </c>
      <c r="D266" s="503" t="s">
        <v>125</v>
      </c>
      <c r="E266" s="502">
        <v>4.5599999999999996</v>
      </c>
      <c r="F266" s="502">
        <v>3.2499999999999751</v>
      </c>
      <c r="G266" s="502">
        <v>20.999999999999996</v>
      </c>
      <c r="H266" s="502">
        <v>0.83999999999999986</v>
      </c>
      <c r="I266" s="502">
        <v>0.59999999999993392</v>
      </c>
      <c r="J266" s="502">
        <v>4.2300000000000004</v>
      </c>
      <c r="K266" s="504">
        <v>4.6999999999999709</v>
      </c>
    </row>
    <row r="267" spans="1:11" x14ac:dyDescent="0.3">
      <c r="A267" s="501">
        <v>46225</v>
      </c>
      <c r="B267" s="502" t="s">
        <v>14</v>
      </c>
      <c r="C267" s="503" t="s">
        <v>125</v>
      </c>
      <c r="D267" s="503" t="s">
        <v>147</v>
      </c>
      <c r="E267" s="502">
        <v>4.5650000000000004</v>
      </c>
      <c r="F267" s="502">
        <v>0.50000000000007816</v>
      </c>
      <c r="G267" s="502">
        <v>21.500000000000075</v>
      </c>
      <c r="H267" s="502">
        <v>0.86000000000000298</v>
      </c>
      <c r="I267" s="502">
        <v>1.6000000000000014</v>
      </c>
      <c r="J267" s="502">
        <v>5.7300000000000573</v>
      </c>
      <c r="K267" s="504">
        <v>6.1000000000000831</v>
      </c>
    </row>
    <row r="268" spans="1:11" x14ac:dyDescent="0.3">
      <c r="A268" s="501">
        <v>46225</v>
      </c>
      <c r="B268" s="502" t="s">
        <v>15</v>
      </c>
      <c r="C268" s="503" t="s">
        <v>147</v>
      </c>
      <c r="D268" s="503" t="s">
        <v>149</v>
      </c>
      <c r="E268" s="502">
        <v>4.5716000000000001</v>
      </c>
      <c r="F268" s="502">
        <v>0.65999999999997172</v>
      </c>
      <c r="G268" s="502">
        <v>22.160000000000046</v>
      </c>
      <c r="H268" s="502">
        <v>0.88640000000000185</v>
      </c>
      <c r="I268" s="502">
        <v>1.5900000000000247</v>
      </c>
      <c r="J268" s="502">
        <v>8.0200000000000493</v>
      </c>
      <c r="K268" s="504">
        <v>10.060000000000002</v>
      </c>
    </row>
    <row r="269" spans="1:11" x14ac:dyDescent="0.3">
      <c r="A269" s="501">
        <v>46225</v>
      </c>
      <c r="B269" s="502" t="s">
        <v>17</v>
      </c>
      <c r="C269" s="503" t="s">
        <v>149</v>
      </c>
      <c r="D269" s="503">
        <v>46470</v>
      </c>
      <c r="E269" s="502">
        <v>4.5888999999999998</v>
      </c>
      <c r="F269" s="502">
        <v>1.7299999999999649</v>
      </c>
      <c r="G269" s="502">
        <v>23.890000000000011</v>
      </c>
      <c r="H269" s="502">
        <v>0.95560000000000045</v>
      </c>
      <c r="I269" s="502">
        <v>2.4499999999999744</v>
      </c>
      <c r="J269" s="502">
        <v>11.189999999999944</v>
      </c>
      <c r="K269" s="504">
        <v>14.889999999999937</v>
      </c>
    </row>
    <row r="270" spans="1:11" x14ac:dyDescent="0.3">
      <c r="A270" s="501">
        <v>46225</v>
      </c>
      <c r="B270" s="502"/>
      <c r="C270" s="503"/>
      <c r="D270" s="503"/>
      <c r="E270" s="502"/>
      <c r="F270" s="502"/>
      <c r="G270" s="502"/>
      <c r="H270" s="502"/>
      <c r="I270" s="502">
        <v>0</v>
      </c>
      <c r="J270" s="502">
        <v>0</v>
      </c>
      <c r="K270" s="504">
        <v>0</v>
      </c>
    </row>
    <row r="271" spans="1:11" x14ac:dyDescent="0.3">
      <c r="A271" s="501">
        <v>46225</v>
      </c>
      <c r="B271" s="502"/>
      <c r="C271" s="503"/>
      <c r="D271" s="503"/>
      <c r="E271" s="502"/>
      <c r="F271" s="502"/>
      <c r="G271" s="502"/>
      <c r="H271" s="502"/>
      <c r="I271" s="502">
        <v>0</v>
      </c>
      <c r="J271" s="502">
        <v>0</v>
      </c>
      <c r="K271" s="504">
        <v>0</v>
      </c>
    </row>
    <row r="272" spans="1:11" x14ac:dyDescent="0.3">
      <c r="A272" s="501">
        <v>46225</v>
      </c>
      <c r="B272" s="502"/>
      <c r="C272" s="503"/>
      <c r="D272" s="503"/>
      <c r="E272" s="502"/>
      <c r="F272" s="502"/>
      <c r="G272" s="502"/>
      <c r="H272" s="502"/>
      <c r="I272" s="502">
        <v>0</v>
      </c>
      <c r="J272" s="502">
        <v>0</v>
      </c>
      <c r="K272" s="504">
        <v>0</v>
      </c>
    </row>
    <row r="273" spans="1:11" x14ac:dyDescent="0.3">
      <c r="A273" s="501">
        <v>46225</v>
      </c>
      <c r="B273" s="502"/>
      <c r="C273" s="503"/>
      <c r="D273" s="503"/>
      <c r="E273" s="502"/>
      <c r="F273" s="502"/>
      <c r="G273" s="502"/>
      <c r="H273" s="502"/>
      <c r="I273" s="502">
        <v>0</v>
      </c>
      <c r="J273" s="502">
        <v>0</v>
      </c>
      <c r="K273" s="504">
        <v>0</v>
      </c>
    </row>
    <row r="274" spans="1:11" x14ac:dyDescent="0.3">
      <c r="A274" s="9">
        <v>46226</v>
      </c>
      <c r="B274" s="10" t="s">
        <v>9</v>
      </c>
      <c r="C274" s="121" t="s">
        <v>109</v>
      </c>
      <c r="D274" s="121" t="s">
        <v>110</v>
      </c>
      <c r="E274" s="10">
        <v>4.46</v>
      </c>
      <c r="F274" s="10">
        <v>11.000000000000032</v>
      </c>
      <c r="G274" s="10">
        <v>11.000000000000032</v>
      </c>
      <c r="H274" s="10">
        <v>0.44000000000000128</v>
      </c>
      <c r="I274" s="10">
        <v>4.4999999999999929</v>
      </c>
      <c r="J274" s="10">
        <v>4.6999999999999709</v>
      </c>
      <c r="K274" s="11">
        <v>2.7000000000000135</v>
      </c>
    </row>
    <row r="275" spans="1:11" x14ac:dyDescent="0.3">
      <c r="A275" s="9">
        <v>46226</v>
      </c>
      <c r="B275" s="10" t="s">
        <v>10</v>
      </c>
      <c r="C275" s="121" t="s">
        <v>110</v>
      </c>
      <c r="D275" s="121" t="s">
        <v>99</v>
      </c>
      <c r="E275" s="10">
        <v>4.5</v>
      </c>
      <c r="F275" s="10">
        <v>4.0000000000000036</v>
      </c>
      <c r="G275" s="10">
        <v>15.000000000000036</v>
      </c>
      <c r="H275" s="10">
        <v>0.60000000000000142</v>
      </c>
      <c r="I275" s="10">
        <v>4.9999999999999822</v>
      </c>
      <c r="J275" s="10">
        <v>4.6999999999999709</v>
      </c>
      <c r="K275" s="11">
        <v>4.6999999999999709</v>
      </c>
    </row>
    <row r="276" spans="1:11" x14ac:dyDescent="0.3">
      <c r="A276" s="9">
        <v>46226</v>
      </c>
      <c r="B276" s="10" t="s">
        <v>12</v>
      </c>
      <c r="C276" s="121" t="s">
        <v>99</v>
      </c>
      <c r="D276" s="121" t="s">
        <v>111</v>
      </c>
      <c r="E276" s="10">
        <v>4.6050000000000004</v>
      </c>
      <c r="F276" s="10">
        <v>10.500000000000043</v>
      </c>
      <c r="G276" s="10">
        <v>25.500000000000078</v>
      </c>
      <c r="H276" s="10">
        <v>1.0200000000000031</v>
      </c>
      <c r="I276" s="10">
        <v>7.7500000000000568</v>
      </c>
      <c r="J276" s="10">
        <v>8.7000000000000632</v>
      </c>
      <c r="K276" s="11">
        <v>10.200000000000031</v>
      </c>
    </row>
    <row r="277" spans="1:11" x14ac:dyDescent="0.3">
      <c r="A277" s="9">
        <v>46226</v>
      </c>
      <c r="B277" s="10" t="s">
        <v>13</v>
      </c>
      <c r="C277" s="121" t="s">
        <v>111</v>
      </c>
      <c r="D277" s="121" t="s">
        <v>125</v>
      </c>
      <c r="E277" s="10">
        <v>4.6500000000000004</v>
      </c>
      <c r="F277" s="10">
        <v>4.4999999999999929</v>
      </c>
      <c r="G277" s="10">
        <v>30.000000000000071</v>
      </c>
      <c r="H277" s="10">
        <v>1.2000000000000028</v>
      </c>
      <c r="I277" s="10">
        <v>9.0000000000000746</v>
      </c>
      <c r="J277" s="10">
        <v>12.450000000000028</v>
      </c>
      <c r="K277" s="11">
        <v>14.820000000000011</v>
      </c>
    </row>
    <row r="278" spans="1:11" x14ac:dyDescent="0.3">
      <c r="A278" s="9">
        <v>46226</v>
      </c>
      <c r="B278" s="10" t="s">
        <v>14</v>
      </c>
      <c r="C278" s="121" t="s">
        <v>125</v>
      </c>
      <c r="D278" s="121" t="s">
        <v>147</v>
      </c>
      <c r="E278" s="10">
        <v>4.67</v>
      </c>
      <c r="F278" s="10">
        <v>1.9999999999999574</v>
      </c>
      <c r="G278" s="10">
        <v>32.000000000000028</v>
      </c>
      <c r="H278" s="10">
        <v>1.2800000000000011</v>
      </c>
      <c r="I278" s="10">
        <v>10.499999999999954</v>
      </c>
      <c r="J278" s="10">
        <v>14.949999999999974</v>
      </c>
      <c r="K278" s="11">
        <v>17.779999999999951</v>
      </c>
    </row>
    <row r="279" spans="1:11" x14ac:dyDescent="0.3">
      <c r="A279" s="9">
        <v>46226</v>
      </c>
      <c r="B279" s="10" t="s">
        <v>15</v>
      </c>
      <c r="C279" s="121" t="s">
        <v>147</v>
      </c>
      <c r="D279" s="121" t="s">
        <v>149</v>
      </c>
      <c r="E279" s="10">
        <v>4.6859000000000002</v>
      </c>
      <c r="F279" s="10">
        <v>1.5900000000000247</v>
      </c>
      <c r="G279" s="10">
        <v>33.590000000000053</v>
      </c>
      <c r="H279" s="10">
        <v>1.3436000000000021</v>
      </c>
      <c r="I279" s="10">
        <v>11.430000000000007</v>
      </c>
      <c r="J279" s="10">
        <v>17.300000000000004</v>
      </c>
      <c r="K279" s="11">
        <v>23.240000000000016</v>
      </c>
    </row>
    <row r="280" spans="1:11" x14ac:dyDescent="0.3">
      <c r="A280" s="9">
        <v>46226</v>
      </c>
      <c r="B280" s="10" t="s">
        <v>17</v>
      </c>
      <c r="C280" s="121" t="s">
        <v>149</v>
      </c>
      <c r="D280" s="121">
        <v>46470</v>
      </c>
      <c r="E280" s="10">
        <v>4.7252000000000001</v>
      </c>
      <c r="F280" s="10">
        <v>3.9299999999999891</v>
      </c>
      <c r="G280" s="10">
        <v>37.520000000000039</v>
      </c>
      <c r="H280" s="10">
        <v>1.5008000000000015</v>
      </c>
      <c r="I280" s="10">
        <v>13.630000000000031</v>
      </c>
      <c r="J280" s="10">
        <v>21.79000000000002</v>
      </c>
      <c r="K280" s="11">
        <v>30.850000000000044</v>
      </c>
    </row>
    <row r="281" spans="1:11" x14ac:dyDescent="0.3">
      <c r="A281" s="9">
        <v>46226</v>
      </c>
      <c r="B281" s="10"/>
      <c r="C281" s="121"/>
      <c r="D281" s="121"/>
      <c r="E281" s="10"/>
      <c r="F281" s="10"/>
      <c r="G281" s="10"/>
      <c r="H281" s="10"/>
      <c r="I281" s="10">
        <v>0</v>
      </c>
      <c r="J281" s="10">
        <v>0</v>
      </c>
      <c r="K281" s="11">
        <v>0</v>
      </c>
    </row>
    <row r="282" spans="1:11" x14ac:dyDescent="0.3">
      <c r="A282" s="9">
        <v>46226</v>
      </c>
      <c r="B282" s="10"/>
      <c r="C282" s="121"/>
      <c r="D282" s="121"/>
      <c r="E282" s="10"/>
      <c r="F282" s="10"/>
      <c r="G282" s="10"/>
      <c r="H282" s="10"/>
      <c r="I282" s="10">
        <v>0</v>
      </c>
      <c r="J282" s="10">
        <v>0</v>
      </c>
      <c r="K282" s="11">
        <v>0</v>
      </c>
    </row>
    <row r="283" spans="1:11" x14ac:dyDescent="0.3">
      <c r="A283" s="9">
        <v>46226</v>
      </c>
      <c r="B283" s="10"/>
      <c r="C283" s="121"/>
      <c r="D283" s="121"/>
      <c r="E283" s="10"/>
      <c r="F283" s="10"/>
      <c r="G283" s="10"/>
      <c r="H283" s="10"/>
      <c r="I283" s="10">
        <v>0</v>
      </c>
      <c r="J283" s="10">
        <v>0</v>
      </c>
      <c r="K283" s="11">
        <v>0</v>
      </c>
    </row>
    <row r="284" spans="1:11" x14ac:dyDescent="0.3">
      <c r="A284" s="9">
        <v>46226</v>
      </c>
      <c r="B284" s="10"/>
      <c r="C284" s="121"/>
      <c r="D284" s="121"/>
      <c r="E284" s="10"/>
      <c r="F284" s="10"/>
      <c r="G284" s="10"/>
      <c r="H284" s="10"/>
      <c r="I284" s="10">
        <v>0</v>
      </c>
      <c r="J284" s="10">
        <v>0</v>
      </c>
      <c r="K284" s="11">
        <v>0</v>
      </c>
    </row>
    <row r="285" spans="1:11" x14ac:dyDescent="0.3">
      <c r="A285" s="516">
        <v>46227</v>
      </c>
      <c r="B285" s="517" t="s">
        <v>9</v>
      </c>
      <c r="C285" s="518" t="s">
        <v>109</v>
      </c>
      <c r="D285" s="518" t="s">
        <v>110</v>
      </c>
      <c r="E285" s="517">
        <v>4.4539999999999997</v>
      </c>
      <c r="F285" s="517">
        <v>10.400000000000009</v>
      </c>
      <c r="G285" s="517">
        <v>10.400000000000009</v>
      </c>
      <c r="H285" s="517">
        <v>0.41600000000000037</v>
      </c>
      <c r="I285" s="517">
        <v>-0.60000000000002274</v>
      </c>
      <c r="J285" s="517">
        <v>4.3800000000000061</v>
      </c>
      <c r="K285" s="519">
        <v>1.6499999999999737</v>
      </c>
    </row>
    <row r="286" spans="1:11" x14ac:dyDescent="0.3">
      <c r="A286" s="516">
        <v>46227</v>
      </c>
      <c r="B286" s="517" t="s">
        <v>10</v>
      </c>
      <c r="C286" s="518" t="s">
        <v>110</v>
      </c>
      <c r="D286" s="518" t="s">
        <v>99</v>
      </c>
      <c r="E286" s="517">
        <v>4.4989999999999997</v>
      </c>
      <c r="F286" s="517">
        <v>4.4999999999999929</v>
      </c>
      <c r="G286" s="517">
        <v>14.900000000000002</v>
      </c>
      <c r="H286" s="517">
        <v>0.59600000000000009</v>
      </c>
      <c r="I286" s="517">
        <v>-0.1000000000000334</v>
      </c>
      <c r="J286" s="517">
        <v>4.8799999999999955</v>
      </c>
      <c r="K286" s="519">
        <v>4.1500000000000092</v>
      </c>
    </row>
    <row r="287" spans="1:11" x14ac:dyDescent="0.3">
      <c r="A287" s="516">
        <v>46227</v>
      </c>
      <c r="B287" s="517" t="s">
        <v>12</v>
      </c>
      <c r="C287" s="518" t="s">
        <v>99</v>
      </c>
      <c r="D287" s="518" t="s">
        <v>111</v>
      </c>
      <c r="E287" s="517">
        <v>4.609</v>
      </c>
      <c r="F287" s="517">
        <v>11.000000000000032</v>
      </c>
      <c r="G287" s="517">
        <v>25.900000000000034</v>
      </c>
      <c r="H287" s="517">
        <v>1.0360000000000014</v>
      </c>
      <c r="I287" s="517">
        <v>0.39999999999995595</v>
      </c>
      <c r="J287" s="517">
        <v>9.1300000000000381</v>
      </c>
      <c r="K287" s="519">
        <v>9.6499999999999808</v>
      </c>
    </row>
    <row r="288" spans="1:11" x14ac:dyDescent="0.3">
      <c r="A288" s="516">
        <v>46227</v>
      </c>
      <c r="B288" s="517" t="s">
        <v>13</v>
      </c>
      <c r="C288" s="518" t="s">
        <v>111</v>
      </c>
      <c r="D288" s="518" t="s">
        <v>125</v>
      </c>
      <c r="E288" s="517">
        <v>4.6589999999999998</v>
      </c>
      <c r="F288" s="517">
        <v>4.9999999999999822</v>
      </c>
      <c r="G288" s="517">
        <v>30.900000000000016</v>
      </c>
      <c r="H288" s="517">
        <v>1.2360000000000007</v>
      </c>
      <c r="I288" s="517">
        <v>0.89999999999994529</v>
      </c>
      <c r="J288" s="517">
        <v>13.129999999999953</v>
      </c>
      <c r="K288" s="519">
        <v>14.480000000000004</v>
      </c>
    </row>
    <row r="289" spans="1:11" x14ac:dyDescent="0.3">
      <c r="A289" s="516">
        <v>46227</v>
      </c>
      <c r="B289" s="517" t="s">
        <v>14</v>
      </c>
      <c r="C289" s="518" t="s">
        <v>125</v>
      </c>
      <c r="D289" s="518" t="s">
        <v>147</v>
      </c>
      <c r="E289" s="517">
        <v>4.6965000000000003</v>
      </c>
      <c r="F289" s="517">
        <v>3.7500000000000533</v>
      </c>
      <c r="G289" s="517">
        <v>34.65000000000007</v>
      </c>
      <c r="H289" s="517">
        <v>1.3860000000000028</v>
      </c>
      <c r="I289" s="517">
        <v>2.6500000000000412</v>
      </c>
      <c r="J289" s="517">
        <v>16.380000000000017</v>
      </c>
      <c r="K289" s="519">
        <v>19.08000000000003</v>
      </c>
    </row>
    <row r="290" spans="1:11" x14ac:dyDescent="0.3">
      <c r="A290" s="516">
        <v>46227</v>
      </c>
      <c r="B290" s="517" t="s">
        <v>15</v>
      </c>
      <c r="C290" s="518" t="s">
        <v>147</v>
      </c>
      <c r="D290" s="518" t="s">
        <v>149</v>
      </c>
      <c r="E290" s="517">
        <v>4.6863000000000001</v>
      </c>
      <c r="F290" s="517">
        <v>-1.0200000000000209</v>
      </c>
      <c r="G290" s="517">
        <v>33.630000000000052</v>
      </c>
      <c r="H290" s="517">
        <v>1.3452000000000022</v>
      </c>
      <c r="I290" s="517">
        <v>3.9999999999995595E-2</v>
      </c>
      <c r="J290" s="517">
        <v>16.500000000000004</v>
      </c>
      <c r="K290" s="519">
        <v>22.109999999999985</v>
      </c>
    </row>
    <row r="291" spans="1:11" x14ac:dyDescent="0.3">
      <c r="A291" s="516">
        <v>46227</v>
      </c>
      <c r="B291" s="517" t="s">
        <v>17</v>
      </c>
      <c r="C291" s="518" t="s">
        <v>149</v>
      </c>
      <c r="D291" s="518">
        <v>46470</v>
      </c>
      <c r="E291" s="517">
        <v>4.6646000000000001</v>
      </c>
      <c r="F291" s="517">
        <v>-2.1700000000000053</v>
      </c>
      <c r="G291" s="517">
        <v>31.460000000000043</v>
      </c>
      <c r="H291" s="517">
        <v>1.2584000000000017</v>
      </c>
      <c r="I291" s="517">
        <v>-6.0599999999999987</v>
      </c>
      <c r="J291" s="517">
        <v>15.280000000000005</v>
      </c>
      <c r="K291" s="519">
        <v>23.789999999999978</v>
      </c>
    </row>
    <row r="292" spans="1:11" x14ac:dyDescent="0.3">
      <c r="A292" s="516">
        <v>46227</v>
      </c>
      <c r="B292" s="517"/>
      <c r="C292" s="518"/>
      <c r="D292" s="518"/>
      <c r="E292" s="517"/>
      <c r="F292" s="517"/>
      <c r="G292" s="517"/>
      <c r="H292" s="517"/>
      <c r="I292" s="517">
        <v>0</v>
      </c>
      <c r="J292" s="517">
        <v>0</v>
      </c>
      <c r="K292" s="519">
        <v>0</v>
      </c>
    </row>
    <row r="293" spans="1:11" x14ac:dyDescent="0.3">
      <c r="A293" s="516">
        <v>46227</v>
      </c>
      <c r="B293" s="517"/>
      <c r="C293" s="518"/>
      <c r="D293" s="518"/>
      <c r="E293" s="517"/>
      <c r="F293" s="517"/>
      <c r="G293" s="517"/>
      <c r="H293" s="517"/>
      <c r="I293" s="517">
        <v>0</v>
      </c>
      <c r="J293" s="517">
        <v>0</v>
      </c>
      <c r="K293" s="519">
        <v>0</v>
      </c>
    </row>
    <row r="294" spans="1:11" x14ac:dyDescent="0.3">
      <c r="A294" s="516">
        <v>46227</v>
      </c>
      <c r="B294" s="517"/>
      <c r="C294" s="518"/>
      <c r="D294" s="518"/>
      <c r="E294" s="517"/>
      <c r="F294" s="517"/>
      <c r="G294" s="517"/>
      <c r="H294" s="517"/>
      <c r="I294" s="517">
        <v>0</v>
      </c>
      <c r="J294" s="517">
        <v>0</v>
      </c>
      <c r="K294" s="519">
        <v>0</v>
      </c>
    </row>
    <row r="295" spans="1:11" x14ac:dyDescent="0.3">
      <c r="A295" s="516">
        <v>46227</v>
      </c>
      <c r="B295" s="517"/>
      <c r="C295" s="518"/>
      <c r="D295" s="518"/>
      <c r="E295" s="517"/>
      <c r="F295" s="517"/>
      <c r="G295" s="517"/>
      <c r="H295" s="517"/>
      <c r="I295" s="517">
        <v>0</v>
      </c>
      <c r="J295" s="517">
        <v>0</v>
      </c>
      <c r="K295" s="519">
        <v>0</v>
      </c>
    </row>
    <row r="296" spans="1:11" x14ac:dyDescent="0.3">
      <c r="A296" s="516">
        <v>46230</v>
      </c>
      <c r="B296" s="517" t="s">
        <v>9</v>
      </c>
      <c r="C296" s="518" t="s">
        <v>109</v>
      </c>
      <c r="D296" s="518" t="s">
        <v>110</v>
      </c>
      <c r="E296" s="517">
        <v>4.4344999999999999</v>
      </c>
      <c r="F296" s="517">
        <v>8.4500000000000242</v>
      </c>
      <c r="G296" s="517">
        <v>8.4500000000000242</v>
      </c>
      <c r="H296" s="517">
        <v>0.33800000000000097</v>
      </c>
      <c r="I296" s="517">
        <v>-1.9499999999999851</v>
      </c>
      <c r="J296" s="517">
        <v>1.9300000000000317</v>
      </c>
      <c r="K296" s="519">
        <v>-0.30000000000001137</v>
      </c>
    </row>
    <row r="297" spans="1:11" x14ac:dyDescent="0.3">
      <c r="A297" s="516">
        <v>46230</v>
      </c>
      <c r="B297" s="517" t="s">
        <v>10</v>
      </c>
      <c r="C297" s="518" t="s">
        <v>110</v>
      </c>
      <c r="D297" s="518" t="s">
        <v>99</v>
      </c>
      <c r="E297" s="517">
        <v>4.4664999999999999</v>
      </c>
      <c r="F297" s="517">
        <v>3.2000000000000028</v>
      </c>
      <c r="G297" s="517">
        <v>11.650000000000027</v>
      </c>
      <c r="H297" s="517">
        <v>0.46600000000000108</v>
      </c>
      <c r="I297" s="517">
        <v>-3.2499999999999751</v>
      </c>
      <c r="J297" s="517">
        <v>0.8799999999999919</v>
      </c>
      <c r="K297" s="519">
        <v>0.90000000000003411</v>
      </c>
    </row>
    <row r="298" spans="1:11" x14ac:dyDescent="0.3">
      <c r="A298" s="516">
        <v>46230</v>
      </c>
      <c r="B298" s="517" t="s">
        <v>12</v>
      </c>
      <c r="C298" s="518" t="s">
        <v>99</v>
      </c>
      <c r="D298" s="518" t="s">
        <v>111</v>
      </c>
      <c r="E298" s="517">
        <v>4.5765000000000002</v>
      </c>
      <c r="F298" s="517">
        <v>11.000000000000032</v>
      </c>
      <c r="G298" s="517">
        <v>22.650000000000059</v>
      </c>
      <c r="H298" s="517">
        <v>0.90600000000000236</v>
      </c>
      <c r="I298" s="517">
        <v>-3.2499999999999751</v>
      </c>
      <c r="J298" s="517">
        <v>4.1300000000000558</v>
      </c>
      <c r="K298" s="519">
        <v>6.4000000000000057</v>
      </c>
    </row>
    <row r="299" spans="1:11" x14ac:dyDescent="0.3">
      <c r="A299" s="516">
        <v>46230</v>
      </c>
      <c r="B299" s="517" t="s">
        <v>13</v>
      </c>
      <c r="C299" s="518" t="s">
        <v>111</v>
      </c>
      <c r="D299" s="518" t="s">
        <v>125</v>
      </c>
      <c r="E299" s="517">
        <v>4.6215000000000002</v>
      </c>
      <c r="F299" s="517">
        <v>4.4999999999999929</v>
      </c>
      <c r="G299" s="517">
        <v>27.150000000000052</v>
      </c>
      <c r="H299" s="517">
        <v>1.0860000000000021</v>
      </c>
      <c r="I299" s="517">
        <v>-3.7499999999999645</v>
      </c>
      <c r="J299" s="517">
        <v>6.8800000000000416</v>
      </c>
      <c r="K299" s="519">
        <v>10.73000000000004</v>
      </c>
    </row>
    <row r="300" spans="1:11" x14ac:dyDescent="0.3">
      <c r="A300" s="516">
        <v>46230</v>
      </c>
      <c r="B300" s="517" t="s">
        <v>14</v>
      </c>
      <c r="C300" s="518" t="s">
        <v>125</v>
      </c>
      <c r="D300" s="518" t="s">
        <v>147</v>
      </c>
      <c r="E300" s="517">
        <v>4.6464999999999996</v>
      </c>
      <c r="F300" s="517">
        <v>2.4999999999999467</v>
      </c>
      <c r="G300" s="517">
        <v>29.65</v>
      </c>
      <c r="H300" s="517">
        <v>1.1859999999999999</v>
      </c>
      <c r="I300" s="517">
        <v>-5.0000000000000711</v>
      </c>
      <c r="J300" s="517">
        <v>9.1299999999999493</v>
      </c>
      <c r="K300" s="519">
        <v>14.079999999999959</v>
      </c>
    </row>
    <row r="301" spans="1:11" x14ac:dyDescent="0.3">
      <c r="A301" s="516">
        <v>46230</v>
      </c>
      <c r="B301" s="517" t="s">
        <v>15</v>
      </c>
      <c r="C301" s="518" t="s">
        <v>147</v>
      </c>
      <c r="D301" s="518" t="s">
        <v>149</v>
      </c>
      <c r="E301" s="517">
        <v>4.6532999999999998</v>
      </c>
      <c r="F301" s="517">
        <v>0.68000000000001393</v>
      </c>
      <c r="G301" s="517">
        <v>30.330000000000013</v>
      </c>
      <c r="H301" s="517">
        <v>1.2132000000000005</v>
      </c>
      <c r="I301" s="517">
        <v>-3.3000000000000362</v>
      </c>
      <c r="J301" s="517">
        <v>8.5300000000000153</v>
      </c>
      <c r="K301" s="519">
        <v>18.809999999999949</v>
      </c>
    </row>
    <row r="302" spans="1:11" x14ac:dyDescent="0.3">
      <c r="A302" s="516">
        <v>46230</v>
      </c>
      <c r="B302" s="517" t="s">
        <v>17</v>
      </c>
      <c r="C302" s="518" t="s">
        <v>149</v>
      </c>
      <c r="D302" s="518">
        <v>46470</v>
      </c>
      <c r="E302" s="517">
        <v>4.6712999999999996</v>
      </c>
      <c r="F302" s="517">
        <v>1.7999999999999794</v>
      </c>
      <c r="G302" s="517">
        <v>32.129999999999995</v>
      </c>
      <c r="H302" s="517">
        <v>1.2851999999999999</v>
      </c>
      <c r="I302" s="517">
        <v>0.66999999999994841</v>
      </c>
      <c r="J302" s="517">
        <v>8.8399999999999146</v>
      </c>
      <c r="K302" s="519">
        <v>24.459999999999926</v>
      </c>
    </row>
    <row r="303" spans="1:11" x14ac:dyDescent="0.3">
      <c r="A303" s="516">
        <v>46230</v>
      </c>
      <c r="B303" s="517"/>
      <c r="C303" s="518"/>
      <c r="D303" s="518"/>
      <c r="E303" s="517"/>
      <c r="F303" s="517"/>
      <c r="G303" s="517"/>
      <c r="H303" s="517"/>
      <c r="I303" s="517">
        <v>0</v>
      </c>
      <c r="J303" s="517">
        <v>0</v>
      </c>
      <c r="K303" s="519">
        <v>0</v>
      </c>
    </row>
    <row r="304" spans="1:11" x14ac:dyDescent="0.3">
      <c r="A304" s="516">
        <v>46230</v>
      </c>
      <c r="B304" s="517"/>
      <c r="C304" s="518"/>
      <c r="D304" s="518"/>
      <c r="E304" s="517"/>
      <c r="F304" s="517"/>
      <c r="G304" s="517"/>
      <c r="H304" s="517"/>
      <c r="I304" s="517">
        <v>0</v>
      </c>
      <c r="J304" s="517">
        <v>0</v>
      </c>
      <c r="K304" s="519">
        <v>0</v>
      </c>
    </row>
    <row r="305" spans="1:11" x14ac:dyDescent="0.3">
      <c r="A305" s="516">
        <v>46230</v>
      </c>
      <c r="B305" s="517"/>
      <c r="C305" s="518"/>
      <c r="D305" s="518"/>
      <c r="E305" s="517"/>
      <c r="F305" s="517"/>
      <c r="G305" s="517"/>
      <c r="H305" s="517"/>
      <c r="I305" s="517">
        <v>0</v>
      </c>
      <c r="J305" s="517">
        <v>0</v>
      </c>
      <c r="K305" s="519">
        <v>0</v>
      </c>
    </row>
    <row r="306" spans="1:11" x14ac:dyDescent="0.3">
      <c r="A306" s="516">
        <v>46230</v>
      </c>
      <c r="B306" s="517"/>
      <c r="C306" s="518"/>
      <c r="D306" s="518"/>
      <c r="E306" s="517"/>
      <c r="F306" s="517"/>
      <c r="G306" s="517"/>
      <c r="H306" s="517"/>
      <c r="I306" s="517">
        <v>0</v>
      </c>
      <c r="J306" s="517">
        <v>0</v>
      </c>
      <c r="K306" s="519">
        <v>0</v>
      </c>
    </row>
    <row r="307" spans="1:11" x14ac:dyDescent="0.3">
      <c r="A307" s="9">
        <v>46231</v>
      </c>
      <c r="B307" s="10" t="s">
        <v>9</v>
      </c>
      <c r="C307" s="121" t="s">
        <v>109</v>
      </c>
      <c r="D307" s="121" t="s">
        <v>110</v>
      </c>
      <c r="E307" s="10">
        <v>4.4165000000000001</v>
      </c>
      <c r="F307" s="10">
        <v>6.6500000000000448</v>
      </c>
      <c r="G307" s="10">
        <v>6.6500000000000448</v>
      </c>
      <c r="H307" s="10">
        <v>0.26600000000000179</v>
      </c>
      <c r="I307" s="10">
        <v>-1.7999999999999794</v>
      </c>
      <c r="J307" s="10">
        <v>0.40000000000004476</v>
      </c>
      <c r="K307" s="11">
        <v>1.2500000000000178</v>
      </c>
    </row>
    <row r="308" spans="1:11" x14ac:dyDescent="0.3">
      <c r="A308" s="9">
        <v>46231</v>
      </c>
      <c r="B308" s="10" t="s">
        <v>10</v>
      </c>
      <c r="C308" s="121" t="s">
        <v>110</v>
      </c>
      <c r="D308" s="121" t="s">
        <v>99</v>
      </c>
      <c r="E308" s="10">
        <v>4.4515000000000002</v>
      </c>
      <c r="F308" s="10">
        <v>3.5000000000000142</v>
      </c>
      <c r="G308" s="10">
        <v>10.150000000000059</v>
      </c>
      <c r="H308" s="10">
        <v>0.40600000000000236</v>
      </c>
      <c r="I308" s="10">
        <v>-1.499999999999968</v>
      </c>
      <c r="J308" s="10">
        <v>0.20000000000006679</v>
      </c>
      <c r="K308" s="11">
        <v>3.7500000000000533</v>
      </c>
    </row>
    <row r="309" spans="1:11" x14ac:dyDescent="0.3">
      <c r="A309" s="9">
        <v>46231</v>
      </c>
      <c r="B309" s="10" t="s">
        <v>12</v>
      </c>
      <c r="C309" s="121" t="s">
        <v>99</v>
      </c>
      <c r="D309" s="121" t="s">
        <v>111</v>
      </c>
      <c r="E309" s="10">
        <v>4.5439999999999996</v>
      </c>
      <c r="F309" s="10">
        <v>9.2499999999999361</v>
      </c>
      <c r="G309" s="10">
        <v>19.399999999999995</v>
      </c>
      <c r="H309" s="10">
        <v>0.7759999999999998</v>
      </c>
      <c r="I309" s="10">
        <v>-3.2500000000000639</v>
      </c>
      <c r="J309" s="10">
        <v>1.7499999999999183</v>
      </c>
      <c r="K309" s="11">
        <v>8.4999999999999964</v>
      </c>
    </row>
    <row r="310" spans="1:11" x14ac:dyDescent="0.3">
      <c r="A310" s="9">
        <v>46231</v>
      </c>
      <c r="B310" s="10" t="s">
        <v>13</v>
      </c>
      <c r="C310" s="121" t="s">
        <v>111</v>
      </c>
      <c r="D310" s="121" t="s">
        <v>125</v>
      </c>
      <c r="E310" s="10">
        <v>4.5839999999999996</v>
      </c>
      <c r="F310" s="10">
        <v>4.0000000000000036</v>
      </c>
      <c r="G310" s="10">
        <v>23.4</v>
      </c>
      <c r="H310" s="10">
        <v>0.93599999999999994</v>
      </c>
      <c r="I310" s="10">
        <v>-3.7500000000000533</v>
      </c>
      <c r="J310" s="10">
        <v>2.9999999999999361</v>
      </c>
      <c r="K310" s="11">
        <v>11.879999999999935</v>
      </c>
    </row>
    <row r="311" spans="1:11" x14ac:dyDescent="0.3">
      <c r="A311" s="9">
        <v>46231</v>
      </c>
      <c r="B311" s="10" t="s">
        <v>14</v>
      </c>
      <c r="C311" s="121" t="s">
        <v>125</v>
      </c>
      <c r="D311" s="121" t="s">
        <v>147</v>
      </c>
      <c r="E311" s="10">
        <v>4.6115000000000004</v>
      </c>
      <c r="F311" s="10">
        <v>2.7500000000000746</v>
      </c>
      <c r="G311" s="10">
        <v>26.150000000000073</v>
      </c>
      <c r="H311" s="10">
        <v>1.0460000000000029</v>
      </c>
      <c r="I311" s="10">
        <v>-3.4999999999999254</v>
      </c>
      <c r="J311" s="10">
        <v>6.25</v>
      </c>
      <c r="K311" s="11">
        <v>18.130000000000024</v>
      </c>
    </row>
    <row r="312" spans="1:11" x14ac:dyDescent="0.3">
      <c r="A312" s="9">
        <v>46231</v>
      </c>
      <c r="B312" s="10" t="s">
        <v>15</v>
      </c>
      <c r="C312" s="121" t="s">
        <v>147</v>
      </c>
      <c r="D312" s="121" t="s">
        <v>149</v>
      </c>
      <c r="E312" s="10">
        <v>4.5979999999999999</v>
      </c>
      <c r="F312" s="10">
        <v>-1.3500000000000512</v>
      </c>
      <c r="G312" s="10">
        <v>24.800000000000022</v>
      </c>
      <c r="H312" s="10">
        <v>0.99200000000000088</v>
      </c>
      <c r="I312" s="10">
        <v>-5.5299999999999905</v>
      </c>
      <c r="J312" s="10">
        <v>4.2300000000000004</v>
      </c>
      <c r="K312" s="11">
        <v>17.750000000000021</v>
      </c>
    </row>
    <row r="313" spans="1:11" x14ac:dyDescent="0.3">
      <c r="A313" s="9">
        <v>46231</v>
      </c>
      <c r="B313" s="10" t="s">
        <v>17</v>
      </c>
      <c r="C313" s="121" t="s">
        <v>149</v>
      </c>
      <c r="D313" s="121">
        <v>46470</v>
      </c>
      <c r="E313" s="10">
        <v>4.5685000000000002</v>
      </c>
      <c r="F313" s="10">
        <v>-2.9499999999999638</v>
      </c>
      <c r="G313" s="10">
        <v>21.850000000000058</v>
      </c>
      <c r="H313" s="10">
        <v>0.87400000000000233</v>
      </c>
      <c r="I313" s="10">
        <v>-10.279999999999934</v>
      </c>
      <c r="J313" s="10">
        <v>0.41000000000002146</v>
      </c>
      <c r="K313" s="11">
        <v>15.580000000000016</v>
      </c>
    </row>
    <row r="314" spans="1:11" x14ac:dyDescent="0.3">
      <c r="A314" s="9">
        <v>46231</v>
      </c>
      <c r="B314" s="10"/>
      <c r="C314" s="121"/>
      <c r="D314" s="121"/>
      <c r="E314" s="10"/>
      <c r="F314" s="10"/>
      <c r="G314" s="10"/>
      <c r="H314" s="10"/>
      <c r="I314" s="10">
        <v>0</v>
      </c>
      <c r="J314" s="10">
        <v>0</v>
      </c>
      <c r="K314" s="11">
        <v>0</v>
      </c>
    </row>
    <row r="315" spans="1:11" x14ac:dyDescent="0.3">
      <c r="A315" s="9">
        <v>46231</v>
      </c>
      <c r="B315" s="10"/>
      <c r="C315" s="121"/>
      <c r="D315" s="121"/>
      <c r="E315" s="10"/>
      <c r="F315" s="10"/>
      <c r="G315" s="10"/>
      <c r="H315" s="10"/>
      <c r="I315" s="10">
        <v>0</v>
      </c>
      <c r="J315" s="10">
        <v>0</v>
      </c>
      <c r="K315" s="11">
        <v>0</v>
      </c>
    </row>
    <row r="316" spans="1:11" x14ac:dyDescent="0.3">
      <c r="A316" s="9">
        <v>46231</v>
      </c>
      <c r="B316" s="10"/>
      <c r="C316" s="121"/>
      <c r="D316" s="121"/>
      <c r="E316" s="10"/>
      <c r="F316" s="10"/>
      <c r="G316" s="10"/>
      <c r="H316" s="10"/>
      <c r="I316" s="10">
        <v>0</v>
      </c>
      <c r="J316" s="10">
        <v>0</v>
      </c>
      <c r="K316" s="11">
        <v>0</v>
      </c>
    </row>
    <row r="317" spans="1:11" x14ac:dyDescent="0.3">
      <c r="A317" s="9">
        <v>46231</v>
      </c>
      <c r="B317" s="10"/>
      <c r="C317" s="121"/>
      <c r="D317" s="121"/>
      <c r="E317" s="10"/>
      <c r="F317" s="10"/>
      <c r="G317" s="10"/>
      <c r="H317" s="10"/>
      <c r="I317" s="10">
        <v>0</v>
      </c>
      <c r="J317" s="10">
        <v>0</v>
      </c>
      <c r="K317" s="11">
        <v>0</v>
      </c>
    </row>
    <row r="318" spans="1:11" x14ac:dyDescent="0.3">
      <c r="A318" s="9">
        <v>46232</v>
      </c>
      <c r="B318" s="10" t="s">
        <v>9</v>
      </c>
      <c r="C318" s="121" t="s">
        <v>109</v>
      </c>
      <c r="D318" s="121" t="s">
        <v>110</v>
      </c>
      <c r="E318" s="10">
        <v>4.3727</v>
      </c>
      <c r="F318" s="10">
        <v>2.2700000000000387</v>
      </c>
      <c r="G318" s="10">
        <v>2.2700000000000387</v>
      </c>
      <c r="H318" s="10">
        <v>9.0800000000001546E-2</v>
      </c>
      <c r="I318" s="10">
        <v>-4.3800000000000061</v>
      </c>
      <c r="J318" s="10">
        <v>-4.2300000000000004</v>
      </c>
      <c r="K318" s="11">
        <v>-3.8800000000000168</v>
      </c>
    </row>
    <row r="319" spans="1:11" x14ac:dyDescent="0.3">
      <c r="A319" s="9">
        <v>46232</v>
      </c>
      <c r="B319" s="10" t="s">
        <v>10</v>
      </c>
      <c r="C319" s="121" t="s">
        <v>110</v>
      </c>
      <c r="D319" s="121" t="s">
        <v>99</v>
      </c>
      <c r="E319" s="10">
        <v>4.4027000000000003</v>
      </c>
      <c r="F319" s="10">
        <v>3.0000000000000249</v>
      </c>
      <c r="G319" s="10">
        <v>5.2700000000000635</v>
      </c>
      <c r="H319" s="10">
        <v>0.21080000000000254</v>
      </c>
      <c r="I319" s="10">
        <v>-4.8799999999999955</v>
      </c>
      <c r="J319" s="10">
        <v>-4.7299999999999898</v>
      </c>
      <c r="K319" s="11">
        <v>-1.8799999999999706</v>
      </c>
    </row>
    <row r="320" spans="1:11" x14ac:dyDescent="0.3">
      <c r="A320" s="9">
        <v>46232</v>
      </c>
      <c r="B320" s="10" t="s">
        <v>12</v>
      </c>
      <c r="C320" s="121" t="s">
        <v>99</v>
      </c>
      <c r="D320" s="121" t="s">
        <v>111</v>
      </c>
      <c r="E320" s="10">
        <v>4.4901999999999997</v>
      </c>
      <c r="F320" s="10">
        <v>8.7499999999999467</v>
      </c>
      <c r="G320" s="10">
        <v>14.02000000000001</v>
      </c>
      <c r="H320" s="10">
        <v>0.56080000000000041</v>
      </c>
      <c r="I320" s="10">
        <v>-5.3799999999999848</v>
      </c>
      <c r="J320" s="10">
        <v>-3.7300000000000111</v>
      </c>
      <c r="K320" s="11">
        <v>1.9999999999999574</v>
      </c>
    </row>
    <row r="321" spans="1:11" x14ac:dyDescent="0.3">
      <c r="A321" s="9">
        <v>46232</v>
      </c>
      <c r="B321" s="10" t="s">
        <v>13</v>
      </c>
      <c r="C321" s="121" t="s">
        <v>111</v>
      </c>
      <c r="D321" s="121" t="s">
        <v>125</v>
      </c>
      <c r="E321" s="10">
        <v>4.5251999999999999</v>
      </c>
      <c r="F321" s="10">
        <v>3.5000000000000142</v>
      </c>
      <c r="G321" s="10">
        <v>17.520000000000024</v>
      </c>
      <c r="H321" s="10">
        <v>0.70080000000000098</v>
      </c>
      <c r="I321" s="10">
        <v>-5.8799999999999741</v>
      </c>
      <c r="J321" s="10">
        <v>-3.479999999999972</v>
      </c>
      <c r="K321" s="11">
        <v>4.9999999999999822</v>
      </c>
    </row>
    <row r="322" spans="1:11" x14ac:dyDescent="0.3">
      <c r="A322" s="9">
        <v>46232</v>
      </c>
      <c r="B322" s="10" t="s">
        <v>14</v>
      </c>
      <c r="C322" s="121" t="s">
        <v>125</v>
      </c>
      <c r="D322" s="121" t="s">
        <v>147</v>
      </c>
      <c r="E322" s="10">
        <v>4.5401999999999996</v>
      </c>
      <c r="F322" s="10">
        <v>1.499999999999968</v>
      </c>
      <c r="G322" s="10">
        <v>19.019999999999992</v>
      </c>
      <c r="H322" s="10">
        <v>0.7607999999999997</v>
      </c>
      <c r="I322" s="10">
        <v>-7.1300000000000807</v>
      </c>
      <c r="J322" s="10">
        <v>-2.4800000000000821</v>
      </c>
      <c r="K322" s="11">
        <v>9.4999999999999751</v>
      </c>
    </row>
    <row r="323" spans="1:11" x14ac:dyDescent="0.3">
      <c r="A323" s="9">
        <v>46232</v>
      </c>
      <c r="B323" s="10" t="s">
        <v>15</v>
      </c>
      <c r="C323" s="121" t="s">
        <v>147</v>
      </c>
      <c r="D323" s="121" t="s">
        <v>149</v>
      </c>
      <c r="E323" s="10">
        <v>4.5334000000000003</v>
      </c>
      <c r="F323" s="10">
        <v>-0.67999999999992511</v>
      </c>
      <c r="G323" s="10">
        <v>18.340000000000067</v>
      </c>
      <c r="H323" s="10">
        <v>0.73360000000000269</v>
      </c>
      <c r="I323" s="10">
        <v>-6.4599999999999547</v>
      </c>
      <c r="J323" s="10">
        <v>-3.819999999999979</v>
      </c>
      <c r="K323" s="11">
        <v>11.790000000000056</v>
      </c>
    </row>
    <row r="324" spans="1:11" x14ac:dyDescent="0.3">
      <c r="A324" s="9">
        <v>46232</v>
      </c>
      <c r="B324" s="10" t="s">
        <v>17</v>
      </c>
      <c r="C324" s="121" t="s">
        <v>149</v>
      </c>
      <c r="D324" s="121">
        <v>46470</v>
      </c>
      <c r="E324" s="10">
        <v>4.5194999999999999</v>
      </c>
      <c r="F324" s="10">
        <v>-1.3900000000000468</v>
      </c>
      <c r="G324" s="10">
        <v>16.950000000000021</v>
      </c>
      <c r="H324" s="10">
        <v>0.67800000000000082</v>
      </c>
      <c r="I324" s="10">
        <v>-4.9000000000000377</v>
      </c>
      <c r="J324" s="10">
        <v>-6.9399999999999906</v>
      </c>
      <c r="K324" s="11">
        <v>13.189999999999991</v>
      </c>
    </row>
    <row r="325" spans="1:11" x14ac:dyDescent="0.3">
      <c r="A325" s="9">
        <v>46232</v>
      </c>
      <c r="B325" s="10"/>
      <c r="C325" s="121"/>
      <c r="D325" s="121"/>
      <c r="E325" s="10"/>
      <c r="F325" s="10"/>
      <c r="G325" s="10"/>
      <c r="H325" s="10"/>
      <c r="I325" s="10">
        <v>0</v>
      </c>
      <c r="J325" s="10">
        <v>0</v>
      </c>
      <c r="K325" s="11">
        <v>0</v>
      </c>
    </row>
    <row r="326" spans="1:11" x14ac:dyDescent="0.3">
      <c r="A326" s="9">
        <v>46232</v>
      </c>
      <c r="B326" s="10"/>
      <c r="C326" s="121"/>
      <c r="D326" s="121"/>
      <c r="E326" s="10"/>
      <c r="F326" s="10"/>
      <c r="G326" s="10"/>
      <c r="H326" s="10"/>
      <c r="I326" s="10">
        <v>0</v>
      </c>
      <c r="J326" s="10">
        <v>0</v>
      </c>
      <c r="K326" s="11">
        <v>0</v>
      </c>
    </row>
    <row r="327" spans="1:11" x14ac:dyDescent="0.3">
      <c r="A327" s="9">
        <v>46232</v>
      </c>
      <c r="B327" s="10"/>
      <c r="C327" s="121"/>
      <c r="D327" s="121"/>
      <c r="E327" s="10"/>
      <c r="F327" s="10"/>
      <c r="G327" s="10"/>
      <c r="H327" s="10"/>
      <c r="I327" s="10">
        <v>0</v>
      </c>
      <c r="J327" s="10">
        <v>0</v>
      </c>
      <c r="K327" s="11">
        <v>0</v>
      </c>
    </row>
    <row r="328" spans="1:11" x14ac:dyDescent="0.3">
      <c r="A328" s="9">
        <v>46232</v>
      </c>
      <c r="B328" s="10"/>
      <c r="C328" s="121"/>
      <c r="D328" s="121"/>
      <c r="E328" s="10"/>
      <c r="F328" s="10"/>
      <c r="G328" s="10"/>
      <c r="H328" s="10"/>
      <c r="I328" s="10">
        <v>0</v>
      </c>
      <c r="J328" s="10">
        <v>0</v>
      </c>
      <c r="K328" s="11">
        <v>0</v>
      </c>
    </row>
    <row r="329" spans="1:11" x14ac:dyDescent="0.3">
      <c r="A329" s="9">
        <v>46233</v>
      </c>
      <c r="B329" s="10" t="s">
        <v>9</v>
      </c>
      <c r="C329" s="121" t="s">
        <v>109</v>
      </c>
      <c r="D329" s="121" t="s">
        <v>110</v>
      </c>
      <c r="E329" s="10">
        <v>4.3686999999999996</v>
      </c>
      <c r="F329" s="10">
        <v>1.8699999999999939</v>
      </c>
      <c r="G329" s="10">
        <v>1.8699999999999939</v>
      </c>
      <c r="H329" s="10">
        <v>7.4799999999999756E-2</v>
      </c>
      <c r="I329" s="10">
        <v>-0.40000000000004476</v>
      </c>
      <c r="J329" s="10">
        <v>-9.1300000000000381</v>
      </c>
      <c r="K329" s="11">
        <v>-3.900000000000059</v>
      </c>
    </row>
    <row r="330" spans="1:11" x14ac:dyDescent="0.3">
      <c r="A330" s="9">
        <v>46233</v>
      </c>
      <c r="B330" s="10" t="s">
        <v>10</v>
      </c>
      <c r="C330" s="121" t="s">
        <v>110</v>
      </c>
      <c r="D330" s="121" t="s">
        <v>99</v>
      </c>
      <c r="E330" s="10">
        <v>4.3952</v>
      </c>
      <c r="F330" s="10">
        <v>2.6500000000000412</v>
      </c>
      <c r="G330" s="10">
        <v>4.5200000000000351</v>
      </c>
      <c r="H330" s="10">
        <v>0.1808000000000014</v>
      </c>
      <c r="I330" s="10">
        <v>-0.75000000000002842</v>
      </c>
      <c r="J330" s="10">
        <v>-10.48</v>
      </c>
      <c r="K330" s="11">
        <v>-2.7499999999999858</v>
      </c>
    </row>
    <row r="331" spans="1:11" x14ac:dyDescent="0.3">
      <c r="A331" s="9">
        <v>46233</v>
      </c>
      <c r="B331" s="10" t="s">
        <v>12</v>
      </c>
      <c r="C331" s="121" t="s">
        <v>99</v>
      </c>
      <c r="D331" s="121" t="s">
        <v>111</v>
      </c>
      <c r="E331" s="10">
        <v>4.4771999999999998</v>
      </c>
      <c r="F331" s="10">
        <v>8.1999999999999851</v>
      </c>
      <c r="G331" s="10">
        <v>12.72000000000002</v>
      </c>
      <c r="H331" s="10">
        <v>0.50880000000000081</v>
      </c>
      <c r="I331" s="10">
        <v>-1.2999999999999901</v>
      </c>
      <c r="J331" s="10">
        <v>-12.780000000000058</v>
      </c>
      <c r="K331" s="11">
        <v>-0.25000000000003908</v>
      </c>
    </row>
    <row r="332" spans="1:11" x14ac:dyDescent="0.3">
      <c r="A332" s="9">
        <v>46233</v>
      </c>
      <c r="B332" s="10" t="s">
        <v>13</v>
      </c>
      <c r="C332" s="121" t="s">
        <v>111</v>
      </c>
      <c r="D332" s="121" t="s">
        <v>125</v>
      </c>
      <c r="E332" s="10">
        <v>4.5197000000000003</v>
      </c>
      <c r="F332" s="10">
        <v>4.2500000000000426</v>
      </c>
      <c r="G332" s="10">
        <v>16.970000000000063</v>
      </c>
      <c r="H332" s="10">
        <v>0.67880000000000251</v>
      </c>
      <c r="I332" s="10">
        <v>-0.54999999999996163</v>
      </c>
      <c r="J332" s="10">
        <v>-13.030000000000008</v>
      </c>
      <c r="K332" s="11">
        <v>3.4000000000000696</v>
      </c>
    </row>
    <row r="333" spans="1:11" x14ac:dyDescent="0.3">
      <c r="A333" s="9">
        <v>46233</v>
      </c>
      <c r="B333" s="10" t="s">
        <v>14</v>
      </c>
      <c r="C333" s="121" t="s">
        <v>125</v>
      </c>
      <c r="D333" s="121" t="s">
        <v>147</v>
      </c>
      <c r="E333" s="10">
        <v>4.5472000000000001</v>
      </c>
      <c r="F333" s="10">
        <v>2.7499999999999858</v>
      </c>
      <c r="G333" s="10">
        <v>19.720000000000049</v>
      </c>
      <c r="H333" s="10">
        <v>0.78880000000000194</v>
      </c>
      <c r="I333" s="10">
        <v>0.70000000000005613</v>
      </c>
      <c r="J333" s="10">
        <v>-12.27999999999998</v>
      </c>
      <c r="K333" s="11">
        <v>8.6500000000000021</v>
      </c>
    </row>
    <row r="334" spans="1:11" x14ac:dyDescent="0.3">
      <c r="A334" s="9">
        <v>46233</v>
      </c>
      <c r="B334" s="10" t="s">
        <v>15</v>
      </c>
      <c r="C334" s="121" t="s">
        <v>147</v>
      </c>
      <c r="D334" s="121" t="s">
        <v>149</v>
      </c>
      <c r="E334" s="10">
        <v>4.5358999999999998</v>
      </c>
      <c r="F334" s="10">
        <v>-1.130000000000031</v>
      </c>
      <c r="G334" s="10">
        <v>18.590000000000018</v>
      </c>
      <c r="H334" s="10">
        <v>0.7436000000000007</v>
      </c>
      <c r="I334" s="10">
        <v>0.24999999999995026</v>
      </c>
      <c r="J334" s="10">
        <v>-15.000000000000036</v>
      </c>
      <c r="K334" s="11">
        <v>10.349999999999948</v>
      </c>
    </row>
    <row r="335" spans="1:11" x14ac:dyDescent="0.3">
      <c r="A335" s="9">
        <v>46233</v>
      </c>
      <c r="B335" s="10" t="s">
        <v>17</v>
      </c>
      <c r="C335" s="121" t="s">
        <v>149</v>
      </c>
      <c r="D335" s="121">
        <v>46470</v>
      </c>
      <c r="E335" s="10">
        <v>4.5115999999999996</v>
      </c>
      <c r="F335" s="10">
        <v>-2.430000000000021</v>
      </c>
      <c r="G335" s="10">
        <v>16.159999999999997</v>
      </c>
      <c r="H335" s="10">
        <v>0.64639999999999986</v>
      </c>
      <c r="I335" s="10">
        <v>-0.79000000000002402</v>
      </c>
      <c r="J335" s="10">
        <v>-21.360000000000046</v>
      </c>
      <c r="K335" s="11">
        <v>10.559999999999992</v>
      </c>
    </row>
    <row r="336" spans="1:11" x14ac:dyDescent="0.3">
      <c r="A336" s="9">
        <v>46233</v>
      </c>
      <c r="B336" s="10"/>
      <c r="C336" s="121"/>
      <c r="D336" s="121"/>
      <c r="E336" s="10"/>
      <c r="F336" s="10"/>
      <c r="G336" s="10"/>
      <c r="H336" s="10"/>
      <c r="I336" s="10">
        <v>0</v>
      </c>
      <c r="J336" s="10">
        <v>0</v>
      </c>
      <c r="K336" s="11">
        <v>0</v>
      </c>
    </row>
    <row r="337" spans="1:11" x14ac:dyDescent="0.3">
      <c r="A337" s="9">
        <v>46233</v>
      </c>
      <c r="B337" s="10"/>
      <c r="C337" s="121"/>
      <c r="D337" s="121"/>
      <c r="E337" s="10"/>
      <c r="F337" s="10"/>
      <c r="G337" s="10"/>
      <c r="H337" s="10"/>
      <c r="I337" s="10">
        <v>0</v>
      </c>
      <c r="J337" s="10">
        <v>0</v>
      </c>
      <c r="K337" s="11">
        <v>0</v>
      </c>
    </row>
    <row r="338" spans="1:11" x14ac:dyDescent="0.3">
      <c r="A338" s="9">
        <v>46233</v>
      </c>
      <c r="B338" s="10"/>
      <c r="C338" s="121"/>
      <c r="D338" s="121"/>
      <c r="E338" s="10"/>
      <c r="F338" s="10"/>
      <c r="G338" s="10"/>
      <c r="H338" s="10"/>
      <c r="I338" s="10">
        <v>0</v>
      </c>
      <c r="J338" s="10">
        <v>0</v>
      </c>
      <c r="K338" s="11">
        <v>0</v>
      </c>
    </row>
    <row r="339" spans="1:11" x14ac:dyDescent="0.3">
      <c r="A339" s="9">
        <v>46233</v>
      </c>
      <c r="B339" s="10"/>
      <c r="C339" s="121"/>
      <c r="D339" s="121"/>
      <c r="E339" s="10"/>
      <c r="F339" s="10"/>
      <c r="G339" s="10"/>
      <c r="H339" s="10"/>
      <c r="I339" s="10">
        <v>0</v>
      </c>
      <c r="J339" s="10">
        <v>0</v>
      </c>
      <c r="K339" s="11">
        <v>0</v>
      </c>
    </row>
    <row r="340" spans="1:11" x14ac:dyDescent="0.3">
      <c r="A340" s="535">
        <v>46234</v>
      </c>
      <c r="B340" s="536" t="s">
        <v>9</v>
      </c>
      <c r="C340" s="537" t="s">
        <v>109</v>
      </c>
      <c r="D340" s="537" t="s">
        <v>110</v>
      </c>
      <c r="E340" s="536">
        <v>4.3654999999999999</v>
      </c>
      <c r="F340" s="536">
        <v>1.5500000000000291</v>
      </c>
      <c r="G340" s="536">
        <v>1.5500000000000291</v>
      </c>
      <c r="H340" s="536">
        <v>6.2000000000001165E-2</v>
      </c>
      <c r="I340" s="536">
        <v>-0.31999999999996476</v>
      </c>
      <c r="J340" s="536">
        <v>-8.8499999999999801</v>
      </c>
      <c r="K340" s="538">
        <v>-4.2200000000000237</v>
      </c>
    </row>
    <row r="341" spans="1:11" x14ac:dyDescent="0.3">
      <c r="A341" s="535">
        <v>46234</v>
      </c>
      <c r="B341" s="536" t="s">
        <v>10</v>
      </c>
      <c r="C341" s="537" t="s">
        <v>110</v>
      </c>
      <c r="D341" s="537" t="s">
        <v>99</v>
      </c>
      <c r="E341" s="536">
        <v>4.3955000000000002</v>
      </c>
      <c r="F341" s="536">
        <v>3.0000000000000249</v>
      </c>
      <c r="G341" s="536">
        <v>4.550000000000054</v>
      </c>
      <c r="H341" s="536">
        <v>0.18200000000000216</v>
      </c>
      <c r="I341" s="536">
        <v>3.00000000000189E-2</v>
      </c>
      <c r="J341" s="536">
        <v>-10.349999999999948</v>
      </c>
      <c r="K341" s="538">
        <v>-2.7199999999999669</v>
      </c>
    </row>
    <row r="342" spans="1:11" x14ac:dyDescent="0.3">
      <c r="A342" s="535">
        <v>46234</v>
      </c>
      <c r="B342" s="536" t="s">
        <v>12</v>
      </c>
      <c r="C342" s="537" t="s">
        <v>99</v>
      </c>
      <c r="D342" s="537" t="s">
        <v>111</v>
      </c>
      <c r="E342" s="536">
        <v>4.4734999999999996</v>
      </c>
      <c r="F342" s="536">
        <v>7.7999999999999403</v>
      </c>
      <c r="G342" s="536">
        <v>12.349999999999994</v>
      </c>
      <c r="H342" s="536">
        <v>0.49399999999999977</v>
      </c>
      <c r="I342" s="536">
        <v>-0.37000000000002586</v>
      </c>
      <c r="J342" s="536">
        <v>-13.55000000000004</v>
      </c>
      <c r="K342" s="538">
        <v>-0.62000000000006494</v>
      </c>
    </row>
    <row r="343" spans="1:11" x14ac:dyDescent="0.3">
      <c r="A343" s="535">
        <v>46234</v>
      </c>
      <c r="B343" s="536" t="s">
        <v>13</v>
      </c>
      <c r="C343" s="537" t="s">
        <v>111</v>
      </c>
      <c r="D343" s="537" t="s">
        <v>125</v>
      </c>
      <c r="E343" s="536">
        <v>4.5034999999999998</v>
      </c>
      <c r="F343" s="536">
        <v>3.0000000000000249</v>
      </c>
      <c r="G343" s="536">
        <v>15.350000000000019</v>
      </c>
      <c r="H343" s="536">
        <v>0.61400000000000077</v>
      </c>
      <c r="I343" s="536">
        <v>-1.6200000000000436</v>
      </c>
      <c r="J343" s="536">
        <v>-15.549999999999997</v>
      </c>
      <c r="K343" s="538">
        <v>1.780000000000026</v>
      </c>
    </row>
    <row r="344" spans="1:11" x14ac:dyDescent="0.3">
      <c r="A344" s="535">
        <v>46234</v>
      </c>
      <c r="B344" s="536" t="s">
        <v>14</v>
      </c>
      <c r="C344" s="537" t="s">
        <v>125</v>
      </c>
      <c r="D344" s="537" t="s">
        <v>147</v>
      </c>
      <c r="E344" s="536">
        <v>4.5214999999999996</v>
      </c>
      <c r="F344" s="536">
        <v>1.7999999999999794</v>
      </c>
      <c r="G344" s="536">
        <v>17.149999999999999</v>
      </c>
      <c r="H344" s="536">
        <v>0.68599999999999994</v>
      </c>
      <c r="I344" s="536">
        <v>-2.57000000000005</v>
      </c>
      <c r="J344" s="536">
        <v>-17.500000000000071</v>
      </c>
      <c r="K344" s="538">
        <v>6.0799999999999521</v>
      </c>
    </row>
    <row r="345" spans="1:11" x14ac:dyDescent="0.3">
      <c r="A345" s="535">
        <v>46234</v>
      </c>
      <c r="B345" s="536" t="s">
        <v>15</v>
      </c>
      <c r="C345" s="537" t="s">
        <v>147</v>
      </c>
      <c r="D345" s="537" t="s">
        <v>149</v>
      </c>
      <c r="E345" s="536">
        <v>4.5374999999999996</v>
      </c>
      <c r="F345" s="536">
        <v>1.6000000000000014</v>
      </c>
      <c r="G345" s="536">
        <v>18.75</v>
      </c>
      <c r="H345" s="536">
        <v>0.75</v>
      </c>
      <c r="I345" s="536">
        <v>0.15999999999998238</v>
      </c>
      <c r="J345" s="536">
        <v>-14.880000000000049</v>
      </c>
      <c r="K345" s="538">
        <v>10.509999999999931</v>
      </c>
    </row>
    <row r="346" spans="1:11" x14ac:dyDescent="0.3">
      <c r="A346" s="535">
        <v>46234</v>
      </c>
      <c r="B346" s="536" t="s">
        <v>17</v>
      </c>
      <c r="C346" s="537" t="s">
        <v>149</v>
      </c>
      <c r="D346" s="537">
        <v>46470</v>
      </c>
      <c r="E346" s="536">
        <v>4.5769000000000002</v>
      </c>
      <c r="F346" s="536">
        <v>3.9400000000000546</v>
      </c>
      <c r="G346" s="536">
        <v>22.690000000000055</v>
      </c>
      <c r="H346" s="536">
        <v>0.90760000000000218</v>
      </c>
      <c r="I346" s="536">
        <v>6.530000000000058</v>
      </c>
      <c r="J346" s="536">
        <v>-8.7699999999999889</v>
      </c>
      <c r="K346" s="538">
        <v>17.09000000000005</v>
      </c>
    </row>
    <row r="347" spans="1:11" x14ac:dyDescent="0.3">
      <c r="A347" s="535">
        <v>46234</v>
      </c>
      <c r="B347" s="536"/>
      <c r="C347" s="537"/>
      <c r="D347" s="537"/>
      <c r="E347" s="536"/>
      <c r="F347" s="536"/>
      <c r="G347" s="536"/>
      <c r="H347" s="536"/>
      <c r="I347" s="536">
        <v>0</v>
      </c>
      <c r="J347" s="536">
        <v>0</v>
      </c>
      <c r="K347" s="538">
        <v>0</v>
      </c>
    </row>
    <row r="348" spans="1:11" x14ac:dyDescent="0.3">
      <c r="A348" s="535">
        <v>46234</v>
      </c>
      <c r="B348" s="536"/>
      <c r="C348" s="537"/>
      <c r="D348" s="537"/>
      <c r="E348" s="536"/>
      <c r="F348" s="536"/>
      <c r="G348" s="536"/>
      <c r="H348" s="536"/>
      <c r="I348" s="536">
        <v>0</v>
      </c>
      <c r="J348" s="536">
        <v>0</v>
      </c>
      <c r="K348" s="538">
        <v>0</v>
      </c>
    </row>
    <row r="349" spans="1:11" x14ac:dyDescent="0.3">
      <c r="A349" s="535">
        <v>46234</v>
      </c>
      <c r="B349" s="536"/>
      <c r="C349" s="537"/>
      <c r="D349" s="537"/>
      <c r="E349" s="536"/>
      <c r="F349" s="536"/>
      <c r="G349" s="536"/>
      <c r="H349" s="536"/>
      <c r="I349" s="536">
        <v>0</v>
      </c>
      <c r="J349" s="536">
        <v>0</v>
      </c>
      <c r="K349" s="538">
        <v>0</v>
      </c>
    </row>
    <row r="350" spans="1:11" x14ac:dyDescent="0.3">
      <c r="A350" s="535">
        <v>46234</v>
      </c>
      <c r="B350" s="536"/>
      <c r="C350" s="537"/>
      <c r="D350" s="537"/>
      <c r="E350" s="536"/>
      <c r="F350" s="536"/>
      <c r="G350" s="536"/>
      <c r="H350" s="536"/>
      <c r="I350" s="536">
        <v>0</v>
      </c>
      <c r="J350" s="536">
        <v>0</v>
      </c>
      <c r="K350" s="538">
        <v>0</v>
      </c>
    </row>
    <row r="351" spans="1:11" x14ac:dyDescent="0.3">
      <c r="A351" s="535">
        <v>46237</v>
      </c>
      <c r="B351" s="536" t="s">
        <v>9</v>
      </c>
      <c r="C351" s="537" t="s">
        <v>109</v>
      </c>
      <c r="D351" s="537" t="s">
        <v>110</v>
      </c>
      <c r="E351" s="536">
        <v>4.3674999999999997</v>
      </c>
      <c r="F351" s="536">
        <v>1.7500000000000071</v>
      </c>
      <c r="G351" s="536">
        <v>1.7500000000000071</v>
      </c>
      <c r="H351" s="536">
        <v>7.0000000000000284E-2</v>
      </c>
      <c r="I351" s="536">
        <v>0.19999999999997797</v>
      </c>
      <c r="J351" s="536">
        <v>-6.7000000000000171</v>
      </c>
      <c r="K351" s="538">
        <v>-3.560000000000052</v>
      </c>
    </row>
    <row r="352" spans="1:11" x14ac:dyDescent="0.3">
      <c r="A352" s="535">
        <v>46237</v>
      </c>
      <c r="B352" s="536" t="s">
        <v>10</v>
      </c>
      <c r="C352" s="537" t="s">
        <v>110</v>
      </c>
      <c r="D352" s="537" t="s">
        <v>99</v>
      </c>
      <c r="E352" s="536">
        <v>4.3975</v>
      </c>
      <c r="F352" s="536">
        <v>3.0000000000000249</v>
      </c>
      <c r="G352" s="536">
        <v>4.750000000000032</v>
      </c>
      <c r="H352" s="536">
        <v>0.19000000000000128</v>
      </c>
      <c r="I352" s="536">
        <v>0.19999999999997797</v>
      </c>
      <c r="J352" s="536">
        <v>-6.899999999999995</v>
      </c>
      <c r="K352" s="538">
        <v>-3.0599999999999739</v>
      </c>
    </row>
    <row r="353" spans="1:11" x14ac:dyDescent="0.3">
      <c r="A353" s="535">
        <v>46237</v>
      </c>
      <c r="B353" s="536" t="s">
        <v>12</v>
      </c>
      <c r="C353" s="537" t="s">
        <v>99</v>
      </c>
      <c r="D353" s="537" t="s">
        <v>111</v>
      </c>
      <c r="E353" s="536">
        <v>4.4850000000000003</v>
      </c>
      <c r="F353" s="536">
        <v>8.7500000000000355</v>
      </c>
      <c r="G353" s="536">
        <v>13.500000000000068</v>
      </c>
      <c r="H353" s="536">
        <v>0.5400000000000027</v>
      </c>
      <c r="I353" s="536">
        <v>1.1500000000000732</v>
      </c>
      <c r="J353" s="536">
        <v>-9.1499999999999915</v>
      </c>
      <c r="K353" s="538">
        <v>0.44000000000004036</v>
      </c>
    </row>
    <row r="354" spans="1:11" x14ac:dyDescent="0.3">
      <c r="A354" s="535">
        <v>46237</v>
      </c>
      <c r="B354" s="536" t="s">
        <v>13</v>
      </c>
      <c r="C354" s="537" t="s">
        <v>111</v>
      </c>
      <c r="D354" s="537" t="s">
        <v>125</v>
      </c>
      <c r="E354" s="536">
        <v>4.5250000000000004</v>
      </c>
      <c r="F354" s="536">
        <v>4.0000000000000036</v>
      </c>
      <c r="G354" s="536">
        <v>17.500000000000071</v>
      </c>
      <c r="H354" s="536">
        <v>0.70000000000000284</v>
      </c>
      <c r="I354" s="536">
        <v>2.1500000000000519</v>
      </c>
      <c r="J354" s="536">
        <v>-9.6499999999999808</v>
      </c>
      <c r="K354" s="538">
        <v>3.9400000000000546</v>
      </c>
    </row>
    <row r="355" spans="1:11" x14ac:dyDescent="0.3">
      <c r="A355" s="535">
        <v>46237</v>
      </c>
      <c r="B355" s="536" t="s">
        <v>14</v>
      </c>
      <c r="C355" s="537" t="s">
        <v>125</v>
      </c>
      <c r="D355" s="537" t="s">
        <v>147</v>
      </c>
      <c r="E355" s="536">
        <v>4.5449999999999999</v>
      </c>
      <c r="F355" s="536">
        <v>1.9999999999999574</v>
      </c>
      <c r="G355" s="536">
        <v>19.500000000000028</v>
      </c>
      <c r="H355" s="536">
        <v>0.78000000000000114</v>
      </c>
      <c r="I355" s="536">
        <v>2.3500000000000298</v>
      </c>
      <c r="J355" s="536">
        <v>-10.14999999999997</v>
      </c>
      <c r="K355" s="538">
        <v>9.4400000000000261</v>
      </c>
    </row>
    <row r="356" spans="1:11" x14ac:dyDescent="0.3">
      <c r="A356" s="535">
        <v>46237</v>
      </c>
      <c r="B356" s="536" t="s">
        <v>15</v>
      </c>
      <c r="C356" s="537" t="s">
        <v>147</v>
      </c>
      <c r="D356" s="537" t="s">
        <v>149</v>
      </c>
      <c r="E356" s="536">
        <v>4.5319000000000003</v>
      </c>
      <c r="F356" s="536">
        <v>-1.3099999999999667</v>
      </c>
      <c r="G356" s="536">
        <v>18.190000000000062</v>
      </c>
      <c r="H356" s="536">
        <v>0.72760000000000247</v>
      </c>
      <c r="I356" s="536">
        <v>-0.55999999999993832</v>
      </c>
      <c r="J356" s="536">
        <v>-12.139999999999951</v>
      </c>
      <c r="K356" s="538">
        <v>10.48</v>
      </c>
    </row>
    <row r="357" spans="1:11" x14ac:dyDescent="0.3">
      <c r="A357" s="535">
        <v>46237</v>
      </c>
      <c r="B357" s="536" t="s">
        <v>17</v>
      </c>
      <c r="C357" s="537" t="s">
        <v>149</v>
      </c>
      <c r="D357" s="537">
        <v>46470</v>
      </c>
      <c r="E357" s="536">
        <v>4.5034000000000001</v>
      </c>
      <c r="F357" s="536">
        <v>-2.8500000000000192</v>
      </c>
      <c r="G357" s="536">
        <v>15.340000000000042</v>
      </c>
      <c r="H357" s="536">
        <v>0.6136000000000017</v>
      </c>
      <c r="I357" s="536">
        <v>-7.3500000000000121</v>
      </c>
      <c r="J357" s="536">
        <v>-16.789999999999949</v>
      </c>
      <c r="K357" s="538">
        <v>9.7900000000000098</v>
      </c>
    </row>
    <row r="358" spans="1:11" x14ac:dyDescent="0.3">
      <c r="A358" s="535">
        <v>46237</v>
      </c>
      <c r="B358" s="536"/>
      <c r="C358" s="537"/>
      <c r="D358" s="537"/>
      <c r="E358" s="536"/>
      <c r="F358" s="536"/>
      <c r="G358" s="536"/>
      <c r="H358" s="536"/>
      <c r="I358" s="536">
        <v>0</v>
      </c>
      <c r="J358" s="536">
        <v>0</v>
      </c>
      <c r="K358" s="538">
        <v>0</v>
      </c>
    </row>
    <row r="359" spans="1:11" x14ac:dyDescent="0.3">
      <c r="A359" s="535">
        <v>46237</v>
      </c>
      <c r="B359" s="536"/>
      <c r="C359" s="537"/>
      <c r="D359" s="537"/>
      <c r="E359" s="536"/>
      <c r="F359" s="536"/>
      <c r="G359" s="536"/>
      <c r="H359" s="536"/>
      <c r="I359" s="536">
        <v>0</v>
      </c>
      <c r="J359" s="536">
        <v>0</v>
      </c>
      <c r="K359" s="538">
        <v>0</v>
      </c>
    </row>
    <row r="360" spans="1:11" x14ac:dyDescent="0.3">
      <c r="A360" s="535">
        <v>46237</v>
      </c>
      <c r="B360" s="536"/>
      <c r="C360" s="537"/>
      <c r="D360" s="537"/>
      <c r="E360" s="536"/>
      <c r="F360" s="536"/>
      <c r="G360" s="536"/>
      <c r="H360" s="536"/>
      <c r="I360" s="536">
        <v>0</v>
      </c>
      <c r="J360" s="536">
        <v>0</v>
      </c>
      <c r="K360" s="538">
        <v>0</v>
      </c>
    </row>
    <row r="361" spans="1:11" x14ac:dyDescent="0.3">
      <c r="A361" s="535">
        <v>46237</v>
      </c>
      <c r="B361" s="536"/>
      <c r="C361" s="537"/>
      <c r="D361" s="537"/>
      <c r="E361" s="536"/>
      <c r="F361" s="536"/>
      <c r="G361" s="536"/>
      <c r="H361" s="536"/>
      <c r="I361" s="536">
        <v>0</v>
      </c>
      <c r="J361" s="536">
        <v>0</v>
      </c>
      <c r="K361" s="538">
        <v>0</v>
      </c>
    </row>
    <row r="362" spans="1:11" x14ac:dyDescent="0.3">
      <c r="A362" s="9">
        <v>46238</v>
      </c>
      <c r="B362" s="10" t="s">
        <v>9</v>
      </c>
      <c r="C362" s="121" t="s">
        <v>109</v>
      </c>
      <c r="D362" s="121" t="s">
        <v>110</v>
      </c>
      <c r="E362" s="10">
        <v>4.3665000000000003</v>
      </c>
      <c r="F362" s="10">
        <v>1.6500000000000625</v>
      </c>
      <c r="G362" s="10">
        <v>1.6500000000000625</v>
      </c>
      <c r="H362" s="10">
        <v>6.6000000000002501E-2</v>
      </c>
      <c r="I362" s="10">
        <v>-9.9999999999944578E-2</v>
      </c>
      <c r="J362" s="10">
        <v>-4.9999999999999822</v>
      </c>
      <c r="K362" s="11">
        <v>-4.2099999999999582</v>
      </c>
    </row>
    <row r="363" spans="1:11" x14ac:dyDescent="0.3">
      <c r="A363" s="9">
        <v>46238</v>
      </c>
      <c r="B363" s="10" t="s">
        <v>10</v>
      </c>
      <c r="C363" s="121" t="s">
        <v>110</v>
      </c>
      <c r="D363" s="121" t="s">
        <v>99</v>
      </c>
      <c r="E363" s="10">
        <v>4.3935000000000004</v>
      </c>
      <c r="F363" s="10">
        <v>2.7000000000000135</v>
      </c>
      <c r="G363" s="10">
        <v>4.350000000000076</v>
      </c>
      <c r="H363" s="10">
        <v>0.17400000000000304</v>
      </c>
      <c r="I363" s="10">
        <v>-0.39999999999995595</v>
      </c>
      <c r="J363" s="10">
        <v>-5.7999999999999829</v>
      </c>
      <c r="K363" s="11">
        <v>-3.5099999999999909</v>
      </c>
    </row>
    <row r="364" spans="1:11" x14ac:dyDescent="0.3">
      <c r="A364" s="9">
        <v>46238</v>
      </c>
      <c r="B364" s="10" t="s">
        <v>12</v>
      </c>
      <c r="C364" s="121" t="s">
        <v>99</v>
      </c>
      <c r="D364" s="121" t="s">
        <v>111</v>
      </c>
      <c r="E364" s="10">
        <v>4.4734999999999996</v>
      </c>
      <c r="F364" s="10">
        <v>7.9999999999999183</v>
      </c>
      <c r="G364" s="10">
        <v>12.349999999999994</v>
      </c>
      <c r="H364" s="10">
        <v>0.49399999999999977</v>
      </c>
      <c r="I364" s="10">
        <v>-1.1500000000000732</v>
      </c>
      <c r="J364" s="10">
        <v>-7.0500000000000007</v>
      </c>
      <c r="K364" s="11">
        <v>-1.0100000000000442</v>
      </c>
    </row>
    <row r="365" spans="1:11" x14ac:dyDescent="0.3">
      <c r="A365" s="9">
        <v>46238</v>
      </c>
      <c r="B365" s="10" t="s">
        <v>13</v>
      </c>
      <c r="C365" s="121" t="s">
        <v>111</v>
      </c>
      <c r="D365" s="121" t="s">
        <v>125</v>
      </c>
      <c r="E365" s="10">
        <v>4.5110000000000001</v>
      </c>
      <c r="F365" s="10">
        <v>3.7500000000000533</v>
      </c>
      <c r="G365" s="10">
        <v>16.100000000000048</v>
      </c>
      <c r="H365" s="10">
        <v>0.6440000000000019</v>
      </c>
      <c r="I365" s="10">
        <v>-1.4000000000000234</v>
      </c>
      <c r="J365" s="10">
        <v>-7.299999999999951</v>
      </c>
      <c r="K365" s="11">
        <v>2.2400000000000198</v>
      </c>
    </row>
    <row r="366" spans="1:11" x14ac:dyDescent="0.3">
      <c r="A366" s="9">
        <v>46238</v>
      </c>
      <c r="B366" s="10" t="s">
        <v>14</v>
      </c>
      <c r="C366" s="121" t="s">
        <v>125</v>
      </c>
      <c r="D366" s="121" t="s">
        <v>147</v>
      </c>
      <c r="E366" s="10">
        <v>4.5410000000000004</v>
      </c>
      <c r="F366" s="10">
        <v>3.0000000000000249</v>
      </c>
      <c r="G366" s="10">
        <v>19.100000000000072</v>
      </c>
      <c r="H366" s="10">
        <v>0.7640000000000029</v>
      </c>
      <c r="I366" s="10">
        <v>-0.39999999999995595</v>
      </c>
      <c r="J366" s="10">
        <v>-7.0500000000000007</v>
      </c>
      <c r="K366" s="11">
        <v>7.7400000000000801</v>
      </c>
    </row>
    <row r="367" spans="1:11" x14ac:dyDescent="0.3">
      <c r="A367" s="9">
        <v>46238</v>
      </c>
      <c r="B367" s="10" t="s">
        <v>15</v>
      </c>
      <c r="C367" s="121" t="s">
        <v>147</v>
      </c>
      <c r="D367" s="121" t="s">
        <v>149</v>
      </c>
      <c r="E367" s="10">
        <v>4.5296000000000003</v>
      </c>
      <c r="F367" s="10">
        <v>-1.1400000000000077</v>
      </c>
      <c r="G367" s="10">
        <v>17.960000000000065</v>
      </c>
      <c r="H367" s="10">
        <v>0.71840000000000259</v>
      </c>
      <c r="I367" s="10">
        <v>-0.22999999999999687</v>
      </c>
      <c r="J367" s="10">
        <v>-6.8399999999999572</v>
      </c>
      <c r="K367" s="11">
        <v>8.4900000000000198</v>
      </c>
    </row>
    <row r="368" spans="1:11" x14ac:dyDescent="0.3">
      <c r="A368" s="9">
        <v>46238</v>
      </c>
      <c r="B368" s="10" t="s">
        <v>17</v>
      </c>
      <c r="C368" s="121" t="s">
        <v>149</v>
      </c>
      <c r="D368" s="121">
        <v>46470</v>
      </c>
      <c r="E368" s="10">
        <v>4.5048000000000004</v>
      </c>
      <c r="F368" s="10">
        <v>-2.4799999999999933</v>
      </c>
      <c r="G368" s="10">
        <v>15.480000000000071</v>
      </c>
      <c r="H368" s="10">
        <v>0.61920000000000286</v>
      </c>
      <c r="I368" s="10">
        <v>0.14000000000002899</v>
      </c>
      <c r="J368" s="10">
        <v>-6.3699999999999868</v>
      </c>
      <c r="K368" s="11">
        <v>7.7100000000000612</v>
      </c>
    </row>
    <row r="369" spans="1:11" x14ac:dyDescent="0.3">
      <c r="A369" s="9">
        <v>46238</v>
      </c>
      <c r="B369" s="10"/>
      <c r="C369" s="121"/>
      <c r="D369" s="121"/>
      <c r="E369" s="10"/>
      <c r="F369" s="10"/>
      <c r="G369" s="10"/>
      <c r="H369" s="10"/>
      <c r="I369" s="10">
        <v>0</v>
      </c>
      <c r="J369" s="10">
        <v>0</v>
      </c>
      <c r="K369" s="11">
        <v>0</v>
      </c>
    </row>
    <row r="370" spans="1:11" x14ac:dyDescent="0.3">
      <c r="A370" s="9">
        <v>46238</v>
      </c>
      <c r="B370" s="10"/>
      <c r="C370" s="121"/>
      <c r="D370" s="121"/>
      <c r="E370" s="10"/>
      <c r="F370" s="10"/>
      <c r="G370" s="10"/>
      <c r="H370" s="10"/>
      <c r="I370" s="10">
        <v>0</v>
      </c>
      <c r="J370" s="10">
        <v>0</v>
      </c>
      <c r="K370" s="11">
        <v>0</v>
      </c>
    </row>
    <row r="371" spans="1:11" x14ac:dyDescent="0.3">
      <c r="A371" s="9">
        <v>46238</v>
      </c>
      <c r="B371" s="10"/>
      <c r="C371" s="121"/>
      <c r="D371" s="121"/>
      <c r="E371" s="10"/>
      <c r="F371" s="10"/>
      <c r="G371" s="10"/>
      <c r="H371" s="10"/>
      <c r="I371" s="10">
        <v>0</v>
      </c>
      <c r="J371" s="10">
        <v>0</v>
      </c>
      <c r="K371" s="11">
        <v>0</v>
      </c>
    </row>
    <row r="372" spans="1:11" x14ac:dyDescent="0.3">
      <c r="A372" s="9">
        <v>46238</v>
      </c>
      <c r="B372" s="10"/>
      <c r="C372" s="121"/>
      <c r="D372" s="121"/>
      <c r="E372" s="10"/>
      <c r="F372" s="10"/>
      <c r="G372" s="10"/>
      <c r="H372" s="10"/>
      <c r="I372" s="10">
        <v>0</v>
      </c>
      <c r="J372" s="10">
        <v>0</v>
      </c>
      <c r="K372" s="11">
        <v>0</v>
      </c>
    </row>
    <row r="373" spans="1:11" x14ac:dyDescent="0.3">
      <c r="A373" s="546">
        <v>46239</v>
      </c>
      <c r="B373" s="547" t="s">
        <v>9</v>
      </c>
      <c r="C373" s="548" t="s">
        <v>109</v>
      </c>
      <c r="D373" s="548" t="s">
        <v>110</v>
      </c>
      <c r="E373" s="547">
        <v>4.3650000000000002</v>
      </c>
      <c r="F373" s="547">
        <v>1.5000000000000568</v>
      </c>
      <c r="G373" s="547">
        <v>1.5000000000000568</v>
      </c>
      <c r="H373" s="547">
        <v>6.0000000000002274E-2</v>
      </c>
      <c r="I373" s="547">
        <v>-0.15000000000000568</v>
      </c>
      <c r="J373" s="547">
        <v>-0.76999999999998181</v>
      </c>
      <c r="K373" s="549">
        <v>-3.8100000000000023</v>
      </c>
    </row>
    <row r="374" spans="1:11" x14ac:dyDescent="0.3">
      <c r="A374" s="546">
        <v>46239</v>
      </c>
      <c r="B374" s="547" t="s">
        <v>10</v>
      </c>
      <c r="C374" s="548" t="s">
        <v>110</v>
      </c>
      <c r="D374" s="548" t="s">
        <v>99</v>
      </c>
      <c r="E374" s="547">
        <v>4.3860000000000001</v>
      </c>
      <c r="F374" s="547">
        <v>2.0999999999999908</v>
      </c>
      <c r="G374" s="547">
        <v>3.6000000000000476</v>
      </c>
      <c r="H374" s="547">
        <v>0.1440000000000019</v>
      </c>
      <c r="I374" s="547">
        <v>-0.75000000000002842</v>
      </c>
      <c r="J374" s="547">
        <v>-1.6700000000000159</v>
      </c>
      <c r="K374" s="549">
        <v>-4.2099999999999582</v>
      </c>
    </row>
    <row r="375" spans="1:11" x14ac:dyDescent="0.3">
      <c r="A375" s="546">
        <v>46239</v>
      </c>
      <c r="B375" s="547" t="s">
        <v>12</v>
      </c>
      <c r="C375" s="548" t="s">
        <v>99</v>
      </c>
      <c r="D375" s="548" t="s">
        <v>111</v>
      </c>
      <c r="E375" s="547">
        <v>4.4630000000000001</v>
      </c>
      <c r="F375" s="547">
        <v>7.6999999999999957</v>
      </c>
      <c r="G375" s="547">
        <v>11.300000000000043</v>
      </c>
      <c r="H375" s="547">
        <v>0.45200000000000173</v>
      </c>
      <c r="I375" s="547">
        <v>-1.049999999999951</v>
      </c>
      <c r="J375" s="547">
        <v>-2.7199999999999669</v>
      </c>
      <c r="K375" s="549">
        <v>-1.7599999999999838</v>
      </c>
    </row>
    <row r="376" spans="1:11" x14ac:dyDescent="0.3">
      <c r="A376" s="546">
        <v>46239</v>
      </c>
      <c r="B376" s="547" t="s">
        <v>13</v>
      </c>
      <c r="C376" s="548" t="s">
        <v>111</v>
      </c>
      <c r="D376" s="548" t="s">
        <v>125</v>
      </c>
      <c r="E376" s="547">
        <v>4.4904999999999999</v>
      </c>
      <c r="F376" s="547">
        <v>2.7499999999999858</v>
      </c>
      <c r="G376" s="547">
        <v>14.050000000000029</v>
      </c>
      <c r="H376" s="547">
        <v>0.56200000000000117</v>
      </c>
      <c r="I376" s="547">
        <v>-2.0500000000000185</v>
      </c>
      <c r="J376" s="547">
        <v>-3.4699999999999953</v>
      </c>
      <c r="K376" s="549">
        <v>0.49000000000001265</v>
      </c>
    </row>
    <row r="377" spans="1:11" x14ac:dyDescent="0.3">
      <c r="A377" s="546">
        <v>46239</v>
      </c>
      <c r="B377" s="547" t="s">
        <v>14</v>
      </c>
      <c r="C377" s="548" t="s">
        <v>125</v>
      </c>
      <c r="D377" s="548" t="s">
        <v>147</v>
      </c>
      <c r="E377" s="547">
        <v>4.5084999999999997</v>
      </c>
      <c r="F377" s="547">
        <v>1.7999999999999794</v>
      </c>
      <c r="G377" s="547">
        <v>15.850000000000009</v>
      </c>
      <c r="H377" s="547">
        <v>0.63400000000000034</v>
      </c>
      <c r="I377" s="547">
        <v>-3.2500000000000639</v>
      </c>
      <c r="J377" s="547">
        <v>-3.1699999999999839</v>
      </c>
      <c r="K377" s="549">
        <v>5.7900000000000063</v>
      </c>
    </row>
    <row r="378" spans="1:11" x14ac:dyDescent="0.3">
      <c r="A378" s="546">
        <v>46239</v>
      </c>
      <c r="B378" s="547" t="s">
        <v>15</v>
      </c>
      <c r="C378" s="548" t="s">
        <v>147</v>
      </c>
      <c r="D378" s="548" t="s">
        <v>149</v>
      </c>
      <c r="E378" s="547">
        <v>4.5090000000000003</v>
      </c>
      <c r="F378" s="547">
        <v>5.0000000000061107E-2</v>
      </c>
      <c r="G378" s="547">
        <v>15.90000000000007</v>
      </c>
      <c r="H378" s="547">
        <v>0.63600000000000279</v>
      </c>
      <c r="I378" s="547">
        <v>-2.0599999999999952</v>
      </c>
      <c r="J378" s="547">
        <v>-2.4399999999999977</v>
      </c>
      <c r="K378" s="549">
        <v>8.1900000000000084</v>
      </c>
    </row>
    <row r="379" spans="1:11" x14ac:dyDescent="0.3">
      <c r="A379" s="546">
        <v>46239</v>
      </c>
      <c r="B379" s="547" t="s">
        <v>17</v>
      </c>
      <c r="C379" s="548" t="s">
        <v>149</v>
      </c>
      <c r="D379" s="548">
        <v>46470</v>
      </c>
      <c r="E379" s="547">
        <v>4.5121000000000002</v>
      </c>
      <c r="F379" s="547">
        <v>0.30999999999998806</v>
      </c>
      <c r="G379" s="547">
        <v>16.210000000000058</v>
      </c>
      <c r="H379" s="547">
        <v>0.64840000000000231</v>
      </c>
      <c r="I379" s="547">
        <v>0.72999999999998622</v>
      </c>
      <c r="J379" s="547">
        <v>-0.73999999999996291</v>
      </c>
      <c r="K379" s="549">
        <v>10.660000000000025</v>
      </c>
    </row>
    <row r="380" spans="1:11" x14ac:dyDescent="0.3">
      <c r="A380" s="546">
        <v>46239</v>
      </c>
      <c r="B380" s="547"/>
      <c r="C380" s="548"/>
      <c r="D380" s="548"/>
      <c r="E380" s="547"/>
      <c r="F380" s="547"/>
      <c r="G380" s="547"/>
      <c r="H380" s="547"/>
      <c r="I380" s="547">
        <v>0</v>
      </c>
      <c r="J380" s="547">
        <v>0</v>
      </c>
      <c r="K380" s="549">
        <v>0</v>
      </c>
    </row>
    <row r="381" spans="1:11" x14ac:dyDescent="0.3">
      <c r="A381" s="546">
        <v>46239</v>
      </c>
      <c r="B381" s="547"/>
      <c r="C381" s="548"/>
      <c r="D381" s="548"/>
      <c r="E381" s="547"/>
      <c r="F381" s="547"/>
      <c r="G381" s="547"/>
      <c r="H381" s="547"/>
      <c r="I381" s="547">
        <v>0</v>
      </c>
      <c r="J381" s="547">
        <v>0</v>
      </c>
      <c r="K381" s="549">
        <v>0</v>
      </c>
    </row>
    <row r="382" spans="1:11" x14ac:dyDescent="0.3">
      <c r="A382" s="546">
        <v>46239</v>
      </c>
      <c r="B382" s="547"/>
      <c r="C382" s="548"/>
      <c r="D382" s="548"/>
      <c r="E382" s="547"/>
      <c r="F382" s="547"/>
      <c r="G382" s="547"/>
      <c r="H382" s="547"/>
      <c r="I382" s="547">
        <v>0</v>
      </c>
      <c r="J382" s="547">
        <v>0</v>
      </c>
      <c r="K382" s="549">
        <v>0</v>
      </c>
    </row>
    <row r="383" spans="1:11" x14ac:dyDescent="0.3">
      <c r="A383" s="546">
        <v>46239</v>
      </c>
      <c r="B383" s="547"/>
      <c r="C383" s="548"/>
      <c r="D383" s="548"/>
      <c r="E383" s="547"/>
      <c r="F383" s="547"/>
      <c r="G383" s="547"/>
      <c r="H383" s="547"/>
      <c r="I383" s="547">
        <v>0</v>
      </c>
      <c r="J383" s="547">
        <v>0</v>
      </c>
      <c r="K383" s="549">
        <v>0</v>
      </c>
    </row>
    <row r="384" spans="1:11" x14ac:dyDescent="0.3">
      <c r="A384" s="546">
        <v>46240</v>
      </c>
      <c r="B384" s="547" t="s">
        <v>9</v>
      </c>
      <c r="C384" s="548" t="s">
        <v>109</v>
      </c>
      <c r="D384" s="548" t="s">
        <v>110</v>
      </c>
      <c r="E384" s="547">
        <v>4.3646000000000003</v>
      </c>
      <c r="F384" s="547">
        <v>1.4600000000000612</v>
      </c>
      <c r="G384" s="547">
        <v>1.4600000000000612</v>
      </c>
      <c r="H384" s="547">
        <v>5.840000000000245E-2</v>
      </c>
      <c r="I384" s="547">
        <v>-3.9999999999995595E-2</v>
      </c>
      <c r="J384" s="547">
        <v>-0.40999999999993264</v>
      </c>
      <c r="K384" s="549">
        <v>-3.7199999999999456</v>
      </c>
    </row>
    <row r="385" spans="1:11" x14ac:dyDescent="0.3">
      <c r="A385" s="546">
        <v>46240</v>
      </c>
      <c r="B385" s="547" t="s">
        <v>10</v>
      </c>
      <c r="C385" s="548" t="s">
        <v>110</v>
      </c>
      <c r="D385" s="548" t="s">
        <v>99</v>
      </c>
      <c r="E385" s="547">
        <v>4.3875999999999999</v>
      </c>
      <c r="F385" s="547">
        <v>2.2999999999999687</v>
      </c>
      <c r="G385" s="547">
        <v>3.76000000000003</v>
      </c>
      <c r="H385" s="547">
        <v>0.1504000000000012</v>
      </c>
      <c r="I385" s="547">
        <v>0.15999999999998238</v>
      </c>
      <c r="J385" s="547">
        <v>-0.76000000000000512</v>
      </c>
      <c r="K385" s="549">
        <v>-3.420000000000023</v>
      </c>
    </row>
    <row r="386" spans="1:11" x14ac:dyDescent="0.3">
      <c r="A386" s="546">
        <v>46240</v>
      </c>
      <c r="B386" s="547" t="s">
        <v>12</v>
      </c>
      <c r="C386" s="548" t="s">
        <v>99</v>
      </c>
      <c r="D386" s="548" t="s">
        <v>111</v>
      </c>
      <c r="E386" s="547">
        <v>4.4626000000000001</v>
      </c>
      <c r="F386" s="547">
        <v>7.5000000000000178</v>
      </c>
      <c r="G386" s="547">
        <v>11.260000000000048</v>
      </c>
      <c r="H386" s="547">
        <v>0.45040000000000191</v>
      </c>
      <c r="I386" s="547">
        <v>-3.9999999999995595E-2</v>
      </c>
      <c r="J386" s="547">
        <v>-1.4599999999999724</v>
      </c>
      <c r="K386" s="549">
        <v>-0.54999999999996163</v>
      </c>
    </row>
    <row r="387" spans="1:11" x14ac:dyDescent="0.3">
      <c r="A387" s="546">
        <v>46240</v>
      </c>
      <c r="B387" s="547" t="s">
        <v>13</v>
      </c>
      <c r="C387" s="548" t="s">
        <v>111</v>
      </c>
      <c r="D387" s="548" t="s">
        <v>125</v>
      </c>
      <c r="E387" s="547">
        <v>4.4901</v>
      </c>
      <c r="F387" s="547">
        <v>2.7499999999999858</v>
      </c>
      <c r="G387" s="547">
        <v>14.010000000000034</v>
      </c>
      <c r="H387" s="547">
        <v>0.56040000000000134</v>
      </c>
      <c r="I387" s="547">
        <v>-3.9999999999995595E-2</v>
      </c>
      <c r="J387" s="547">
        <v>-2.9600000000000293</v>
      </c>
      <c r="K387" s="549">
        <v>1.9499999999999851</v>
      </c>
    </row>
    <row r="388" spans="1:11" x14ac:dyDescent="0.3">
      <c r="A388" s="546">
        <v>46240</v>
      </c>
      <c r="B388" s="547" t="s">
        <v>14</v>
      </c>
      <c r="C388" s="548" t="s">
        <v>125</v>
      </c>
      <c r="D388" s="548" t="s">
        <v>147</v>
      </c>
      <c r="E388" s="547">
        <v>4.5050999999999997</v>
      </c>
      <c r="F388" s="547">
        <v>1.499999999999968</v>
      </c>
      <c r="G388" s="547">
        <v>15.510000000000002</v>
      </c>
      <c r="H388" s="547">
        <v>0.62040000000000006</v>
      </c>
      <c r="I388" s="547">
        <v>-0.34000000000000696</v>
      </c>
      <c r="J388" s="547">
        <v>-4.210000000000047</v>
      </c>
      <c r="K388" s="549">
        <v>7.4499999999999567</v>
      </c>
    </row>
    <row r="389" spans="1:11" x14ac:dyDescent="0.3">
      <c r="A389" s="546">
        <v>46240</v>
      </c>
      <c r="B389" s="547" t="s">
        <v>15</v>
      </c>
      <c r="C389" s="548" t="s">
        <v>147</v>
      </c>
      <c r="D389" s="548" t="s">
        <v>149</v>
      </c>
      <c r="E389" s="547">
        <v>4.5164</v>
      </c>
      <c r="F389" s="547">
        <v>1.130000000000031</v>
      </c>
      <c r="G389" s="547">
        <v>16.640000000000033</v>
      </c>
      <c r="H389" s="547">
        <v>0.6656000000000013</v>
      </c>
      <c r="I389" s="547">
        <v>0.73999999999996291</v>
      </c>
      <c r="J389" s="547">
        <v>-1.9499999999999851</v>
      </c>
      <c r="K389" s="549">
        <v>9.8099999999999632</v>
      </c>
    </row>
    <row r="390" spans="1:11" x14ac:dyDescent="0.3">
      <c r="A390" s="546">
        <v>46240</v>
      </c>
      <c r="B390" s="547" t="s">
        <v>17</v>
      </c>
      <c r="C390" s="548" t="s">
        <v>149</v>
      </c>
      <c r="D390" s="548">
        <v>46470</v>
      </c>
      <c r="E390" s="547">
        <v>4.5448000000000004</v>
      </c>
      <c r="F390" s="547">
        <v>2.8400000000000425</v>
      </c>
      <c r="G390" s="547">
        <v>19.480000000000075</v>
      </c>
      <c r="H390" s="547">
        <v>0.779200000000003</v>
      </c>
      <c r="I390" s="547">
        <v>3.2700000000000173</v>
      </c>
      <c r="J390" s="547">
        <v>3.3200000000000784</v>
      </c>
      <c r="K390" s="549">
        <v>13.690000000000069</v>
      </c>
    </row>
    <row r="391" spans="1:11" x14ac:dyDescent="0.3">
      <c r="A391" s="546">
        <v>46240</v>
      </c>
      <c r="B391" s="547"/>
      <c r="C391" s="548"/>
      <c r="D391" s="548"/>
      <c r="E391" s="547"/>
      <c r="F391" s="547"/>
      <c r="G391" s="547"/>
      <c r="H391" s="547"/>
      <c r="I391" s="547">
        <v>0</v>
      </c>
      <c r="J391" s="547">
        <v>0</v>
      </c>
      <c r="K391" s="549">
        <v>0</v>
      </c>
    </row>
    <row r="392" spans="1:11" x14ac:dyDescent="0.3">
      <c r="A392" s="546">
        <v>46240</v>
      </c>
      <c r="B392" s="547"/>
      <c r="C392" s="548"/>
      <c r="D392" s="548"/>
      <c r="E392" s="547"/>
      <c r="F392" s="547"/>
      <c r="G392" s="547"/>
      <c r="H392" s="547"/>
      <c r="I392" s="547">
        <v>0</v>
      </c>
      <c r="J392" s="547">
        <v>0</v>
      </c>
      <c r="K392" s="549">
        <v>0</v>
      </c>
    </row>
    <row r="393" spans="1:11" x14ac:dyDescent="0.3">
      <c r="A393" s="546">
        <v>46240</v>
      </c>
      <c r="B393" s="547"/>
      <c r="C393" s="548"/>
      <c r="D393" s="548"/>
      <c r="E393" s="547"/>
      <c r="F393" s="547"/>
      <c r="G393" s="547"/>
      <c r="H393" s="547"/>
      <c r="I393" s="547">
        <v>0</v>
      </c>
      <c r="J393" s="547">
        <v>0</v>
      </c>
      <c r="K393" s="549">
        <v>0</v>
      </c>
    </row>
    <row r="394" spans="1:11" x14ac:dyDescent="0.3">
      <c r="A394" s="546">
        <v>46240</v>
      </c>
      <c r="B394" s="547"/>
      <c r="C394" s="548"/>
      <c r="D394" s="548"/>
      <c r="E394" s="547"/>
      <c r="F394" s="547"/>
      <c r="G394" s="547"/>
      <c r="H394" s="547"/>
      <c r="I394" s="547">
        <v>0</v>
      </c>
      <c r="J394" s="547">
        <v>0</v>
      </c>
      <c r="K394" s="549">
        <v>0</v>
      </c>
    </row>
    <row r="395" spans="1:11" x14ac:dyDescent="0.3">
      <c r="A395" s="9">
        <v>46241</v>
      </c>
      <c r="B395" s="10" t="s">
        <v>9</v>
      </c>
      <c r="C395" s="121" t="s">
        <v>109</v>
      </c>
      <c r="D395" s="121" t="s">
        <v>110</v>
      </c>
      <c r="E395" s="10">
        <v>4.3650000000000002</v>
      </c>
      <c r="F395" s="10">
        <v>1.5000000000000568</v>
      </c>
      <c r="G395" s="10">
        <v>1.5000000000000568</v>
      </c>
      <c r="H395" s="10">
        <v>6.0000000000002274E-2</v>
      </c>
      <c r="I395" s="10">
        <v>3.9999999999995595E-2</v>
      </c>
      <c r="J395" s="10">
        <v>-4.9999999999972289E-2</v>
      </c>
      <c r="K395" s="11">
        <v>-3.4899999999999487</v>
      </c>
    </row>
    <row r="396" spans="1:11" x14ac:dyDescent="0.3">
      <c r="A396" s="9">
        <v>46241</v>
      </c>
      <c r="B396" s="10" t="s">
        <v>10</v>
      </c>
      <c r="C396" s="121" t="s">
        <v>110</v>
      </c>
      <c r="D396" s="121" t="s">
        <v>99</v>
      </c>
      <c r="E396" s="10">
        <v>4.3925000000000001</v>
      </c>
      <c r="F396" s="10">
        <v>2.7499999999999858</v>
      </c>
      <c r="G396" s="10">
        <v>4.2500000000000426</v>
      </c>
      <c r="H396" s="10">
        <v>0.17000000000000171</v>
      </c>
      <c r="I396" s="10">
        <v>0.49000000000001265</v>
      </c>
      <c r="J396" s="10">
        <v>-0.30000000000001137</v>
      </c>
      <c r="K396" s="11">
        <v>-3.2399999999999984</v>
      </c>
    </row>
    <row r="397" spans="1:11" x14ac:dyDescent="0.3">
      <c r="A397" s="9">
        <v>46241</v>
      </c>
      <c r="B397" s="10" t="s">
        <v>12</v>
      </c>
      <c r="C397" s="121" t="s">
        <v>99</v>
      </c>
      <c r="D397" s="121" t="s">
        <v>111</v>
      </c>
      <c r="E397" s="10">
        <v>4.4725000000000001</v>
      </c>
      <c r="F397" s="10">
        <v>8.0000000000000071</v>
      </c>
      <c r="G397" s="10">
        <v>12.25000000000005</v>
      </c>
      <c r="H397" s="10">
        <v>0.49000000000000199</v>
      </c>
      <c r="I397" s="10">
        <v>0.99000000000000199</v>
      </c>
      <c r="J397" s="10">
        <v>-9.9999999999944578E-2</v>
      </c>
      <c r="K397" s="11">
        <v>9.9999999999766942E-3</v>
      </c>
    </row>
    <row r="398" spans="1:11" x14ac:dyDescent="0.3">
      <c r="A398" s="9">
        <v>46241</v>
      </c>
      <c r="B398" s="10" t="s">
        <v>13</v>
      </c>
      <c r="C398" s="121" t="s">
        <v>111</v>
      </c>
      <c r="D398" s="121" t="s">
        <v>125</v>
      </c>
      <c r="E398" s="10">
        <v>4.5086000000000004</v>
      </c>
      <c r="F398" s="10">
        <v>3.6100000000000243</v>
      </c>
      <c r="G398" s="10">
        <v>15.860000000000074</v>
      </c>
      <c r="H398" s="10">
        <v>0.63440000000000296</v>
      </c>
      <c r="I398" s="10">
        <v>1.8500000000000405</v>
      </c>
      <c r="J398" s="10">
        <v>0.51000000000005485</v>
      </c>
      <c r="K398" s="11">
        <v>3.1200000000000117</v>
      </c>
    </row>
    <row r="399" spans="1:11" x14ac:dyDescent="0.3">
      <c r="A399" s="9">
        <v>46241</v>
      </c>
      <c r="B399" s="10" t="s">
        <v>14</v>
      </c>
      <c r="C399" s="121" t="s">
        <v>125</v>
      </c>
      <c r="D399" s="121" t="s">
        <v>147</v>
      </c>
      <c r="E399" s="10">
        <v>4.5312000000000001</v>
      </c>
      <c r="F399" s="10">
        <v>2.2599999999999731</v>
      </c>
      <c r="G399" s="10">
        <v>18.120000000000047</v>
      </c>
      <c r="H399" s="10">
        <v>0.72480000000000189</v>
      </c>
      <c r="I399" s="10">
        <v>2.6100000000000456</v>
      </c>
      <c r="J399" s="10">
        <v>0.9700000000000486</v>
      </c>
      <c r="K399" s="11">
        <v>8.879999999999999</v>
      </c>
    </row>
    <row r="400" spans="1:11" x14ac:dyDescent="0.3">
      <c r="A400" s="9">
        <v>46241</v>
      </c>
      <c r="B400" s="10" t="s">
        <v>15</v>
      </c>
      <c r="C400" s="121" t="s">
        <v>147</v>
      </c>
      <c r="D400" s="121" t="s">
        <v>149</v>
      </c>
      <c r="E400" s="10">
        <v>4.5293999999999999</v>
      </c>
      <c r="F400" s="10">
        <v>-0.18000000000002458</v>
      </c>
      <c r="G400" s="10">
        <v>17.940000000000023</v>
      </c>
      <c r="H400" s="10">
        <v>0.7176000000000009</v>
      </c>
      <c r="I400" s="10">
        <v>1.2999999999999901</v>
      </c>
      <c r="J400" s="10">
        <v>-0.8099999999999774</v>
      </c>
      <c r="K400" s="11">
        <v>10.360000000000014</v>
      </c>
    </row>
    <row r="401" spans="1:11" x14ac:dyDescent="0.3">
      <c r="A401" s="9">
        <v>46241</v>
      </c>
      <c r="B401" s="10" t="s">
        <v>17</v>
      </c>
      <c r="C401" s="121" t="s">
        <v>149</v>
      </c>
      <c r="D401" s="121">
        <v>46470</v>
      </c>
      <c r="E401" s="10">
        <v>4.5274000000000001</v>
      </c>
      <c r="F401" s="10">
        <v>-0.19999999999997797</v>
      </c>
      <c r="G401" s="10">
        <v>17.740000000000045</v>
      </c>
      <c r="H401" s="10">
        <v>0.70960000000000178</v>
      </c>
      <c r="I401" s="10">
        <v>-1.7400000000000304</v>
      </c>
      <c r="J401" s="10">
        <v>-4.9500000000000099</v>
      </c>
      <c r="K401" s="11">
        <v>11.629999999999985</v>
      </c>
    </row>
    <row r="402" spans="1:11" x14ac:dyDescent="0.3">
      <c r="A402" s="9">
        <v>46241</v>
      </c>
      <c r="B402" s="10"/>
      <c r="C402" s="121"/>
      <c r="D402" s="121"/>
      <c r="E402" s="10"/>
      <c r="F402" s="10"/>
      <c r="G402" s="10"/>
      <c r="H402" s="10"/>
      <c r="I402" s="10">
        <v>0</v>
      </c>
      <c r="J402" s="10">
        <v>0</v>
      </c>
      <c r="K402" s="11">
        <v>0</v>
      </c>
    </row>
    <row r="403" spans="1:11" x14ac:dyDescent="0.3">
      <c r="A403" s="9">
        <v>46241</v>
      </c>
      <c r="B403" s="10"/>
      <c r="C403" s="121"/>
      <c r="D403" s="121"/>
      <c r="E403" s="10"/>
      <c r="F403" s="10"/>
      <c r="G403" s="10"/>
      <c r="H403" s="10"/>
      <c r="I403" s="10">
        <v>0</v>
      </c>
      <c r="J403" s="10">
        <v>0</v>
      </c>
      <c r="K403" s="11">
        <v>0</v>
      </c>
    </row>
    <row r="404" spans="1:11" x14ac:dyDescent="0.3">
      <c r="A404" s="9">
        <v>46241</v>
      </c>
      <c r="B404" s="10"/>
      <c r="C404" s="121"/>
      <c r="D404" s="121"/>
      <c r="E404" s="10"/>
      <c r="F404" s="10"/>
      <c r="G404" s="10"/>
      <c r="H404" s="10"/>
      <c r="I404" s="10">
        <v>0</v>
      </c>
      <c r="J404" s="10">
        <v>0</v>
      </c>
      <c r="K404" s="11">
        <v>0</v>
      </c>
    </row>
    <row r="405" spans="1:11" x14ac:dyDescent="0.3">
      <c r="A405" s="9">
        <v>46241</v>
      </c>
      <c r="B405" s="10"/>
      <c r="C405" s="121"/>
      <c r="D405" s="121"/>
      <c r="E405" s="10"/>
      <c r="F405" s="10"/>
      <c r="G405" s="10"/>
      <c r="H405" s="10"/>
      <c r="I405" s="10">
        <v>0</v>
      </c>
      <c r="J405" s="10">
        <v>0</v>
      </c>
      <c r="K405" s="11">
        <v>0</v>
      </c>
    </row>
    <row r="406" spans="1:11" x14ac:dyDescent="0.3">
      <c r="A406" s="9">
        <v>46244</v>
      </c>
      <c r="B406" s="10" t="s">
        <v>9</v>
      </c>
      <c r="C406" s="121" t="s">
        <v>109</v>
      </c>
      <c r="D406" s="121" t="s">
        <v>110</v>
      </c>
      <c r="E406" s="10">
        <v>4.3650000000000002</v>
      </c>
      <c r="F406" s="10">
        <v>1.5000000000000568</v>
      </c>
      <c r="G406" s="10">
        <v>1.5000000000000568</v>
      </c>
      <c r="H406" s="10">
        <v>6.0000000000002274E-2</v>
      </c>
      <c r="I406" s="10">
        <v>0</v>
      </c>
      <c r="J406" s="10">
        <v>-0.24999999999995026</v>
      </c>
      <c r="K406" s="11">
        <v>-4.2499999999999538</v>
      </c>
    </row>
    <row r="407" spans="1:11" x14ac:dyDescent="0.3">
      <c r="A407" s="9">
        <v>46244</v>
      </c>
      <c r="B407" s="10" t="s">
        <v>10</v>
      </c>
      <c r="C407" s="121" t="s">
        <v>110</v>
      </c>
      <c r="D407" s="121" t="s">
        <v>99</v>
      </c>
      <c r="E407" s="10">
        <v>4.399</v>
      </c>
      <c r="F407" s="10">
        <v>3.3999999999999808</v>
      </c>
      <c r="G407" s="10">
        <v>4.9000000000000377</v>
      </c>
      <c r="H407" s="10">
        <v>0.19600000000000151</v>
      </c>
      <c r="I407" s="10">
        <v>0.64999999999999503</v>
      </c>
      <c r="J407" s="10">
        <v>0.15000000000000568</v>
      </c>
      <c r="K407" s="11">
        <v>-3.7499999999999645</v>
      </c>
    </row>
    <row r="408" spans="1:11" x14ac:dyDescent="0.3">
      <c r="A408" s="9">
        <v>46244</v>
      </c>
      <c r="B408" s="10" t="s">
        <v>12</v>
      </c>
      <c r="C408" s="121" t="s">
        <v>99</v>
      </c>
      <c r="D408" s="121" t="s">
        <v>111</v>
      </c>
      <c r="E408" s="10">
        <v>4.4749999999999996</v>
      </c>
      <c r="F408" s="10">
        <v>7.5999999999999623</v>
      </c>
      <c r="G408" s="10">
        <v>12.5</v>
      </c>
      <c r="H408" s="10">
        <v>0.5</v>
      </c>
      <c r="I408" s="10">
        <v>0.24999999999995026</v>
      </c>
      <c r="J408" s="10">
        <v>-1.0000000000000675</v>
      </c>
      <c r="K408" s="11">
        <v>-1.6500000000000625</v>
      </c>
    </row>
    <row r="409" spans="1:11" x14ac:dyDescent="0.3">
      <c r="A409" s="9">
        <v>46244</v>
      </c>
      <c r="B409" s="10" t="s">
        <v>13</v>
      </c>
      <c r="C409" s="121" t="s">
        <v>111</v>
      </c>
      <c r="D409" s="121" t="s">
        <v>125</v>
      </c>
      <c r="E409" s="10">
        <v>4.5157999999999996</v>
      </c>
      <c r="F409" s="10">
        <v>4.0799999999999947</v>
      </c>
      <c r="G409" s="10">
        <v>16.579999999999995</v>
      </c>
      <c r="H409" s="10">
        <v>0.66319999999999979</v>
      </c>
      <c r="I409" s="10">
        <v>0.7199999999999207</v>
      </c>
      <c r="J409" s="10">
        <v>-0.92000000000007631</v>
      </c>
      <c r="K409" s="11">
        <v>1.9299999999999429</v>
      </c>
    </row>
    <row r="410" spans="1:11" x14ac:dyDescent="0.3">
      <c r="A410" s="9">
        <v>46244</v>
      </c>
      <c r="B410" s="10" t="s">
        <v>14</v>
      </c>
      <c r="C410" s="121" t="s">
        <v>125</v>
      </c>
      <c r="D410" s="121" t="s">
        <v>147</v>
      </c>
      <c r="E410" s="10">
        <v>4.5430000000000001</v>
      </c>
      <c r="F410" s="10">
        <v>2.7200000000000557</v>
      </c>
      <c r="G410" s="10">
        <v>19.30000000000005</v>
      </c>
      <c r="H410" s="10">
        <v>0.77200000000000202</v>
      </c>
      <c r="I410" s="10">
        <v>1.1800000000000033</v>
      </c>
      <c r="J410" s="10">
        <v>-0.19999999999997797</v>
      </c>
      <c r="K410" s="11">
        <v>8.4000000000000519</v>
      </c>
    </row>
    <row r="411" spans="1:11" x14ac:dyDescent="0.3">
      <c r="A411" s="9">
        <v>46244</v>
      </c>
      <c r="B411" s="10" t="s">
        <v>15</v>
      </c>
      <c r="C411" s="121" t="s">
        <v>147</v>
      </c>
      <c r="D411" s="121" t="s">
        <v>149</v>
      </c>
      <c r="E411" s="10">
        <v>4.5441000000000003</v>
      </c>
      <c r="F411" s="10">
        <v>0.11000000000001009</v>
      </c>
      <c r="G411" s="10">
        <v>19.410000000000061</v>
      </c>
      <c r="H411" s="10">
        <v>0.77640000000000242</v>
      </c>
      <c r="I411" s="10">
        <v>1.4700000000000379</v>
      </c>
      <c r="J411" s="10">
        <v>1.2199999999999989</v>
      </c>
      <c r="K411" s="11">
        <v>10.34000000000006</v>
      </c>
    </row>
    <row r="412" spans="1:11" x14ac:dyDescent="0.3">
      <c r="A412" s="9">
        <v>46244</v>
      </c>
      <c r="B412" s="10" t="s">
        <v>17</v>
      </c>
      <c r="C412" s="121" t="s">
        <v>149</v>
      </c>
      <c r="D412" s="121">
        <v>46470</v>
      </c>
      <c r="E412" s="10">
        <v>4.5487000000000002</v>
      </c>
      <c r="F412" s="10">
        <v>0.45999999999999375</v>
      </c>
      <c r="G412" s="10">
        <v>19.870000000000054</v>
      </c>
      <c r="H412" s="10">
        <v>0.79480000000000217</v>
      </c>
      <c r="I412" s="10">
        <v>2.1300000000000097</v>
      </c>
      <c r="J412" s="10">
        <v>4.5300000000000118</v>
      </c>
      <c r="K412" s="11">
        <v>12.440000000000051</v>
      </c>
    </row>
    <row r="413" spans="1:11" x14ac:dyDescent="0.3">
      <c r="A413" s="9">
        <v>46244</v>
      </c>
      <c r="B413" s="10"/>
      <c r="C413" s="121"/>
      <c r="D413" s="121"/>
      <c r="E413" s="10"/>
      <c r="F413" s="10"/>
      <c r="G413" s="10"/>
      <c r="H413" s="10"/>
      <c r="I413" s="10">
        <v>0</v>
      </c>
      <c r="J413" s="10">
        <v>0</v>
      </c>
      <c r="K413" s="11">
        <v>0</v>
      </c>
    </row>
    <row r="414" spans="1:11" x14ac:dyDescent="0.3">
      <c r="A414" s="9">
        <v>46244</v>
      </c>
      <c r="B414" s="10"/>
      <c r="C414" s="121"/>
      <c r="D414" s="121"/>
      <c r="E414" s="10"/>
      <c r="F414" s="10"/>
      <c r="G414" s="10"/>
      <c r="H414" s="10"/>
      <c r="I414" s="10">
        <v>0</v>
      </c>
      <c r="J414" s="10">
        <v>0</v>
      </c>
      <c r="K414" s="11">
        <v>0</v>
      </c>
    </row>
    <row r="415" spans="1:11" x14ac:dyDescent="0.3">
      <c r="A415" s="9">
        <v>46244</v>
      </c>
      <c r="B415" s="10"/>
      <c r="C415" s="121"/>
      <c r="D415" s="121"/>
      <c r="E415" s="10"/>
      <c r="F415" s="10"/>
      <c r="G415" s="10"/>
      <c r="H415" s="10"/>
      <c r="I415" s="10">
        <v>0</v>
      </c>
      <c r="J415" s="10">
        <v>0</v>
      </c>
      <c r="K415" s="11">
        <v>0</v>
      </c>
    </row>
    <row r="416" spans="1:11" x14ac:dyDescent="0.3">
      <c r="A416" s="9">
        <v>46244</v>
      </c>
      <c r="B416" s="10"/>
      <c r="C416" s="121"/>
      <c r="D416" s="121"/>
      <c r="E416" s="10"/>
      <c r="F416" s="10"/>
      <c r="G416" s="10"/>
      <c r="H416" s="10"/>
      <c r="I416" s="10">
        <v>0</v>
      </c>
      <c r="J416" s="10">
        <v>0</v>
      </c>
      <c r="K416" s="11">
        <v>0</v>
      </c>
    </row>
    <row r="417" spans="1:11" x14ac:dyDescent="0.3">
      <c r="A417" s="9">
        <v>46245</v>
      </c>
      <c r="B417" s="10" t="s">
        <v>10</v>
      </c>
      <c r="C417" s="121" t="s">
        <v>110</v>
      </c>
      <c r="D417" s="121" t="s">
        <v>99</v>
      </c>
      <c r="E417" s="10">
        <v>4.3620000000000001</v>
      </c>
      <c r="F417" s="10">
        <v>1.2000000000000455</v>
      </c>
      <c r="G417" s="10">
        <v>1.2000000000000455</v>
      </c>
      <c r="H417" s="10">
        <v>4.8000000000001819E-2</v>
      </c>
      <c r="I417" s="10">
        <v>-3.6999999999999922</v>
      </c>
      <c r="J417" s="10">
        <v>-3.1500000000000306</v>
      </c>
      <c r="K417" s="11">
        <v>-9.0399999999999814</v>
      </c>
    </row>
    <row r="418" spans="1:11" x14ac:dyDescent="0.3">
      <c r="A418" s="9">
        <v>46245</v>
      </c>
      <c r="B418" s="10" t="s">
        <v>12</v>
      </c>
      <c r="C418" s="121" t="s">
        <v>99</v>
      </c>
      <c r="D418" s="121" t="s">
        <v>111</v>
      </c>
      <c r="E418" s="10">
        <v>4.4009999999999998</v>
      </c>
      <c r="F418" s="10">
        <v>3.8999999999999702</v>
      </c>
      <c r="G418" s="10">
        <v>5.1000000000000156</v>
      </c>
      <c r="H418" s="10">
        <v>0.20400000000000063</v>
      </c>
      <c r="I418" s="10">
        <v>-7.3999999999999844</v>
      </c>
      <c r="J418" s="10">
        <v>-7.2499999999999787</v>
      </c>
      <c r="K418" s="11">
        <v>-11.390000000000011</v>
      </c>
    </row>
    <row r="419" spans="1:11" x14ac:dyDescent="0.3">
      <c r="A419" s="9">
        <v>46245</v>
      </c>
      <c r="B419" s="10" t="s">
        <v>13</v>
      </c>
      <c r="C419" s="121" t="s">
        <v>111</v>
      </c>
      <c r="D419" s="121" t="s">
        <v>125</v>
      </c>
      <c r="E419" s="10">
        <v>4.4939999999999998</v>
      </c>
      <c r="F419" s="10">
        <v>9.2999999999999972</v>
      </c>
      <c r="G419" s="10">
        <v>14.400000000000013</v>
      </c>
      <c r="H419" s="10">
        <v>0.57600000000000051</v>
      </c>
      <c r="I419" s="10">
        <v>-2.179999999999982</v>
      </c>
      <c r="J419" s="10">
        <v>-1.7000000000000348</v>
      </c>
      <c r="K419" s="11">
        <v>-3.0899999999999928</v>
      </c>
    </row>
    <row r="420" spans="1:11" x14ac:dyDescent="0.3">
      <c r="A420" s="9">
        <v>46245</v>
      </c>
      <c r="B420" s="10" t="s">
        <v>14</v>
      </c>
      <c r="C420" s="121" t="s">
        <v>125</v>
      </c>
      <c r="D420" s="121" t="s">
        <v>147</v>
      </c>
      <c r="E420" s="10">
        <v>4.5205000000000002</v>
      </c>
      <c r="F420" s="10">
        <v>2.6500000000000412</v>
      </c>
      <c r="G420" s="10">
        <v>17.050000000000054</v>
      </c>
      <c r="H420" s="10">
        <v>0.68200000000000216</v>
      </c>
      <c r="I420" s="10">
        <v>-2.2499999999999964</v>
      </c>
      <c r="J420" s="10">
        <v>-2.0500000000000185</v>
      </c>
      <c r="K420" s="11">
        <v>1.5600000000000058</v>
      </c>
    </row>
    <row r="421" spans="1:11" x14ac:dyDescent="0.3">
      <c r="A421" s="9">
        <v>46245</v>
      </c>
      <c r="B421" s="10" t="s">
        <v>15</v>
      </c>
      <c r="C421" s="121" t="s">
        <v>147</v>
      </c>
      <c r="D421" s="121" t="s">
        <v>149</v>
      </c>
      <c r="E421" s="10">
        <v>4.5334000000000003</v>
      </c>
      <c r="F421" s="10">
        <v>1.2900000000000134</v>
      </c>
      <c r="G421" s="10">
        <v>18.340000000000067</v>
      </c>
      <c r="H421" s="10">
        <v>0.73360000000000269</v>
      </c>
      <c r="I421" s="10">
        <v>-1.0699999999999932</v>
      </c>
      <c r="J421" s="10">
        <v>0.38000000000000256</v>
      </c>
      <c r="K421" s="11">
        <v>2.970000000000006</v>
      </c>
    </row>
    <row r="422" spans="1:11" x14ac:dyDescent="0.3">
      <c r="A422" s="9">
        <v>46245</v>
      </c>
      <c r="B422" s="10" t="s">
        <v>17</v>
      </c>
      <c r="C422" s="121" t="s">
        <v>149</v>
      </c>
      <c r="D422" s="121" t="s">
        <v>213</v>
      </c>
      <c r="E422" s="10">
        <v>4.5362</v>
      </c>
      <c r="F422" s="10">
        <v>0.27999999999996916</v>
      </c>
      <c r="G422" s="10">
        <v>18.620000000000037</v>
      </c>
      <c r="H422" s="10">
        <v>0.74480000000000146</v>
      </c>
      <c r="I422" s="10" t="s">
        <v>41</v>
      </c>
      <c r="J422" s="10" t="s">
        <v>41</v>
      </c>
      <c r="K422" s="11" t="s">
        <v>41</v>
      </c>
    </row>
    <row r="423" spans="1:11" x14ac:dyDescent="0.3">
      <c r="A423" s="9">
        <v>46245</v>
      </c>
      <c r="B423" s="10" t="s">
        <v>18</v>
      </c>
      <c r="C423" s="121" t="s">
        <v>213</v>
      </c>
      <c r="D423" s="121">
        <v>46470</v>
      </c>
      <c r="E423" s="10">
        <v>4.5446</v>
      </c>
      <c r="F423" s="10">
        <v>0.83999999999999631</v>
      </c>
      <c r="G423" s="10">
        <v>19.460000000000033</v>
      </c>
      <c r="H423" s="10">
        <v>0.77840000000000131</v>
      </c>
      <c r="I423" s="10" t="s">
        <v>41</v>
      </c>
      <c r="J423" s="10" t="s">
        <v>41</v>
      </c>
      <c r="K423" s="11" t="s">
        <v>41</v>
      </c>
    </row>
    <row r="424" spans="1:11" x14ac:dyDescent="0.3">
      <c r="A424" s="9">
        <v>46245</v>
      </c>
      <c r="B424" s="10"/>
      <c r="C424" s="121"/>
      <c r="D424" s="121"/>
      <c r="E424" s="10"/>
      <c r="F424" s="10"/>
      <c r="G424" s="10"/>
      <c r="H424" s="10"/>
      <c r="I424" s="10">
        <v>0</v>
      </c>
      <c r="J424" s="10">
        <v>0</v>
      </c>
      <c r="K424" s="11">
        <v>0</v>
      </c>
    </row>
    <row r="425" spans="1:11" x14ac:dyDescent="0.3">
      <c r="A425" s="9">
        <v>46245</v>
      </c>
      <c r="B425" s="10"/>
      <c r="C425" s="121"/>
      <c r="D425" s="121"/>
      <c r="E425" s="10"/>
      <c r="F425" s="10"/>
      <c r="G425" s="10"/>
      <c r="H425" s="10"/>
      <c r="I425" s="10">
        <v>0</v>
      </c>
      <c r="J425" s="10">
        <v>0</v>
      </c>
      <c r="K425" s="11">
        <v>0</v>
      </c>
    </row>
    <row r="426" spans="1:11" x14ac:dyDescent="0.3">
      <c r="A426" s="9">
        <v>46245</v>
      </c>
      <c r="B426" s="10"/>
      <c r="C426" s="121"/>
      <c r="D426" s="121"/>
      <c r="E426" s="10"/>
      <c r="F426" s="10"/>
      <c r="G426" s="10"/>
      <c r="H426" s="10"/>
      <c r="I426" s="10">
        <v>0</v>
      </c>
      <c r="J426" s="10">
        <v>0</v>
      </c>
      <c r="K426" s="11">
        <v>0</v>
      </c>
    </row>
    <row r="427" spans="1:11" x14ac:dyDescent="0.3">
      <c r="A427" s="9">
        <v>46245</v>
      </c>
      <c r="B427" s="10"/>
      <c r="C427" s="121"/>
      <c r="D427" s="121"/>
      <c r="E427" s="10"/>
      <c r="F427" s="10"/>
      <c r="G427" s="10"/>
      <c r="H427" s="10"/>
      <c r="I427" s="10">
        <v>0</v>
      </c>
      <c r="J427" s="10">
        <v>0</v>
      </c>
      <c r="K427" s="11">
        <v>0</v>
      </c>
    </row>
    <row r="428" spans="1:11" x14ac:dyDescent="0.3">
      <c r="A428" s="9">
        <v>46246</v>
      </c>
      <c r="B428" s="10" t="s">
        <v>10</v>
      </c>
      <c r="C428" s="121" t="s">
        <v>110</v>
      </c>
      <c r="D428" s="121" t="s">
        <v>99</v>
      </c>
      <c r="E428" s="10">
        <v>4.3935000000000004</v>
      </c>
      <c r="F428" s="10">
        <v>4.350000000000076</v>
      </c>
      <c r="G428" s="10">
        <v>4.350000000000076</v>
      </c>
      <c r="H428" s="10">
        <v>0.17400000000000304</v>
      </c>
      <c r="I428" s="10">
        <v>3.1500000000000306</v>
      </c>
      <c r="J428" s="10">
        <v>0.75000000000002842</v>
      </c>
      <c r="K428" s="11">
        <v>-4.2999999999999261</v>
      </c>
    </row>
    <row r="429" spans="1:11" x14ac:dyDescent="0.3">
      <c r="A429" s="9">
        <v>46246</v>
      </c>
      <c r="B429" s="10" t="s">
        <v>12</v>
      </c>
      <c r="C429" s="121" t="s">
        <v>99</v>
      </c>
      <c r="D429" s="121" t="s">
        <v>111</v>
      </c>
      <c r="E429" s="10">
        <v>4.4824999999999999</v>
      </c>
      <c r="F429" s="10">
        <v>8.8999999999999524</v>
      </c>
      <c r="G429" s="10">
        <v>13.250000000000028</v>
      </c>
      <c r="H429" s="10">
        <v>0.53000000000000114</v>
      </c>
      <c r="I429" s="10">
        <v>8.1500000000000128</v>
      </c>
      <c r="J429" s="10">
        <v>1.9499999999999851</v>
      </c>
      <c r="K429" s="11">
        <v>-0.90000000000003411</v>
      </c>
    </row>
    <row r="430" spans="1:11" x14ac:dyDescent="0.3">
      <c r="A430" s="9">
        <v>46246</v>
      </c>
      <c r="B430" s="10" t="s">
        <v>13</v>
      </c>
      <c r="C430" s="121" t="s">
        <v>111</v>
      </c>
      <c r="D430" s="121" t="s">
        <v>125</v>
      </c>
      <c r="E430" s="10">
        <v>4.5199999999999996</v>
      </c>
      <c r="F430" s="10">
        <v>3.7499999999999645</v>
      </c>
      <c r="G430" s="10">
        <v>16.999999999999993</v>
      </c>
      <c r="H430" s="10">
        <v>0.67999999999999972</v>
      </c>
      <c r="I430" s="10">
        <v>2.5999999999999801</v>
      </c>
      <c r="J430" s="10">
        <v>2.9499999999999638</v>
      </c>
      <c r="K430" s="11">
        <v>2.349999999999941</v>
      </c>
    </row>
    <row r="431" spans="1:11" x14ac:dyDescent="0.3">
      <c r="A431" s="9">
        <v>46246</v>
      </c>
      <c r="B431" s="10" t="s">
        <v>14</v>
      </c>
      <c r="C431" s="121" t="s">
        <v>125</v>
      </c>
      <c r="D431" s="121" t="s">
        <v>147</v>
      </c>
      <c r="E431" s="10">
        <v>4.5145999999999997</v>
      </c>
      <c r="F431" s="10">
        <v>-0.53999999999998494</v>
      </c>
      <c r="G431" s="10">
        <v>16.460000000000008</v>
      </c>
      <c r="H431" s="10">
        <v>0.65840000000000032</v>
      </c>
      <c r="I431" s="10">
        <v>-0.59000000000004604</v>
      </c>
      <c r="J431" s="10">
        <v>0.60999999999999943</v>
      </c>
      <c r="K431" s="11">
        <v>5.5600000000000094</v>
      </c>
    </row>
    <row r="432" spans="1:11" x14ac:dyDescent="0.3">
      <c r="A432" s="9">
        <v>46246</v>
      </c>
      <c r="B432" s="10" t="s">
        <v>15</v>
      </c>
      <c r="C432" s="121" t="s">
        <v>147</v>
      </c>
      <c r="D432" s="121" t="s">
        <v>149</v>
      </c>
      <c r="E432" s="10">
        <v>4.5298999999999996</v>
      </c>
      <c r="F432" s="10">
        <v>1.5299999999999869</v>
      </c>
      <c r="G432" s="10">
        <v>17.989999999999995</v>
      </c>
      <c r="H432" s="10">
        <v>0.7195999999999998</v>
      </c>
      <c r="I432" s="10">
        <v>-0.35000000000007248</v>
      </c>
      <c r="J432" s="10">
        <v>2.0899999999999253</v>
      </c>
      <c r="K432" s="11">
        <v>8.9199999999999946</v>
      </c>
    </row>
    <row r="433" spans="1:11" x14ac:dyDescent="0.3">
      <c r="A433" s="9">
        <v>46246</v>
      </c>
      <c r="B433" s="10" t="s">
        <v>17</v>
      </c>
      <c r="C433" s="121" t="s">
        <v>149</v>
      </c>
      <c r="D433" s="121" t="s">
        <v>213</v>
      </c>
      <c r="E433" s="10">
        <v>4.5411000000000001</v>
      </c>
      <c r="F433" s="10">
        <v>1.1200000000000543</v>
      </c>
      <c r="G433" s="10">
        <v>19.110000000000049</v>
      </c>
      <c r="H433" s="10">
        <v>0.76440000000000197</v>
      </c>
      <c r="I433" s="10">
        <v>0.49000000000001265</v>
      </c>
      <c r="J433" s="10" t="s">
        <v>41</v>
      </c>
      <c r="K433" s="11" t="s">
        <v>41</v>
      </c>
    </row>
    <row r="434" spans="1:11" x14ac:dyDescent="0.3">
      <c r="A434" s="9">
        <v>46246</v>
      </c>
      <c r="B434" s="10" t="s">
        <v>18</v>
      </c>
      <c r="C434" s="121" t="s">
        <v>213</v>
      </c>
      <c r="D434" s="121">
        <v>46470</v>
      </c>
      <c r="E434" s="10">
        <v>4.5190999999999999</v>
      </c>
      <c r="F434" s="10">
        <v>-2.2000000000000242</v>
      </c>
      <c r="G434" s="10">
        <v>16.910000000000025</v>
      </c>
      <c r="H434" s="10">
        <v>0.676400000000001</v>
      </c>
      <c r="I434" s="10">
        <v>-2.5500000000000078</v>
      </c>
      <c r="J434" s="10" t="s">
        <v>41</v>
      </c>
      <c r="K434" s="11" t="s">
        <v>41</v>
      </c>
    </row>
    <row r="435" spans="1:11" x14ac:dyDescent="0.3">
      <c r="A435" s="9">
        <v>46246</v>
      </c>
      <c r="B435" s="10"/>
      <c r="C435" s="121"/>
      <c r="D435" s="121"/>
      <c r="E435" s="10"/>
      <c r="F435" s="10"/>
      <c r="G435" s="10"/>
      <c r="H435" s="10"/>
      <c r="I435" s="10">
        <v>0</v>
      </c>
      <c r="J435" s="10">
        <v>0</v>
      </c>
      <c r="K435" s="11">
        <v>0</v>
      </c>
    </row>
    <row r="436" spans="1:11" x14ac:dyDescent="0.3">
      <c r="A436" s="9">
        <v>46246</v>
      </c>
      <c r="B436" s="10"/>
      <c r="C436" s="121"/>
      <c r="D436" s="121"/>
      <c r="E436" s="10"/>
      <c r="F436" s="10"/>
      <c r="G436" s="10"/>
      <c r="H436" s="10"/>
      <c r="I436" s="10">
        <v>0</v>
      </c>
      <c r="J436" s="10">
        <v>0</v>
      </c>
      <c r="K436" s="11">
        <v>0</v>
      </c>
    </row>
    <row r="437" spans="1:11" x14ac:dyDescent="0.3">
      <c r="A437" s="9">
        <v>46246</v>
      </c>
      <c r="B437" s="10"/>
      <c r="C437" s="121"/>
      <c r="D437" s="121"/>
      <c r="E437" s="10"/>
      <c r="F437" s="10"/>
      <c r="G437" s="10"/>
      <c r="H437" s="10"/>
      <c r="I437" s="10">
        <v>0</v>
      </c>
      <c r="J437" s="10">
        <v>0</v>
      </c>
      <c r="K437" s="11">
        <v>0</v>
      </c>
    </row>
    <row r="438" spans="1:11" x14ac:dyDescent="0.3">
      <c r="A438" s="9">
        <v>46246</v>
      </c>
      <c r="B438" s="10"/>
      <c r="C438" s="121"/>
      <c r="D438" s="121"/>
      <c r="E438" s="10"/>
      <c r="F438" s="10"/>
      <c r="G438" s="10"/>
      <c r="H438" s="10"/>
      <c r="I438" s="10">
        <v>0</v>
      </c>
      <c r="J438" s="10">
        <v>0</v>
      </c>
      <c r="K438" s="11">
        <v>0</v>
      </c>
    </row>
    <row r="439" spans="1:11" x14ac:dyDescent="0.3">
      <c r="A439" s="9">
        <v>46247</v>
      </c>
      <c r="B439" s="10" t="s">
        <v>10</v>
      </c>
      <c r="C439" s="121" t="s">
        <v>110</v>
      </c>
      <c r="D439" s="121" t="s">
        <v>99</v>
      </c>
      <c r="E439" s="10">
        <v>4.3905000000000003</v>
      </c>
      <c r="F439" s="10">
        <v>4.0500000000000647</v>
      </c>
      <c r="G439" s="10">
        <v>4.0500000000000647</v>
      </c>
      <c r="H439" s="10">
        <v>0.16200000000000259</v>
      </c>
      <c r="I439" s="10">
        <v>-0.30000000000001137</v>
      </c>
      <c r="J439" s="10">
        <v>0.29000000000003467</v>
      </c>
      <c r="K439" s="11">
        <v>-4.9999999999999822</v>
      </c>
    </row>
    <row r="440" spans="1:11" x14ac:dyDescent="0.3">
      <c r="A440" s="9">
        <v>46247</v>
      </c>
      <c r="B440" s="10" t="s">
        <v>12</v>
      </c>
      <c r="C440" s="121" t="s">
        <v>99</v>
      </c>
      <c r="D440" s="121" t="s">
        <v>111</v>
      </c>
      <c r="E440" s="10">
        <v>4.4684999999999997</v>
      </c>
      <c r="F440" s="10">
        <v>7.7999999999999403</v>
      </c>
      <c r="G440" s="10">
        <v>11.850000000000005</v>
      </c>
      <c r="H440" s="10">
        <v>0.4740000000000002</v>
      </c>
      <c r="I440" s="10">
        <v>-1.4000000000000234</v>
      </c>
      <c r="J440" s="10">
        <v>0.58999999999995723</v>
      </c>
      <c r="K440" s="11">
        <v>-2.2000000000000242</v>
      </c>
    </row>
    <row r="441" spans="1:11" x14ac:dyDescent="0.3">
      <c r="A441" s="9">
        <v>46247</v>
      </c>
      <c r="B441" s="10" t="s">
        <v>13</v>
      </c>
      <c r="C441" s="121" t="s">
        <v>111</v>
      </c>
      <c r="D441" s="121" t="s">
        <v>125</v>
      </c>
      <c r="E441" s="10">
        <v>4.4965000000000002</v>
      </c>
      <c r="F441" s="10">
        <v>2.8000000000000469</v>
      </c>
      <c r="G441" s="10">
        <v>14.650000000000052</v>
      </c>
      <c r="H441" s="10">
        <v>0.58600000000000207</v>
      </c>
      <c r="I441" s="10">
        <v>-2.349999999999941</v>
      </c>
      <c r="J441" s="10">
        <v>0.64000000000001833</v>
      </c>
      <c r="K441" s="11">
        <v>-0.15000000000000568</v>
      </c>
    </row>
    <row r="442" spans="1:11" x14ac:dyDescent="0.3">
      <c r="A442" s="9">
        <v>46247</v>
      </c>
      <c r="B442" s="10" t="s">
        <v>14</v>
      </c>
      <c r="C442" s="121" t="s">
        <v>125</v>
      </c>
      <c r="D442" s="121" t="s">
        <v>147</v>
      </c>
      <c r="E442" s="10">
        <v>4.5056000000000003</v>
      </c>
      <c r="F442" s="10">
        <v>0.9100000000000108</v>
      </c>
      <c r="G442" s="10">
        <v>15.560000000000063</v>
      </c>
      <c r="H442" s="10">
        <v>0.62240000000000251</v>
      </c>
      <c r="I442" s="10">
        <v>-0.89999999999994529</v>
      </c>
      <c r="J442" s="10">
        <v>5.0000000000061107E-2</v>
      </c>
      <c r="K442" s="11">
        <v>3.2600000000000406</v>
      </c>
    </row>
    <row r="443" spans="1:11" x14ac:dyDescent="0.3">
      <c r="A443" s="9">
        <v>46247</v>
      </c>
      <c r="B443" s="10" t="s">
        <v>15</v>
      </c>
      <c r="C443" s="121" t="s">
        <v>147</v>
      </c>
      <c r="D443" s="121" t="s">
        <v>149</v>
      </c>
      <c r="E443" s="10">
        <v>4.4999000000000002</v>
      </c>
      <c r="F443" s="10">
        <v>-0.57000000000000384</v>
      </c>
      <c r="G443" s="10">
        <v>14.990000000000059</v>
      </c>
      <c r="H443" s="10">
        <v>0.59960000000000235</v>
      </c>
      <c r="I443" s="10">
        <v>-2.9999999999999361</v>
      </c>
      <c r="J443" s="10">
        <v>-1.6499999999999737</v>
      </c>
      <c r="K443" s="11">
        <v>1.6500000000000625</v>
      </c>
    </row>
    <row r="444" spans="1:11" x14ac:dyDescent="0.3">
      <c r="A444" s="9">
        <v>46247</v>
      </c>
      <c r="B444" s="10" t="s">
        <v>17</v>
      </c>
      <c r="C444" s="121" t="s">
        <v>149</v>
      </c>
      <c r="D444" s="121" t="s">
        <v>213</v>
      </c>
      <c r="E444" s="10">
        <v>4.4885999999999999</v>
      </c>
      <c r="F444" s="10">
        <v>-1.130000000000031</v>
      </c>
      <c r="G444" s="10">
        <v>13.860000000000028</v>
      </c>
      <c r="H444" s="10">
        <v>0.55440000000000111</v>
      </c>
      <c r="I444" s="10">
        <v>-5.2500000000000213</v>
      </c>
      <c r="J444" s="10" t="s">
        <v>41</v>
      </c>
      <c r="K444" s="11" t="s">
        <v>41</v>
      </c>
    </row>
    <row r="445" spans="1:11" x14ac:dyDescent="0.3">
      <c r="A445" s="9">
        <v>46247</v>
      </c>
      <c r="B445" s="10" t="s">
        <v>18</v>
      </c>
      <c r="C445" s="121" t="s">
        <v>213</v>
      </c>
      <c r="D445" s="121">
        <v>46470</v>
      </c>
      <c r="E445" s="10">
        <v>4.4745999999999997</v>
      </c>
      <c r="F445" s="10">
        <v>-1.4000000000000234</v>
      </c>
      <c r="G445" s="10">
        <v>12.460000000000004</v>
      </c>
      <c r="H445" s="10">
        <v>0.49840000000000018</v>
      </c>
      <c r="I445" s="10">
        <v>-4.4500000000000206</v>
      </c>
      <c r="J445" s="10" t="s">
        <v>41</v>
      </c>
      <c r="K445" s="11" t="s">
        <v>41</v>
      </c>
    </row>
    <row r="446" spans="1:11" x14ac:dyDescent="0.3">
      <c r="A446" s="9">
        <v>46247</v>
      </c>
      <c r="B446" s="10"/>
      <c r="C446" s="121"/>
      <c r="D446" s="121"/>
      <c r="E446" s="10"/>
      <c r="F446" s="10"/>
      <c r="G446" s="10"/>
      <c r="H446" s="10"/>
      <c r="I446" s="10">
        <v>0</v>
      </c>
      <c r="J446" s="10">
        <v>0</v>
      </c>
      <c r="K446" s="11">
        <v>0</v>
      </c>
    </row>
    <row r="447" spans="1:11" x14ac:dyDescent="0.3">
      <c r="A447" s="9">
        <v>46247</v>
      </c>
      <c r="B447" s="10"/>
      <c r="C447" s="121"/>
      <c r="D447" s="121"/>
      <c r="E447" s="10"/>
      <c r="F447" s="10"/>
      <c r="G447" s="10"/>
      <c r="H447" s="10"/>
      <c r="I447" s="10">
        <v>0</v>
      </c>
      <c r="J447" s="10">
        <v>0</v>
      </c>
      <c r="K447" s="11">
        <v>0</v>
      </c>
    </row>
    <row r="448" spans="1:11" x14ac:dyDescent="0.3">
      <c r="A448" s="9">
        <v>46247</v>
      </c>
      <c r="B448" s="10"/>
      <c r="C448" s="121"/>
      <c r="D448" s="121"/>
      <c r="E448" s="10"/>
      <c r="F448" s="10"/>
      <c r="G448" s="10"/>
      <c r="H448" s="10"/>
      <c r="I448" s="10">
        <v>0</v>
      </c>
      <c r="J448" s="10">
        <v>0</v>
      </c>
      <c r="K448" s="11">
        <v>0</v>
      </c>
    </row>
    <row r="449" spans="1:11" x14ac:dyDescent="0.3">
      <c r="A449" s="9">
        <v>46247</v>
      </c>
      <c r="B449" s="10"/>
      <c r="C449" s="121"/>
      <c r="D449" s="121"/>
      <c r="E449" s="10"/>
      <c r="F449" s="10"/>
      <c r="G449" s="10"/>
      <c r="H449" s="10"/>
      <c r="I449" s="10">
        <v>0</v>
      </c>
      <c r="J449" s="10">
        <v>0</v>
      </c>
      <c r="K449" s="11">
        <v>0</v>
      </c>
    </row>
    <row r="450" spans="1:11" x14ac:dyDescent="0.3">
      <c r="A450" s="9">
        <v>46248</v>
      </c>
      <c r="B450" s="10" t="s">
        <v>10</v>
      </c>
      <c r="C450" s="121" t="s">
        <v>110</v>
      </c>
      <c r="D450" s="121" t="s">
        <v>99</v>
      </c>
      <c r="E450" s="10">
        <v>4.391</v>
      </c>
      <c r="F450" s="10">
        <v>4.1000000000000369</v>
      </c>
      <c r="G450" s="10">
        <v>4.1000000000000369</v>
      </c>
      <c r="H450" s="10">
        <v>0.16400000000000148</v>
      </c>
      <c r="I450" s="10">
        <v>4.9999999999972289E-2</v>
      </c>
      <c r="J450" s="10">
        <v>-0.15000000000000568</v>
      </c>
      <c r="K450" s="11">
        <v>-5.0099999999999589</v>
      </c>
    </row>
    <row r="451" spans="1:11" x14ac:dyDescent="0.3">
      <c r="A451" s="9">
        <v>46248</v>
      </c>
      <c r="B451" s="10" t="s">
        <v>12</v>
      </c>
      <c r="C451" s="121" t="s">
        <v>99</v>
      </c>
      <c r="D451" s="121" t="s">
        <v>111</v>
      </c>
      <c r="E451" s="10">
        <v>4.4695</v>
      </c>
      <c r="F451" s="10">
        <v>7.8500000000000014</v>
      </c>
      <c r="G451" s="10">
        <v>11.950000000000038</v>
      </c>
      <c r="H451" s="10">
        <v>0.47800000000000153</v>
      </c>
      <c r="I451" s="10">
        <v>0.1000000000000334</v>
      </c>
      <c r="J451" s="10">
        <v>-0.30000000000001137</v>
      </c>
      <c r="K451" s="11">
        <v>-3.4099999999999575</v>
      </c>
    </row>
    <row r="452" spans="1:11" x14ac:dyDescent="0.3">
      <c r="A452" s="9">
        <v>46248</v>
      </c>
      <c r="B452" s="10" t="s">
        <v>13</v>
      </c>
      <c r="C452" s="121" t="s">
        <v>111</v>
      </c>
      <c r="D452" s="121" t="s">
        <v>125</v>
      </c>
      <c r="E452" s="10">
        <v>4.5019999999999998</v>
      </c>
      <c r="F452" s="10">
        <v>3.2499999999999751</v>
      </c>
      <c r="G452" s="10">
        <v>15.200000000000014</v>
      </c>
      <c r="H452" s="10">
        <v>0.60800000000000054</v>
      </c>
      <c r="I452" s="10">
        <v>0.54999999999996163</v>
      </c>
      <c r="J452" s="10">
        <v>-0.66000000000006054</v>
      </c>
      <c r="K452" s="11">
        <v>-0.9100000000000108</v>
      </c>
    </row>
    <row r="453" spans="1:11" x14ac:dyDescent="0.3">
      <c r="A453" s="9">
        <v>46248</v>
      </c>
      <c r="B453" s="10" t="s">
        <v>14</v>
      </c>
      <c r="C453" s="121" t="s">
        <v>125</v>
      </c>
      <c r="D453" s="121" t="s">
        <v>147</v>
      </c>
      <c r="E453" s="10">
        <v>4.5444000000000004</v>
      </c>
      <c r="F453" s="10">
        <v>4.2400000000000659</v>
      </c>
      <c r="G453" s="10">
        <v>19.440000000000079</v>
      </c>
      <c r="H453" s="10">
        <v>0.77760000000000318</v>
      </c>
      <c r="I453" s="10">
        <v>3.8800000000000168</v>
      </c>
      <c r="J453" s="10">
        <v>1.3200000000000323</v>
      </c>
      <c r="K453" s="11">
        <v>4.3300000000000338</v>
      </c>
    </row>
    <row r="454" spans="1:11" x14ac:dyDescent="0.3">
      <c r="A454" s="9">
        <v>46248</v>
      </c>
      <c r="B454" s="10" t="s">
        <v>15</v>
      </c>
      <c r="C454" s="121" t="s">
        <v>147</v>
      </c>
      <c r="D454" s="121" t="s">
        <v>149</v>
      </c>
      <c r="E454" s="10">
        <v>4.5304000000000002</v>
      </c>
      <c r="F454" s="10">
        <v>-1.4000000000000234</v>
      </c>
      <c r="G454" s="10">
        <v>18.040000000000056</v>
      </c>
      <c r="H454" s="10">
        <v>0.72160000000000224</v>
      </c>
      <c r="I454" s="10">
        <v>3.0499999999999972</v>
      </c>
      <c r="J454" s="10">
        <v>0.1000000000000334</v>
      </c>
      <c r="K454" s="11">
        <v>4.1999999999999815</v>
      </c>
    </row>
    <row r="455" spans="1:11" x14ac:dyDescent="0.3">
      <c r="A455" s="9">
        <v>46248</v>
      </c>
      <c r="B455" s="10" t="s">
        <v>17</v>
      </c>
      <c r="C455" s="121" t="s">
        <v>149</v>
      </c>
      <c r="D455" s="121" t="s">
        <v>213</v>
      </c>
      <c r="E455" s="10">
        <v>4.4999000000000002</v>
      </c>
      <c r="F455" s="10">
        <v>-3.0499999999999972</v>
      </c>
      <c r="G455" s="10">
        <v>14.990000000000059</v>
      </c>
      <c r="H455" s="10">
        <v>0.59960000000000235</v>
      </c>
      <c r="I455" s="10">
        <v>1.130000000000031</v>
      </c>
      <c r="J455" s="10" t="s">
        <v>41</v>
      </c>
      <c r="K455" s="11" t="s">
        <v>41</v>
      </c>
    </row>
    <row r="456" spans="1:11" x14ac:dyDescent="0.3">
      <c r="A456" s="9">
        <v>46248</v>
      </c>
      <c r="B456" s="10" t="s">
        <v>18</v>
      </c>
      <c r="C456" s="121" t="s">
        <v>213</v>
      </c>
      <c r="D456" s="121">
        <v>46470</v>
      </c>
      <c r="E456" s="10">
        <v>4.5004999999999997</v>
      </c>
      <c r="F456" s="10">
        <v>5.9999999999948983E-2</v>
      </c>
      <c r="G456" s="10">
        <v>15.050000000000008</v>
      </c>
      <c r="H456" s="10">
        <v>0.60200000000000031</v>
      </c>
      <c r="I456" s="10">
        <v>2.5900000000000034</v>
      </c>
      <c r="J456" s="10" t="s">
        <v>41</v>
      </c>
      <c r="K456" s="11" t="s">
        <v>41</v>
      </c>
    </row>
    <row r="457" spans="1:11" x14ac:dyDescent="0.3">
      <c r="A457" s="9">
        <v>46248</v>
      </c>
      <c r="B457" s="10"/>
      <c r="C457" s="121"/>
      <c r="D457" s="121"/>
      <c r="E457" s="10"/>
      <c r="F457" s="10"/>
      <c r="G457" s="10"/>
      <c r="H457" s="10"/>
      <c r="I457" s="10">
        <v>0</v>
      </c>
      <c r="J457" s="10">
        <v>0</v>
      </c>
      <c r="K457" s="11">
        <v>0</v>
      </c>
    </row>
    <row r="458" spans="1:11" x14ac:dyDescent="0.3">
      <c r="A458" s="9">
        <v>46248</v>
      </c>
      <c r="B458" s="10"/>
      <c r="C458" s="121"/>
      <c r="D458" s="121"/>
      <c r="E458" s="10"/>
      <c r="F458" s="10"/>
      <c r="G458" s="10"/>
      <c r="H458" s="10"/>
      <c r="I458" s="10">
        <v>0</v>
      </c>
      <c r="J458" s="10">
        <v>0</v>
      </c>
      <c r="K458" s="11">
        <v>0</v>
      </c>
    </row>
    <row r="459" spans="1:11" x14ac:dyDescent="0.3">
      <c r="A459" s="9">
        <v>46248</v>
      </c>
      <c r="B459" s="10"/>
      <c r="C459" s="121"/>
      <c r="D459" s="121"/>
      <c r="E459" s="10"/>
      <c r="F459" s="10"/>
      <c r="G459" s="10"/>
      <c r="H459" s="10"/>
      <c r="I459" s="10">
        <v>0</v>
      </c>
      <c r="J459" s="10">
        <v>0</v>
      </c>
      <c r="K459" s="11">
        <v>0</v>
      </c>
    </row>
    <row r="460" spans="1:11" x14ac:dyDescent="0.3">
      <c r="A460" s="9">
        <v>46248</v>
      </c>
      <c r="B460" s="10"/>
      <c r="C460" s="121"/>
      <c r="D460" s="121"/>
      <c r="E460" s="10"/>
      <c r="F460" s="10"/>
      <c r="G460" s="10"/>
      <c r="H460" s="10"/>
      <c r="I460" s="10">
        <v>0</v>
      </c>
      <c r="J460" s="10">
        <v>0</v>
      </c>
      <c r="K460" s="11">
        <v>0</v>
      </c>
    </row>
    <row r="461" spans="1:11" x14ac:dyDescent="0.3">
      <c r="A461" s="561">
        <v>46251</v>
      </c>
      <c r="B461" s="562" t="s">
        <v>10</v>
      </c>
      <c r="C461" s="563" t="s">
        <v>110</v>
      </c>
      <c r="D461" s="563" t="s">
        <v>99</v>
      </c>
      <c r="E461" s="562">
        <v>4.3940000000000001</v>
      </c>
      <c r="F461" s="562">
        <v>4.4000000000000483</v>
      </c>
      <c r="G461" s="562">
        <v>4.4000000000000483</v>
      </c>
      <c r="H461" s="562">
        <v>0.17600000000000193</v>
      </c>
      <c r="I461" s="562">
        <v>0.30000000000001137</v>
      </c>
      <c r="J461" s="562">
        <v>-0.49999999999998934</v>
      </c>
      <c r="K461" s="564">
        <v>-5.6199999999999584</v>
      </c>
    </row>
    <row r="462" spans="1:11" x14ac:dyDescent="0.3">
      <c r="A462" s="561">
        <v>46251</v>
      </c>
      <c r="B462" s="562" t="s">
        <v>12</v>
      </c>
      <c r="C462" s="563" t="s">
        <v>99</v>
      </c>
      <c r="D462" s="563" t="s">
        <v>111</v>
      </c>
      <c r="E462" s="562">
        <v>4.4729999999999999</v>
      </c>
      <c r="F462" s="562">
        <v>7.8999999999999737</v>
      </c>
      <c r="G462" s="562">
        <v>12.300000000000022</v>
      </c>
      <c r="H462" s="562">
        <v>0.49200000000000088</v>
      </c>
      <c r="I462" s="562">
        <v>0.34999999999998366</v>
      </c>
      <c r="J462" s="562">
        <v>-0.19999999999997797</v>
      </c>
      <c r="K462" s="564">
        <v>-4.469999999999974</v>
      </c>
    </row>
    <row r="463" spans="1:11" x14ac:dyDescent="0.3">
      <c r="A463" s="561">
        <v>46251</v>
      </c>
      <c r="B463" s="562" t="s">
        <v>13</v>
      </c>
      <c r="C463" s="563" t="s">
        <v>111</v>
      </c>
      <c r="D463" s="563" t="s">
        <v>125</v>
      </c>
      <c r="E463" s="562">
        <v>4.508</v>
      </c>
      <c r="F463" s="562">
        <v>3.5000000000000142</v>
      </c>
      <c r="G463" s="562">
        <v>15.800000000000036</v>
      </c>
      <c r="H463" s="562">
        <v>0.63200000000000145</v>
      </c>
      <c r="I463" s="562">
        <v>0.60000000000002274</v>
      </c>
      <c r="J463" s="562">
        <v>-0.7799999999999585</v>
      </c>
      <c r="K463" s="564">
        <v>-1.9700000000000273</v>
      </c>
    </row>
    <row r="464" spans="1:11" x14ac:dyDescent="0.3">
      <c r="A464" s="561">
        <v>46251</v>
      </c>
      <c r="B464" s="562" t="s">
        <v>14</v>
      </c>
      <c r="C464" s="563" t="s">
        <v>125</v>
      </c>
      <c r="D464" s="563" t="s">
        <v>147</v>
      </c>
      <c r="E464" s="562">
        <v>4.5594999999999999</v>
      </c>
      <c r="F464" s="562">
        <v>5.1499999999999879</v>
      </c>
      <c r="G464" s="562">
        <v>20.950000000000024</v>
      </c>
      <c r="H464" s="562">
        <v>0.83800000000000097</v>
      </c>
      <c r="I464" s="562">
        <v>1.5099999999999447</v>
      </c>
      <c r="J464" s="562">
        <v>1.6499999999999737</v>
      </c>
      <c r="K464" s="564">
        <v>2.6799999999999713</v>
      </c>
    </row>
    <row r="465" spans="1:11" x14ac:dyDescent="0.3">
      <c r="A465" s="561">
        <v>46251</v>
      </c>
      <c r="B465" s="562" t="s">
        <v>15</v>
      </c>
      <c r="C465" s="563" t="s">
        <v>147</v>
      </c>
      <c r="D465" s="563" t="s">
        <v>149</v>
      </c>
      <c r="E465" s="562">
        <v>4.5456000000000003</v>
      </c>
      <c r="F465" s="562">
        <v>-1.3899999999999579</v>
      </c>
      <c r="G465" s="562">
        <v>19.560000000000066</v>
      </c>
      <c r="H465" s="562">
        <v>0.78240000000000265</v>
      </c>
      <c r="I465" s="562">
        <v>1.5200000000000102</v>
      </c>
      <c r="J465" s="562">
        <v>0.15000000000000568</v>
      </c>
      <c r="K465" s="564">
        <v>2.430000000000021</v>
      </c>
    </row>
    <row r="466" spans="1:11" x14ac:dyDescent="0.3">
      <c r="A466" s="561">
        <v>46251</v>
      </c>
      <c r="B466" s="562" t="s">
        <v>17</v>
      </c>
      <c r="C466" s="563" t="s">
        <v>149</v>
      </c>
      <c r="D466" s="563" t="s">
        <v>213</v>
      </c>
      <c r="E466" s="562">
        <v>4.5151000000000003</v>
      </c>
      <c r="F466" s="562">
        <v>-3.0499999999999972</v>
      </c>
      <c r="G466" s="562">
        <v>16.510000000000069</v>
      </c>
      <c r="H466" s="562">
        <v>0.66040000000000276</v>
      </c>
      <c r="I466" s="562">
        <v>1.5200000000000102</v>
      </c>
      <c r="J466" s="562" t="s">
        <v>41</v>
      </c>
      <c r="K466" s="564" t="s">
        <v>41</v>
      </c>
    </row>
    <row r="467" spans="1:11" x14ac:dyDescent="0.3">
      <c r="A467" s="561">
        <v>46251</v>
      </c>
      <c r="B467" s="562" t="s">
        <v>18</v>
      </c>
      <c r="C467" s="563" t="s">
        <v>213</v>
      </c>
      <c r="D467" s="563">
        <v>46470</v>
      </c>
      <c r="E467" s="562">
        <v>4.5194999999999999</v>
      </c>
      <c r="F467" s="562">
        <v>0.43999999999995154</v>
      </c>
      <c r="G467" s="562">
        <v>16.950000000000021</v>
      </c>
      <c r="H467" s="562">
        <v>0.67800000000000082</v>
      </c>
      <c r="I467" s="562">
        <v>1.9000000000000128</v>
      </c>
      <c r="J467" s="562" t="s">
        <v>41</v>
      </c>
      <c r="K467" s="564" t="s">
        <v>41</v>
      </c>
    </row>
    <row r="468" spans="1:11" x14ac:dyDescent="0.3">
      <c r="A468" s="561">
        <v>46251</v>
      </c>
      <c r="B468" s="562"/>
      <c r="C468" s="563"/>
      <c r="D468" s="563"/>
      <c r="E468" s="562"/>
      <c r="F468" s="562"/>
      <c r="G468" s="562"/>
      <c r="H468" s="562"/>
      <c r="I468" s="562">
        <v>0</v>
      </c>
      <c r="J468" s="562">
        <v>0</v>
      </c>
      <c r="K468" s="564">
        <v>0</v>
      </c>
    </row>
    <row r="469" spans="1:11" x14ac:dyDescent="0.3">
      <c r="A469" s="561">
        <v>46251</v>
      </c>
      <c r="B469" s="562"/>
      <c r="C469" s="563"/>
      <c r="D469" s="563"/>
      <c r="E469" s="562"/>
      <c r="F469" s="562"/>
      <c r="G469" s="562"/>
      <c r="H469" s="562"/>
      <c r="I469" s="562">
        <v>0</v>
      </c>
      <c r="J469" s="562">
        <v>0</v>
      </c>
      <c r="K469" s="564">
        <v>0</v>
      </c>
    </row>
    <row r="470" spans="1:11" x14ac:dyDescent="0.3">
      <c r="A470" s="561">
        <v>46251</v>
      </c>
      <c r="B470" s="562"/>
      <c r="C470" s="563"/>
      <c r="D470" s="563"/>
      <c r="E470" s="562"/>
      <c r="F470" s="562"/>
      <c r="G470" s="562"/>
      <c r="H470" s="562"/>
      <c r="I470" s="562">
        <v>0</v>
      </c>
      <c r="J470" s="562">
        <v>0</v>
      </c>
      <c r="K470" s="564">
        <v>0</v>
      </c>
    </row>
    <row r="471" spans="1:11" x14ac:dyDescent="0.3">
      <c r="A471" s="561">
        <v>46251</v>
      </c>
      <c r="B471" s="562"/>
      <c r="C471" s="563"/>
      <c r="D471" s="563"/>
      <c r="E471" s="562"/>
      <c r="F471" s="562"/>
      <c r="G471" s="562"/>
      <c r="H471" s="562"/>
      <c r="I471" s="562">
        <v>0</v>
      </c>
      <c r="J471" s="562">
        <v>0</v>
      </c>
      <c r="K471" s="564">
        <v>0</v>
      </c>
    </row>
    <row r="472" spans="1:11" x14ac:dyDescent="0.3">
      <c r="A472" s="561">
        <v>46252</v>
      </c>
      <c r="B472" s="562" t="s">
        <v>10</v>
      </c>
      <c r="C472" s="563" t="s">
        <v>110</v>
      </c>
      <c r="D472" s="563" t="s">
        <v>99</v>
      </c>
      <c r="E472" s="562">
        <v>4.3959999999999999</v>
      </c>
      <c r="F472" s="562">
        <v>4.6000000000000263</v>
      </c>
      <c r="G472" s="562">
        <v>4.6000000000000263</v>
      </c>
      <c r="H472" s="562">
        <v>0.18400000000000105</v>
      </c>
      <c r="I472" s="562">
        <v>0.19999999999997797</v>
      </c>
      <c r="J472" s="562">
        <v>3.3999999999999808</v>
      </c>
      <c r="K472" s="564">
        <v>-5.1700000000000301</v>
      </c>
    </row>
    <row r="473" spans="1:11" x14ac:dyDescent="0.3">
      <c r="A473" s="561">
        <v>46252</v>
      </c>
      <c r="B473" s="562" t="s">
        <v>12</v>
      </c>
      <c r="C473" s="563" t="s">
        <v>99</v>
      </c>
      <c r="D473" s="563" t="s">
        <v>111</v>
      </c>
      <c r="E473" s="562">
        <v>4.4820000000000002</v>
      </c>
      <c r="F473" s="562">
        <v>8.6000000000000298</v>
      </c>
      <c r="G473" s="562">
        <v>13.200000000000056</v>
      </c>
      <c r="H473" s="562">
        <v>0.52800000000000225</v>
      </c>
      <c r="I473" s="562">
        <v>0.90000000000003411</v>
      </c>
      <c r="J473" s="562">
        <v>8.1000000000000405</v>
      </c>
      <c r="K473" s="564">
        <v>-2.8200000000000003</v>
      </c>
    </row>
    <row r="474" spans="1:11" x14ac:dyDescent="0.3">
      <c r="A474" s="561">
        <v>46252</v>
      </c>
      <c r="B474" s="562" t="s">
        <v>13</v>
      </c>
      <c r="C474" s="563" t="s">
        <v>111</v>
      </c>
      <c r="D474" s="563" t="s">
        <v>125</v>
      </c>
      <c r="E474" s="562">
        <v>4.5270000000000001</v>
      </c>
      <c r="F474" s="562">
        <v>4.4999999999999929</v>
      </c>
      <c r="G474" s="562">
        <v>17.700000000000049</v>
      </c>
      <c r="H474" s="562">
        <v>0.70800000000000196</v>
      </c>
      <c r="I474" s="562">
        <v>1.9000000000000128</v>
      </c>
      <c r="J474" s="562">
        <v>3.3000000000000362</v>
      </c>
      <c r="K474" s="564">
        <v>0.93000000000005301</v>
      </c>
    </row>
    <row r="475" spans="1:11" x14ac:dyDescent="0.3">
      <c r="A475" s="561">
        <v>46252</v>
      </c>
      <c r="B475" s="562" t="s">
        <v>14</v>
      </c>
      <c r="C475" s="563" t="s">
        <v>125</v>
      </c>
      <c r="D475" s="563" t="s">
        <v>147</v>
      </c>
      <c r="E475" s="562">
        <v>4.5411000000000001</v>
      </c>
      <c r="F475" s="562">
        <v>1.4100000000000001</v>
      </c>
      <c r="G475" s="562">
        <v>19.110000000000049</v>
      </c>
      <c r="H475" s="562">
        <v>0.76440000000000197</v>
      </c>
      <c r="I475" s="562">
        <v>-1.839999999999975</v>
      </c>
      <c r="J475" s="562">
        <v>2.0599999999999952</v>
      </c>
      <c r="K475" s="564">
        <v>3.3400000000000318</v>
      </c>
    </row>
    <row r="476" spans="1:11" x14ac:dyDescent="0.3">
      <c r="A476" s="561">
        <v>46252</v>
      </c>
      <c r="B476" s="562" t="s">
        <v>15</v>
      </c>
      <c r="C476" s="563" t="s">
        <v>147</v>
      </c>
      <c r="D476" s="563" t="s">
        <v>149</v>
      </c>
      <c r="E476" s="562">
        <v>4.5468000000000002</v>
      </c>
      <c r="F476" s="562">
        <v>0.57000000000000384</v>
      </c>
      <c r="G476" s="562">
        <v>19.680000000000053</v>
      </c>
      <c r="H476" s="562">
        <v>0.78720000000000212</v>
      </c>
      <c r="I476" s="562">
        <v>0.11999999999998678</v>
      </c>
      <c r="J476" s="562">
        <v>1.3399999999999856</v>
      </c>
      <c r="K476" s="564">
        <v>5.540000000000056</v>
      </c>
    </row>
    <row r="477" spans="1:11" x14ac:dyDescent="0.3">
      <c r="A477" s="561">
        <v>46252</v>
      </c>
      <c r="B477" s="562" t="s">
        <v>17</v>
      </c>
      <c r="C477" s="563" t="s">
        <v>149</v>
      </c>
      <c r="D477" s="563" t="s">
        <v>213</v>
      </c>
      <c r="E477" s="562">
        <v>4.5621999999999998</v>
      </c>
      <c r="F477" s="562">
        <v>1.5399999999999636</v>
      </c>
      <c r="G477" s="562">
        <v>21.220000000000017</v>
      </c>
      <c r="H477" s="562">
        <v>0.84880000000000067</v>
      </c>
      <c r="I477" s="562">
        <v>4.7099999999999476</v>
      </c>
      <c r="J477" s="562">
        <v>2.5999999999999801</v>
      </c>
      <c r="K477" s="564" t="s">
        <v>41</v>
      </c>
    </row>
    <row r="478" spans="1:11" x14ac:dyDescent="0.3">
      <c r="A478" s="561">
        <v>46252</v>
      </c>
      <c r="B478" s="562" t="s">
        <v>18</v>
      </c>
      <c r="C478" s="563" t="s">
        <v>213</v>
      </c>
      <c r="D478" s="563">
        <v>46470</v>
      </c>
      <c r="E478" s="562">
        <v>4.5457999999999998</v>
      </c>
      <c r="F478" s="562">
        <v>-1.639999999999997</v>
      </c>
      <c r="G478" s="562">
        <v>19.58000000000002</v>
      </c>
      <c r="H478" s="562">
        <v>0.78320000000000078</v>
      </c>
      <c r="I478" s="562">
        <v>2.629999999999999</v>
      </c>
      <c r="J478" s="562">
        <v>0.11999999999998678</v>
      </c>
      <c r="K478" s="564" t="s">
        <v>41</v>
      </c>
    </row>
    <row r="479" spans="1:11" x14ac:dyDescent="0.3">
      <c r="A479" s="561">
        <v>46252</v>
      </c>
      <c r="B479" s="562"/>
      <c r="C479" s="563"/>
      <c r="D479" s="563"/>
      <c r="E479" s="562"/>
      <c r="F479" s="562"/>
      <c r="G479" s="562"/>
      <c r="H479" s="562"/>
      <c r="I479" s="562">
        <v>0</v>
      </c>
      <c r="J479" s="562">
        <v>0</v>
      </c>
      <c r="K479" s="564">
        <v>0</v>
      </c>
    </row>
    <row r="480" spans="1:11" x14ac:dyDescent="0.3">
      <c r="A480" s="561">
        <v>46252</v>
      </c>
      <c r="B480" s="562"/>
      <c r="C480" s="563"/>
      <c r="D480" s="563"/>
      <c r="E480" s="562"/>
      <c r="F480" s="562"/>
      <c r="G480" s="562"/>
      <c r="H480" s="562"/>
      <c r="I480" s="562">
        <v>0</v>
      </c>
      <c r="J480" s="562">
        <v>0</v>
      </c>
      <c r="K480" s="564">
        <v>0</v>
      </c>
    </row>
    <row r="481" spans="1:11" x14ac:dyDescent="0.3">
      <c r="A481" s="561">
        <v>46252</v>
      </c>
      <c r="B481" s="562"/>
      <c r="C481" s="563"/>
      <c r="D481" s="563"/>
      <c r="E481" s="562"/>
      <c r="F481" s="562"/>
      <c r="G481" s="562"/>
      <c r="H481" s="562"/>
      <c r="I481" s="562">
        <v>0</v>
      </c>
      <c r="J481" s="562">
        <v>0</v>
      </c>
      <c r="K481" s="564">
        <v>0</v>
      </c>
    </row>
    <row r="482" spans="1:11" x14ac:dyDescent="0.3">
      <c r="A482" s="561">
        <v>46252</v>
      </c>
      <c r="B482" s="562"/>
      <c r="C482" s="563"/>
      <c r="D482" s="563"/>
      <c r="E482" s="562"/>
      <c r="F482" s="562"/>
      <c r="G482" s="562"/>
      <c r="H482" s="562"/>
      <c r="I482" s="562">
        <v>0</v>
      </c>
      <c r="J482" s="562">
        <v>0</v>
      </c>
      <c r="K482" s="564">
        <v>0</v>
      </c>
    </row>
    <row r="483" spans="1:11" x14ac:dyDescent="0.3">
      <c r="A483" s="9">
        <v>46253</v>
      </c>
      <c r="B483" s="10" t="s">
        <v>10</v>
      </c>
      <c r="C483" s="121" t="s">
        <v>110</v>
      </c>
      <c r="D483" s="121" t="s">
        <v>99</v>
      </c>
      <c r="E483" s="10">
        <v>4.3949999999999996</v>
      </c>
      <c r="F483" s="10">
        <v>4.4999999999999929</v>
      </c>
      <c r="G483" s="10">
        <v>4.4999999999999929</v>
      </c>
      <c r="H483" s="10">
        <v>0.17999999999999972</v>
      </c>
      <c r="I483" s="10">
        <v>-0.1000000000000334</v>
      </c>
      <c r="J483" s="10">
        <v>0.14999999999991687</v>
      </c>
      <c r="K483" s="11">
        <v>-5.5200000000000138</v>
      </c>
    </row>
    <row r="484" spans="1:11" x14ac:dyDescent="0.3">
      <c r="A484" s="9">
        <v>46253</v>
      </c>
      <c r="B484" s="10" t="s">
        <v>12</v>
      </c>
      <c r="C484" s="121" t="s">
        <v>99</v>
      </c>
      <c r="D484" s="121" t="s">
        <v>111</v>
      </c>
      <c r="E484" s="10">
        <v>4.4809999999999999</v>
      </c>
      <c r="F484" s="10">
        <v>8.6000000000000298</v>
      </c>
      <c r="G484" s="10">
        <v>13.100000000000023</v>
      </c>
      <c r="H484" s="10">
        <v>0.52400000000000091</v>
      </c>
      <c r="I484" s="10">
        <v>-0.1000000000000334</v>
      </c>
      <c r="J484" s="10">
        <v>-0.15000000000000568</v>
      </c>
      <c r="K484" s="11">
        <v>-3.6699999999999733</v>
      </c>
    </row>
    <row r="485" spans="1:11" x14ac:dyDescent="0.3">
      <c r="A485" s="9">
        <v>46253</v>
      </c>
      <c r="B485" s="10" t="s">
        <v>13</v>
      </c>
      <c r="C485" s="121" t="s">
        <v>111</v>
      </c>
      <c r="D485" s="121" t="s">
        <v>125</v>
      </c>
      <c r="E485" s="10">
        <v>4.5209999999999999</v>
      </c>
      <c r="F485" s="10">
        <v>4.0000000000000036</v>
      </c>
      <c r="G485" s="10">
        <v>17.100000000000026</v>
      </c>
      <c r="H485" s="10">
        <v>0.68400000000000105</v>
      </c>
      <c r="I485" s="10">
        <v>-0.60000000000002274</v>
      </c>
      <c r="J485" s="10">
        <v>0.1000000000000334</v>
      </c>
      <c r="K485" s="11">
        <v>-0.67000000000003723</v>
      </c>
    </row>
    <row r="486" spans="1:11" x14ac:dyDescent="0.3">
      <c r="A486" s="9">
        <v>46253</v>
      </c>
      <c r="B486" s="10" t="s">
        <v>14</v>
      </c>
      <c r="C486" s="121" t="s">
        <v>125</v>
      </c>
      <c r="D486" s="121" t="s">
        <v>147</v>
      </c>
      <c r="E486" s="10">
        <v>4.5335000000000001</v>
      </c>
      <c r="F486" s="10">
        <v>1.2500000000000178</v>
      </c>
      <c r="G486" s="10">
        <v>18.350000000000044</v>
      </c>
      <c r="H486" s="10">
        <v>0.73400000000000176</v>
      </c>
      <c r="I486" s="10">
        <v>-0.76000000000000512</v>
      </c>
      <c r="J486" s="10">
        <v>1.8900000000000361</v>
      </c>
      <c r="K486" s="11">
        <v>7.9999999999991189E-2</v>
      </c>
    </row>
    <row r="487" spans="1:11" x14ac:dyDescent="0.3">
      <c r="A487" s="9">
        <v>46253</v>
      </c>
      <c r="B487" s="10" t="s">
        <v>15</v>
      </c>
      <c r="C487" s="121" t="s">
        <v>147</v>
      </c>
      <c r="D487" s="121" t="s">
        <v>149</v>
      </c>
      <c r="E487" s="10">
        <v>4.5444000000000004</v>
      </c>
      <c r="F487" s="10">
        <v>1.0900000000000354</v>
      </c>
      <c r="G487" s="10">
        <v>19.440000000000079</v>
      </c>
      <c r="H487" s="10">
        <v>0.77760000000000318</v>
      </c>
      <c r="I487" s="10">
        <v>-0.23999999999997357</v>
      </c>
      <c r="J487" s="10">
        <v>1.4500000000000846</v>
      </c>
      <c r="K487" s="11">
        <v>2.3100000000000342</v>
      </c>
    </row>
    <row r="488" spans="1:11" x14ac:dyDescent="0.3">
      <c r="A488" s="9">
        <v>46253</v>
      </c>
      <c r="B488" s="10" t="s">
        <v>17</v>
      </c>
      <c r="C488" s="121" t="s">
        <v>149</v>
      </c>
      <c r="D488" s="121" t="s">
        <v>213</v>
      </c>
      <c r="E488" s="10">
        <v>4.5719000000000003</v>
      </c>
      <c r="F488" s="10">
        <v>2.7499999999999858</v>
      </c>
      <c r="G488" s="10">
        <v>22.190000000000065</v>
      </c>
      <c r="H488" s="10">
        <v>0.88760000000000261</v>
      </c>
      <c r="I488" s="10">
        <v>0.9700000000000486</v>
      </c>
      <c r="J488" s="10">
        <v>3.0800000000000161</v>
      </c>
      <c r="K488" s="11" t="s">
        <v>41</v>
      </c>
    </row>
    <row r="489" spans="1:11" x14ac:dyDescent="0.3">
      <c r="A489" s="9">
        <v>46253</v>
      </c>
      <c r="B489" s="10" t="s">
        <v>18</v>
      </c>
      <c r="C489" s="121" t="s">
        <v>213</v>
      </c>
      <c r="D489" s="121">
        <v>46470</v>
      </c>
      <c r="E489" s="10">
        <v>4.5433000000000003</v>
      </c>
      <c r="F489" s="10">
        <v>-2.8599999999999959</v>
      </c>
      <c r="G489" s="10">
        <v>19.330000000000069</v>
      </c>
      <c r="H489" s="10">
        <v>0.77320000000000277</v>
      </c>
      <c r="I489" s="10">
        <v>-0.24999999999995026</v>
      </c>
      <c r="J489" s="10">
        <v>2.4200000000000443</v>
      </c>
      <c r="K489" s="11" t="s">
        <v>41</v>
      </c>
    </row>
    <row r="490" spans="1:11" x14ac:dyDescent="0.3">
      <c r="A490" s="9">
        <v>46253</v>
      </c>
      <c r="B490" s="10"/>
      <c r="C490" s="121"/>
      <c r="D490" s="121"/>
      <c r="E490" s="10"/>
      <c r="F490" s="10"/>
      <c r="G490" s="10"/>
      <c r="H490" s="10"/>
      <c r="I490" s="10">
        <v>0</v>
      </c>
      <c r="J490" s="10">
        <v>0</v>
      </c>
      <c r="K490" s="11">
        <v>0</v>
      </c>
    </row>
    <row r="491" spans="1:11" x14ac:dyDescent="0.3">
      <c r="A491" s="9">
        <v>46253</v>
      </c>
      <c r="B491" s="10"/>
      <c r="C491" s="121"/>
      <c r="D491" s="121"/>
      <c r="E491" s="10"/>
      <c r="F491" s="10"/>
      <c r="G491" s="10"/>
      <c r="H491" s="10"/>
      <c r="I491" s="10">
        <v>0</v>
      </c>
      <c r="J491" s="10">
        <v>0</v>
      </c>
      <c r="K491" s="11">
        <v>0</v>
      </c>
    </row>
    <row r="492" spans="1:11" x14ac:dyDescent="0.3">
      <c r="A492" s="9">
        <v>46253</v>
      </c>
      <c r="B492" s="10"/>
      <c r="C492" s="121"/>
      <c r="D492" s="121"/>
      <c r="E492" s="10"/>
      <c r="F492" s="10"/>
      <c r="G492" s="10"/>
      <c r="H492" s="10"/>
      <c r="I492" s="10">
        <v>0</v>
      </c>
      <c r="J492" s="10">
        <v>0</v>
      </c>
      <c r="K492" s="11">
        <v>0</v>
      </c>
    </row>
    <row r="493" spans="1:11" x14ac:dyDescent="0.3">
      <c r="A493" s="9">
        <v>46253</v>
      </c>
      <c r="B493" s="10"/>
      <c r="C493" s="121"/>
      <c r="D493" s="121"/>
      <c r="E493" s="10"/>
      <c r="F493" s="10"/>
      <c r="G493" s="10"/>
      <c r="H493" s="10"/>
      <c r="I493" s="10">
        <v>0</v>
      </c>
      <c r="J493" s="10">
        <v>0</v>
      </c>
      <c r="K493" s="11">
        <v>0</v>
      </c>
    </row>
  </sheetData>
  <hyperlinks>
    <hyperlink ref="I1" r:id="rId1" display="https://www.worldsport.ge/ge/page/186696_realma-pogbas-damatebistvis-fexburteli-unda-gayidos?fbclid=IwAR1Q8_AuVjfuFyEqRQbAPIWQl1LwCJxT8yrAB4_5wAq_JUjGwmGboJ4jIZo" xr:uid="{00000000-0004-0000-0100-000000000000}"/>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84"/>
  <sheetViews>
    <sheetView topLeftCell="A459" zoomScaleNormal="100" workbookViewId="0">
      <selection activeCell="A474" sqref="A474:L484"/>
    </sheetView>
  </sheetViews>
  <sheetFormatPr defaultColWidth="8.85546875" defaultRowHeight="15" x14ac:dyDescent="0.25"/>
  <cols>
    <col min="1" max="1" width="11" style="4" customWidth="1"/>
    <col min="2" max="2" width="11" customWidth="1"/>
    <col min="3" max="3" width="11.42578125" customWidth="1"/>
    <col min="4" max="4" width="12" customWidth="1"/>
    <col min="5" max="5" width="11" customWidth="1"/>
    <col min="6" max="8" width="11" hidden="1" customWidth="1"/>
    <col min="9" max="11" width="11" customWidth="1"/>
  </cols>
  <sheetData>
    <row r="1" spans="1:12" x14ac:dyDescent="0.25">
      <c r="A1" s="3" t="s">
        <v>24</v>
      </c>
      <c r="B1" s="1" t="s">
        <v>3</v>
      </c>
      <c r="C1" s="1" t="s">
        <v>4</v>
      </c>
      <c r="D1" s="1" t="s">
        <v>5</v>
      </c>
      <c r="E1" s="1" t="s">
        <v>6</v>
      </c>
      <c r="F1" s="1" t="s">
        <v>20</v>
      </c>
      <c r="G1" s="1" t="s">
        <v>7</v>
      </c>
      <c r="H1" s="1" t="s">
        <v>8</v>
      </c>
      <c r="I1" s="2" t="s">
        <v>21</v>
      </c>
      <c r="J1" s="1" t="s">
        <v>22</v>
      </c>
      <c r="K1" s="1" t="s">
        <v>23</v>
      </c>
      <c r="L1" s="1" t="s">
        <v>88</v>
      </c>
    </row>
    <row r="2" spans="1:12" x14ac:dyDescent="0.25">
      <c r="A2" s="16" t="s">
        <v>89</v>
      </c>
      <c r="B2" s="17" t="s">
        <v>63</v>
      </c>
      <c r="C2" s="122">
        <v>45351</v>
      </c>
      <c r="D2" s="122">
        <v>45393</v>
      </c>
      <c r="E2" s="17">
        <v>5.5163193112950797</v>
      </c>
      <c r="F2" s="17">
        <v>1.6319311295079686</v>
      </c>
      <c r="G2" s="17">
        <v>1.6319311295079686</v>
      </c>
      <c r="H2" s="17">
        <v>6.5277245180318744E-2</v>
      </c>
      <c r="I2" s="17">
        <v>1.1319311295079793</v>
      </c>
      <c r="J2" s="17" t="s">
        <v>41</v>
      </c>
      <c r="K2" s="18" t="s">
        <v>41</v>
      </c>
      <c r="L2" s="17"/>
    </row>
    <row r="3" spans="1:12" x14ac:dyDescent="0.25">
      <c r="A3" s="16" t="s">
        <v>89</v>
      </c>
      <c r="B3" s="17" t="s">
        <v>16</v>
      </c>
      <c r="C3" s="122">
        <v>45393</v>
      </c>
      <c r="D3" s="122">
        <v>45435</v>
      </c>
      <c r="E3" s="17">
        <v>5.5053184737134799</v>
      </c>
      <c r="F3" s="17">
        <v>-1.1000837581599754</v>
      </c>
      <c r="G3" s="17">
        <v>0.5318473713479932</v>
      </c>
      <c r="H3" s="17">
        <v>2.1273894853919728E-2</v>
      </c>
      <c r="I3" s="17">
        <v>0.5418473713479699</v>
      </c>
      <c r="J3" s="17" t="s">
        <v>41</v>
      </c>
      <c r="K3" s="18" t="s">
        <v>41</v>
      </c>
      <c r="L3" s="17"/>
    </row>
    <row r="4" spans="1:12" x14ac:dyDescent="0.25">
      <c r="A4" s="16" t="s">
        <v>89</v>
      </c>
      <c r="B4" s="17" t="s">
        <v>17</v>
      </c>
      <c r="C4" s="122">
        <v>45435</v>
      </c>
      <c r="D4" s="122">
        <v>45484</v>
      </c>
      <c r="E4" s="17">
        <v>5.47228278217273</v>
      </c>
      <c r="F4" s="17">
        <v>-3.3035691540749923</v>
      </c>
      <c r="G4" s="17">
        <v>-2.7717217827269991</v>
      </c>
      <c r="H4" s="17">
        <v>-0.11086887130907996</v>
      </c>
      <c r="I4" s="17">
        <v>0.72827821727301512</v>
      </c>
      <c r="J4" s="17" t="s">
        <v>41</v>
      </c>
      <c r="K4" s="18" t="s">
        <v>41</v>
      </c>
      <c r="L4" s="17">
        <v>-3.3035691540749923E-2</v>
      </c>
    </row>
    <row r="5" spans="1:12" x14ac:dyDescent="0.25">
      <c r="A5" s="16" t="s">
        <v>89</v>
      </c>
      <c r="B5" s="17" t="s">
        <v>19</v>
      </c>
      <c r="C5" s="122">
        <v>45484</v>
      </c>
      <c r="D5" s="122">
        <v>45519</v>
      </c>
      <c r="E5" s="17">
        <v>5.3976442441061199</v>
      </c>
      <c r="F5" s="17">
        <v>-7.4638538066610138</v>
      </c>
      <c r="G5" s="17">
        <v>-10.235575589388013</v>
      </c>
      <c r="H5" s="17">
        <v>-0.40942302357552052</v>
      </c>
      <c r="I5" s="17">
        <v>0.36442441061197428</v>
      </c>
      <c r="J5" s="17" t="s">
        <v>41</v>
      </c>
      <c r="K5" s="18" t="s">
        <v>41</v>
      </c>
      <c r="L5" s="17"/>
    </row>
    <row r="6" spans="1:12" x14ac:dyDescent="0.25">
      <c r="A6" s="16" t="s">
        <v>89</v>
      </c>
      <c r="B6" s="17" t="s">
        <v>9</v>
      </c>
      <c r="C6" s="122">
        <v>45519</v>
      </c>
      <c r="D6" s="122">
        <v>45575</v>
      </c>
      <c r="E6" s="17">
        <v>5.2292172751582404</v>
      </c>
      <c r="F6" s="17">
        <v>-16.842696894787945</v>
      </c>
      <c r="G6" s="17">
        <v>-27.078272484175958</v>
      </c>
      <c r="H6" s="17">
        <v>-1.0831308993670383</v>
      </c>
      <c r="I6" s="17">
        <v>0.83172751582401006</v>
      </c>
      <c r="J6" s="17" t="s">
        <v>41</v>
      </c>
      <c r="K6" s="18" t="s">
        <v>41</v>
      </c>
      <c r="L6" s="17"/>
    </row>
    <row r="7" spans="1:12" x14ac:dyDescent="0.25">
      <c r="A7" s="16" t="s">
        <v>89</v>
      </c>
      <c r="B7" s="17" t="s">
        <v>11</v>
      </c>
      <c r="C7" s="122">
        <v>45575</v>
      </c>
      <c r="D7" s="122">
        <v>45624</v>
      </c>
      <c r="E7" s="17">
        <v>5.03296231978437</v>
      </c>
      <c r="F7" s="17">
        <v>-19.625495537387039</v>
      </c>
      <c r="G7" s="17">
        <v>-46.703768021562993</v>
      </c>
      <c r="H7" s="17">
        <v>-1.8681507208625197</v>
      </c>
      <c r="I7" s="17">
        <v>-0.41376802156305459</v>
      </c>
      <c r="J7" s="17" t="s">
        <v>41</v>
      </c>
      <c r="K7" s="18" t="s">
        <v>41</v>
      </c>
      <c r="L7" s="17"/>
    </row>
    <row r="8" spans="1:12" x14ac:dyDescent="0.25">
      <c r="A8" s="16" t="s">
        <v>89</v>
      </c>
      <c r="B8" s="17" t="s">
        <v>12</v>
      </c>
      <c r="C8" s="122">
        <v>45624</v>
      </c>
      <c r="D8" s="122">
        <v>45708</v>
      </c>
      <c r="E8" s="17">
        <v>4.8096335854081804</v>
      </c>
      <c r="F8" s="17">
        <v>-22.332873437618961</v>
      </c>
      <c r="G8" s="17">
        <v>-69.036641459181965</v>
      </c>
      <c r="H8" s="17">
        <v>-2.7614656583672788</v>
      </c>
      <c r="I8" s="17">
        <v>1.3133585408180437</v>
      </c>
      <c r="J8" s="17" t="s">
        <v>41</v>
      </c>
      <c r="K8" s="18" t="s">
        <v>41</v>
      </c>
      <c r="L8" s="17"/>
    </row>
    <row r="9" spans="1:12" x14ac:dyDescent="0.25">
      <c r="A9" s="16" t="s">
        <v>89</v>
      </c>
      <c r="B9" s="17" t="s">
        <v>63</v>
      </c>
      <c r="C9" s="122">
        <v>45708</v>
      </c>
      <c r="D9" s="122">
        <v>45757</v>
      </c>
      <c r="E9" s="17">
        <v>4.5783865890466897</v>
      </c>
      <c r="F9" s="17">
        <v>-23.124699636149071</v>
      </c>
      <c r="G9" s="17">
        <v>-92.161341095331025</v>
      </c>
      <c r="H9" s="17">
        <v>-3.6864536438132411</v>
      </c>
      <c r="I9" s="17">
        <v>0.41865890466903366</v>
      </c>
      <c r="J9" s="17" t="s">
        <v>41</v>
      </c>
      <c r="K9" s="18" t="s">
        <v>41</v>
      </c>
      <c r="L9" s="17"/>
    </row>
    <row r="10" spans="1:12" x14ac:dyDescent="0.25">
      <c r="A10" s="16" t="s">
        <v>89</v>
      </c>
      <c r="B10" s="17" t="s">
        <v>16</v>
      </c>
      <c r="C10" s="122">
        <v>45757</v>
      </c>
      <c r="D10" s="122">
        <v>45806</v>
      </c>
      <c r="E10" s="17">
        <v>4.3784558141814696</v>
      </c>
      <c r="F10" s="17">
        <v>-19.993077486522015</v>
      </c>
      <c r="G10" s="17">
        <v>-112.15441858185304</v>
      </c>
      <c r="H10" s="17">
        <v>-4.4861767432741217</v>
      </c>
      <c r="I10" s="17">
        <v>0.5455814181470231</v>
      </c>
      <c r="J10" s="17" t="s">
        <v>41</v>
      </c>
      <c r="K10" s="18" t="s">
        <v>41</v>
      </c>
      <c r="L10" s="17"/>
    </row>
    <row r="11" spans="1:12" x14ac:dyDescent="0.25">
      <c r="A11" s="16" t="s">
        <v>89</v>
      </c>
      <c r="B11" s="17" t="s">
        <v>17</v>
      </c>
      <c r="C11" s="122">
        <v>45806</v>
      </c>
      <c r="D11" s="122">
        <v>45850</v>
      </c>
      <c r="E11" s="17">
        <v>4.2629977936264298</v>
      </c>
      <c r="F11" s="17">
        <v>-11.545802055503973</v>
      </c>
      <c r="G11" s="17">
        <v>-123.70022063735702</v>
      </c>
      <c r="H11" s="17">
        <v>-4.9480088254942807</v>
      </c>
      <c r="I11" s="17">
        <v>-4.890220637356979</v>
      </c>
      <c r="J11" s="17" t="s">
        <v>41</v>
      </c>
      <c r="K11" s="18" t="s">
        <v>41</v>
      </c>
      <c r="L11" s="17"/>
    </row>
    <row r="12" spans="1:12" x14ac:dyDescent="0.25">
      <c r="A12" s="16" t="s">
        <v>89</v>
      </c>
      <c r="B12" s="17"/>
      <c r="C12" s="122"/>
      <c r="D12" s="122"/>
      <c r="E12" s="17"/>
      <c r="F12" s="17"/>
      <c r="G12" s="17"/>
      <c r="H12" s="17"/>
      <c r="I12" s="17">
        <v>0</v>
      </c>
      <c r="J12" s="17" t="s">
        <v>41</v>
      </c>
      <c r="K12" s="18" t="s">
        <v>41</v>
      </c>
      <c r="L12" s="17"/>
    </row>
    <row r="13" spans="1:12" x14ac:dyDescent="0.25">
      <c r="A13" s="16">
        <v>46192</v>
      </c>
      <c r="B13" s="17" t="s">
        <v>19</v>
      </c>
      <c r="C13" s="122" t="s">
        <v>102</v>
      </c>
      <c r="D13" s="122" t="s">
        <v>115</v>
      </c>
      <c r="E13" s="17">
        <v>2.4567999999999999</v>
      </c>
      <c r="F13" s="17">
        <v>20.679999999999986</v>
      </c>
      <c r="G13" s="17">
        <v>20.679999999999986</v>
      </c>
      <c r="H13" s="17">
        <v>0.82719999999999938</v>
      </c>
      <c r="I13" s="17">
        <v>-1.7600000000000282</v>
      </c>
      <c r="J13" s="17">
        <v>-0.24999999999999467</v>
      </c>
      <c r="K13" s="18">
        <v>-2.0100000000000229</v>
      </c>
      <c r="L13" s="17"/>
    </row>
    <row r="14" spans="1:12" x14ac:dyDescent="0.25">
      <c r="A14" s="16">
        <v>46192</v>
      </c>
      <c r="B14" s="17" t="s">
        <v>10</v>
      </c>
      <c r="C14" s="122" t="s">
        <v>115</v>
      </c>
      <c r="D14" s="122" t="s">
        <v>116</v>
      </c>
      <c r="E14" s="17">
        <v>2.6402000000000001</v>
      </c>
      <c r="F14" s="17">
        <v>18.340000000000025</v>
      </c>
      <c r="G14" s="17">
        <v>39.02000000000001</v>
      </c>
      <c r="H14" s="17">
        <v>1.5608000000000004</v>
      </c>
      <c r="I14" s="17">
        <v>-1.5099999999999891</v>
      </c>
      <c r="J14" s="17">
        <v>-1.0099999999999998</v>
      </c>
      <c r="K14" s="18">
        <v>-5.5299999999999905</v>
      </c>
      <c r="L14" s="17"/>
    </row>
    <row r="15" spans="1:12" x14ac:dyDescent="0.25">
      <c r="A15" s="16">
        <v>46192</v>
      </c>
      <c r="B15" s="17" t="s">
        <v>11</v>
      </c>
      <c r="C15" s="122" t="s">
        <v>116</v>
      </c>
      <c r="D15" s="122" t="s">
        <v>117</v>
      </c>
      <c r="E15" s="17">
        <v>2.7216999999999998</v>
      </c>
      <c r="F15" s="17">
        <v>8.1499999999999684</v>
      </c>
      <c r="G15" s="17">
        <v>47.16999999999998</v>
      </c>
      <c r="H15" s="17">
        <v>1.8867999999999991</v>
      </c>
      <c r="I15" s="17">
        <v>-1.7500000000000071</v>
      </c>
      <c r="J15" s="17">
        <v>-4.2600000000000193</v>
      </c>
      <c r="K15" s="18">
        <v>-13.290000000000024</v>
      </c>
      <c r="L15" s="17">
        <v>8.1499999999999684E-2</v>
      </c>
    </row>
    <row r="16" spans="1:12" x14ac:dyDescent="0.25">
      <c r="A16" s="16">
        <v>46192</v>
      </c>
      <c r="B16" s="17" t="s">
        <v>13</v>
      </c>
      <c r="C16" s="122" t="s">
        <v>117</v>
      </c>
      <c r="D16" s="122" t="s">
        <v>124</v>
      </c>
      <c r="E16" s="17">
        <v>2.8921000000000001</v>
      </c>
      <c r="F16" s="17">
        <v>17.040000000000035</v>
      </c>
      <c r="G16" s="17">
        <v>64.210000000000008</v>
      </c>
      <c r="H16" s="17">
        <v>2.5684000000000005</v>
      </c>
      <c r="I16" s="17">
        <v>-1.7599999999999838</v>
      </c>
      <c r="J16" s="17">
        <v>-3.2599999999999962</v>
      </c>
      <c r="K16" s="18">
        <v>-18.089999999999982</v>
      </c>
      <c r="L16" s="17"/>
    </row>
    <row r="17" spans="1:12" x14ac:dyDescent="0.25">
      <c r="A17" s="16">
        <v>46192</v>
      </c>
      <c r="B17" s="17" t="s">
        <v>14</v>
      </c>
      <c r="C17" s="122" t="s">
        <v>124</v>
      </c>
      <c r="D17" s="122" t="s">
        <v>123</v>
      </c>
      <c r="E17" s="17">
        <v>2.9967000000000001</v>
      </c>
      <c r="F17" s="17">
        <v>10.460000000000003</v>
      </c>
      <c r="G17" s="17">
        <v>74.670000000000016</v>
      </c>
      <c r="H17" s="17">
        <v>2.9868000000000006</v>
      </c>
      <c r="I17" s="17">
        <v>-2.4999999999999911</v>
      </c>
      <c r="J17" s="17">
        <v>-6.009999999999982</v>
      </c>
      <c r="K17" s="18">
        <v>-24.819999999999975</v>
      </c>
      <c r="L17" s="17"/>
    </row>
    <row r="18" spans="1:12" x14ac:dyDescent="0.25">
      <c r="A18" s="16">
        <v>46192</v>
      </c>
      <c r="B18" s="17" t="s">
        <v>15</v>
      </c>
      <c r="C18" s="122" t="s">
        <v>123</v>
      </c>
      <c r="D18" s="122" t="s">
        <v>148</v>
      </c>
      <c r="E18" s="17">
        <v>3.0888</v>
      </c>
      <c r="F18" s="17">
        <v>9.2099999999999849</v>
      </c>
      <c r="G18" s="17">
        <v>83.88</v>
      </c>
      <c r="H18" s="17">
        <v>3.3552</v>
      </c>
      <c r="I18" s="17">
        <v>-2.5100000000000122</v>
      </c>
      <c r="J18" s="17">
        <v>-8.0299999999999816</v>
      </c>
      <c r="K18" s="18" t="s">
        <v>41</v>
      </c>
      <c r="L18" s="17"/>
    </row>
    <row r="19" spans="1:12" x14ac:dyDescent="0.25">
      <c r="A19" s="16">
        <v>46192</v>
      </c>
      <c r="B19" s="17"/>
      <c r="C19" s="122"/>
      <c r="D19" s="122"/>
      <c r="E19" s="17"/>
      <c r="F19" s="17"/>
      <c r="G19" s="17"/>
      <c r="H19" s="17"/>
      <c r="I19" s="17">
        <v>0</v>
      </c>
      <c r="J19" s="17" t="s">
        <v>41</v>
      </c>
      <c r="K19" s="18">
        <v>0</v>
      </c>
      <c r="L19" s="17"/>
    </row>
    <row r="20" spans="1:12" x14ac:dyDescent="0.25">
      <c r="A20" s="16">
        <v>46192</v>
      </c>
      <c r="B20" s="17"/>
      <c r="C20" s="122"/>
      <c r="D20" s="122"/>
      <c r="E20" s="17"/>
      <c r="F20" s="17"/>
      <c r="G20" s="17"/>
      <c r="H20" s="17"/>
      <c r="I20" s="17">
        <v>0</v>
      </c>
      <c r="J20" s="17" t="s">
        <v>41</v>
      </c>
      <c r="K20" s="18">
        <v>0</v>
      </c>
      <c r="L20" s="17"/>
    </row>
    <row r="21" spans="1:12" x14ac:dyDescent="0.25">
      <c r="A21" s="16">
        <v>46192</v>
      </c>
      <c r="B21" s="17"/>
      <c r="C21" s="122"/>
      <c r="D21" s="122"/>
      <c r="E21" s="17"/>
      <c r="F21" s="17"/>
      <c r="G21" s="17"/>
      <c r="H21" s="17"/>
      <c r="I21" s="17">
        <v>0</v>
      </c>
      <c r="J21" s="17" t="s">
        <v>41</v>
      </c>
      <c r="K21" s="18">
        <v>0</v>
      </c>
      <c r="L21" s="17"/>
    </row>
    <row r="22" spans="1:12" x14ac:dyDescent="0.25">
      <c r="A22" s="16">
        <v>46192</v>
      </c>
      <c r="B22" s="17"/>
      <c r="C22" s="122"/>
      <c r="D22" s="122"/>
      <c r="E22" s="17"/>
      <c r="F22" s="17"/>
      <c r="G22" s="17"/>
      <c r="H22" s="17"/>
      <c r="I22" s="17">
        <v>0</v>
      </c>
      <c r="J22" s="17" t="s">
        <v>41</v>
      </c>
      <c r="K22" s="18">
        <v>0</v>
      </c>
      <c r="L22" s="17"/>
    </row>
    <row r="23" spans="1:12" x14ac:dyDescent="0.25">
      <c r="A23" s="16">
        <v>46192</v>
      </c>
      <c r="B23" s="17"/>
      <c r="C23" s="122"/>
      <c r="D23" s="122"/>
      <c r="E23" s="17"/>
      <c r="F23" s="17"/>
      <c r="G23" s="17"/>
      <c r="H23" s="17"/>
      <c r="I23" s="17">
        <v>0</v>
      </c>
      <c r="J23" s="17" t="s">
        <v>41</v>
      </c>
      <c r="K23" s="18">
        <v>0</v>
      </c>
      <c r="L23" s="17"/>
    </row>
    <row r="24" spans="1:12" x14ac:dyDescent="0.25">
      <c r="A24" s="304">
        <v>46195</v>
      </c>
      <c r="B24" s="305" t="s">
        <v>19</v>
      </c>
      <c r="C24" s="306" t="s">
        <v>102</v>
      </c>
      <c r="D24" s="306" t="s">
        <v>115</v>
      </c>
      <c r="E24" s="305">
        <v>2.4620000000000002</v>
      </c>
      <c r="F24" s="305">
        <v>20.679999999999986</v>
      </c>
      <c r="G24" s="305">
        <v>20.679999999999986</v>
      </c>
      <c r="H24" s="305">
        <v>0.82719999999999938</v>
      </c>
      <c r="I24" s="305">
        <v>0.52000000000003155</v>
      </c>
      <c r="J24" s="305">
        <v>2.2599999999999731</v>
      </c>
      <c r="K24" s="307">
        <v>-3.5099999999999909</v>
      </c>
      <c r="L24" s="305"/>
    </row>
    <row r="25" spans="1:12" x14ac:dyDescent="0.25">
      <c r="A25" s="304">
        <v>46195</v>
      </c>
      <c r="B25" s="305" t="s">
        <v>10</v>
      </c>
      <c r="C25" s="306" t="s">
        <v>115</v>
      </c>
      <c r="D25" s="306" t="s">
        <v>116</v>
      </c>
      <c r="E25" s="305">
        <v>2.645</v>
      </c>
      <c r="F25" s="305">
        <v>18.590000000000018</v>
      </c>
      <c r="G25" s="305">
        <v>39.270000000000003</v>
      </c>
      <c r="H25" s="305">
        <v>1.5708000000000002</v>
      </c>
      <c r="I25" s="305">
        <v>0.47999999999999154</v>
      </c>
      <c r="J25" s="305">
        <v>3.5099999999999909</v>
      </c>
      <c r="K25" s="307">
        <v>-6.7800000000000082</v>
      </c>
      <c r="L25" s="305"/>
    </row>
    <row r="26" spans="1:12" x14ac:dyDescent="0.25">
      <c r="A26" s="304">
        <v>46195</v>
      </c>
      <c r="B26" s="305" t="s">
        <v>11</v>
      </c>
      <c r="C26" s="306" t="s">
        <v>116</v>
      </c>
      <c r="D26" s="306" t="s">
        <v>117</v>
      </c>
      <c r="E26" s="305">
        <v>2.7269999999999999</v>
      </c>
      <c r="F26" s="305">
        <v>8.1500000000000128</v>
      </c>
      <c r="G26" s="305">
        <v>47.420000000000016</v>
      </c>
      <c r="H26" s="305">
        <v>1.8968000000000007</v>
      </c>
      <c r="I26" s="305">
        <v>0.53000000000000824</v>
      </c>
      <c r="J26" s="305">
        <v>2.7600000000000069</v>
      </c>
      <c r="K26" s="307">
        <v>-14.290000000000003</v>
      </c>
      <c r="L26" s="305">
        <v>8.1500000000000128E-2</v>
      </c>
    </row>
    <row r="27" spans="1:12" x14ac:dyDescent="0.25">
      <c r="A27" s="304">
        <v>46195</v>
      </c>
      <c r="B27" s="305" t="s">
        <v>13</v>
      </c>
      <c r="C27" s="306" t="s">
        <v>117</v>
      </c>
      <c r="D27" s="306" t="s">
        <v>124</v>
      </c>
      <c r="E27" s="305">
        <v>2.8969999999999998</v>
      </c>
      <c r="F27" s="305">
        <v>16.290000000000006</v>
      </c>
      <c r="G27" s="305">
        <v>63.710000000000022</v>
      </c>
      <c r="H27" s="305">
        <v>2.5484000000000009</v>
      </c>
      <c r="I27" s="305">
        <v>0.48999999999996824</v>
      </c>
      <c r="J27" s="305">
        <v>4.7800000000000065</v>
      </c>
      <c r="K27" s="307">
        <v>-20.349999999999959</v>
      </c>
      <c r="L27" s="305"/>
    </row>
    <row r="28" spans="1:12" x14ac:dyDescent="0.25">
      <c r="A28" s="304">
        <v>46195</v>
      </c>
      <c r="B28" s="305" t="s">
        <v>14</v>
      </c>
      <c r="C28" s="306" t="s">
        <v>124</v>
      </c>
      <c r="D28" s="306" t="s">
        <v>123</v>
      </c>
      <c r="E28" s="305">
        <v>2.9940000000000002</v>
      </c>
      <c r="F28" s="305">
        <v>9.6999999999999975</v>
      </c>
      <c r="G28" s="305">
        <v>73.410000000000025</v>
      </c>
      <c r="H28" s="305">
        <v>2.9364000000000008</v>
      </c>
      <c r="I28" s="305">
        <v>-0.26999999999999247</v>
      </c>
      <c r="J28" s="305">
        <v>3.5100000000000353</v>
      </c>
      <c r="K28" s="307">
        <v>-27.829999999999977</v>
      </c>
      <c r="L28" s="305"/>
    </row>
    <row r="29" spans="1:12" x14ac:dyDescent="0.25">
      <c r="A29" s="304">
        <v>46195</v>
      </c>
      <c r="B29" s="305" t="s">
        <v>15</v>
      </c>
      <c r="C29" s="306" t="s">
        <v>123</v>
      </c>
      <c r="D29" s="306" t="s">
        <v>148</v>
      </c>
      <c r="E29" s="305">
        <v>3.0840000000000001</v>
      </c>
      <c r="F29" s="305">
        <v>8.9599999999999902</v>
      </c>
      <c r="G29" s="305">
        <v>82.37</v>
      </c>
      <c r="H29" s="305">
        <v>3.2948000000000004</v>
      </c>
      <c r="I29" s="305">
        <v>-0.47999999999999154</v>
      </c>
      <c r="J29" s="305">
        <v>2.7600000000000069</v>
      </c>
      <c r="K29" s="307" t="s">
        <v>41</v>
      </c>
      <c r="L29" s="305"/>
    </row>
    <row r="30" spans="1:12" x14ac:dyDescent="0.25">
      <c r="A30" s="304">
        <v>46195</v>
      </c>
      <c r="B30" s="305"/>
      <c r="C30" s="306"/>
      <c r="D30" s="306"/>
      <c r="E30" s="305"/>
      <c r="F30" s="305"/>
      <c r="G30" s="305"/>
      <c r="H30" s="305"/>
      <c r="I30" s="305" t="s">
        <v>41</v>
      </c>
      <c r="J30" s="305">
        <v>0</v>
      </c>
      <c r="K30" s="307">
        <v>0</v>
      </c>
      <c r="L30" s="305"/>
    </row>
    <row r="31" spans="1:12" x14ac:dyDescent="0.25">
      <c r="A31" s="304">
        <v>46195</v>
      </c>
      <c r="B31" s="305"/>
      <c r="C31" s="306"/>
      <c r="D31" s="306"/>
      <c r="E31" s="305"/>
      <c r="F31" s="305"/>
      <c r="G31" s="305"/>
      <c r="H31" s="305"/>
      <c r="I31" s="305" t="s">
        <v>41</v>
      </c>
      <c r="J31" s="305">
        <v>0</v>
      </c>
      <c r="K31" s="307">
        <v>0</v>
      </c>
      <c r="L31" s="305"/>
    </row>
    <row r="32" spans="1:12" x14ac:dyDescent="0.25">
      <c r="A32" s="304">
        <v>46195</v>
      </c>
      <c r="B32" s="305"/>
      <c r="C32" s="306"/>
      <c r="D32" s="306"/>
      <c r="E32" s="305"/>
      <c r="F32" s="305"/>
      <c r="G32" s="305"/>
      <c r="H32" s="305"/>
      <c r="I32" s="305" t="s">
        <v>41</v>
      </c>
      <c r="J32" s="305">
        <v>0</v>
      </c>
      <c r="K32" s="307">
        <v>0</v>
      </c>
      <c r="L32" s="305"/>
    </row>
    <row r="33" spans="1:12" x14ac:dyDescent="0.25">
      <c r="A33" s="304">
        <v>46195</v>
      </c>
      <c r="B33" s="305"/>
      <c r="C33" s="306"/>
      <c r="D33" s="306"/>
      <c r="E33" s="305"/>
      <c r="F33" s="305"/>
      <c r="G33" s="305"/>
      <c r="H33" s="305"/>
      <c r="I33" s="305" t="s">
        <v>41</v>
      </c>
      <c r="J33" s="305">
        <v>0</v>
      </c>
      <c r="K33" s="307">
        <v>0</v>
      </c>
      <c r="L33" s="305"/>
    </row>
    <row r="34" spans="1:12" x14ac:dyDescent="0.25">
      <c r="A34" s="308">
        <v>46195</v>
      </c>
      <c r="B34" s="309"/>
      <c r="C34" s="310"/>
      <c r="D34" s="310"/>
      <c r="E34" s="309"/>
      <c r="F34" s="309"/>
      <c r="G34" s="309"/>
      <c r="H34" s="309"/>
      <c r="I34" s="309" t="s">
        <v>41</v>
      </c>
      <c r="J34" s="309">
        <v>0</v>
      </c>
      <c r="K34" s="311">
        <v>0</v>
      </c>
      <c r="L34" s="309"/>
    </row>
    <row r="35" spans="1:12" x14ac:dyDescent="0.25">
      <c r="A35" s="304">
        <v>46196</v>
      </c>
      <c r="B35" s="305" t="s">
        <v>19</v>
      </c>
      <c r="C35" s="306" t="s">
        <v>102</v>
      </c>
      <c r="D35" s="306" t="s">
        <v>115</v>
      </c>
      <c r="E35" s="305">
        <v>2.4567999999999999</v>
      </c>
      <c r="F35" s="305">
        <v>20.679999999999986</v>
      </c>
      <c r="G35" s="305">
        <v>20.679999999999986</v>
      </c>
      <c r="H35" s="305">
        <v>0.82719999999999938</v>
      </c>
      <c r="I35" s="305">
        <v>-0.52000000000003155</v>
      </c>
      <c r="J35" s="305">
        <v>2.2599999999999731</v>
      </c>
      <c r="K35" s="307">
        <v>-3.5099999999999909</v>
      </c>
      <c r="L35" s="305"/>
    </row>
    <row r="36" spans="1:12" x14ac:dyDescent="0.25">
      <c r="A36" s="304">
        <v>46196</v>
      </c>
      <c r="B36" s="305" t="s">
        <v>10</v>
      </c>
      <c r="C36" s="306" t="s">
        <v>115</v>
      </c>
      <c r="D36" s="306" t="s">
        <v>116</v>
      </c>
      <c r="E36" s="305">
        <v>2.6427</v>
      </c>
      <c r="F36" s="305">
        <v>18.590000000000018</v>
      </c>
      <c r="G36" s="305">
        <v>39.270000000000003</v>
      </c>
      <c r="H36" s="305">
        <v>1.5708000000000002</v>
      </c>
      <c r="I36" s="305">
        <v>-0.22999999999999687</v>
      </c>
      <c r="J36" s="305">
        <v>3.5099999999999909</v>
      </c>
      <c r="K36" s="307">
        <v>-6.7800000000000082</v>
      </c>
      <c r="L36" s="305"/>
    </row>
    <row r="37" spans="1:12" x14ac:dyDescent="0.25">
      <c r="A37" s="304">
        <v>46196</v>
      </c>
      <c r="B37" s="305" t="s">
        <v>11</v>
      </c>
      <c r="C37" s="306" t="s">
        <v>116</v>
      </c>
      <c r="D37" s="306" t="s">
        <v>117</v>
      </c>
      <c r="E37" s="305">
        <v>2.7242000000000002</v>
      </c>
      <c r="F37" s="305">
        <v>8.1500000000000128</v>
      </c>
      <c r="G37" s="305">
        <v>47.420000000000016</v>
      </c>
      <c r="H37" s="305">
        <v>1.8968000000000007</v>
      </c>
      <c r="I37" s="305">
        <v>-0.27999999999996916</v>
      </c>
      <c r="J37" s="305">
        <v>2.7600000000000069</v>
      </c>
      <c r="K37" s="307">
        <v>-14.290000000000003</v>
      </c>
      <c r="L37" s="305">
        <v>8.1500000000000128E-2</v>
      </c>
    </row>
    <row r="38" spans="1:12" x14ac:dyDescent="0.25">
      <c r="A38" s="304">
        <v>46196</v>
      </c>
      <c r="B38" s="305" t="s">
        <v>13</v>
      </c>
      <c r="C38" s="306" t="s">
        <v>117</v>
      </c>
      <c r="D38" s="306" t="s">
        <v>124</v>
      </c>
      <c r="E38" s="305">
        <v>2.8871000000000002</v>
      </c>
      <c r="F38" s="305">
        <v>16.290000000000006</v>
      </c>
      <c r="G38" s="305">
        <v>63.710000000000022</v>
      </c>
      <c r="H38" s="305">
        <v>2.5484000000000009</v>
      </c>
      <c r="I38" s="305">
        <v>-0.98999999999995758</v>
      </c>
      <c r="J38" s="305">
        <v>4.7800000000000065</v>
      </c>
      <c r="K38" s="307">
        <v>-20.349999999999959</v>
      </c>
      <c r="L38" s="305"/>
    </row>
    <row r="39" spans="1:12" x14ac:dyDescent="0.25">
      <c r="A39" s="304">
        <v>46196</v>
      </c>
      <c r="B39" s="305" t="s">
        <v>14</v>
      </c>
      <c r="C39" s="306" t="s">
        <v>124</v>
      </c>
      <c r="D39" s="306" t="s">
        <v>123</v>
      </c>
      <c r="E39" s="305">
        <v>2.9841000000000002</v>
      </c>
      <c r="F39" s="305">
        <v>9.6999999999999975</v>
      </c>
      <c r="G39" s="305">
        <v>73.410000000000025</v>
      </c>
      <c r="H39" s="305">
        <v>2.9364000000000008</v>
      </c>
      <c r="I39" s="305">
        <v>-0.99000000000000199</v>
      </c>
      <c r="J39" s="305">
        <v>3.5100000000000353</v>
      </c>
      <c r="K39" s="307">
        <v>-27.829999999999977</v>
      </c>
      <c r="L39" s="305"/>
    </row>
    <row r="40" spans="1:12" x14ac:dyDescent="0.25">
      <c r="A40" s="304">
        <v>46196</v>
      </c>
      <c r="B40" s="305" t="s">
        <v>15</v>
      </c>
      <c r="C40" s="306" t="s">
        <v>123</v>
      </c>
      <c r="D40" s="306" t="s">
        <v>148</v>
      </c>
      <c r="E40" s="305">
        <v>3.0737000000000001</v>
      </c>
      <c r="F40" s="305">
        <v>8.9599999999999902</v>
      </c>
      <c r="G40" s="305">
        <v>82.37</v>
      </c>
      <c r="H40" s="305">
        <v>3.2948000000000004</v>
      </c>
      <c r="I40" s="305">
        <v>-1.0299999999999976</v>
      </c>
      <c r="J40" s="305">
        <v>2.7600000000000069</v>
      </c>
      <c r="K40" s="307" t="s">
        <v>41</v>
      </c>
      <c r="L40" s="305"/>
    </row>
    <row r="41" spans="1:12" x14ac:dyDescent="0.25">
      <c r="A41" s="304">
        <v>46196</v>
      </c>
      <c r="B41" s="305"/>
      <c r="C41" s="306"/>
      <c r="D41" s="306"/>
      <c r="E41" s="305"/>
      <c r="F41" s="305"/>
      <c r="G41" s="305"/>
      <c r="H41" s="305"/>
      <c r="I41" s="305">
        <v>0</v>
      </c>
      <c r="J41" s="305">
        <v>0</v>
      </c>
      <c r="K41" s="307">
        <v>0</v>
      </c>
      <c r="L41" s="305"/>
    </row>
    <row r="42" spans="1:12" x14ac:dyDescent="0.25">
      <c r="A42" s="304">
        <v>46196</v>
      </c>
      <c r="B42" s="305"/>
      <c r="C42" s="306"/>
      <c r="D42" s="306"/>
      <c r="E42" s="305"/>
      <c r="F42" s="305"/>
      <c r="G42" s="305"/>
      <c r="H42" s="305"/>
      <c r="I42" s="305">
        <v>0</v>
      </c>
      <c r="J42" s="305">
        <v>0</v>
      </c>
      <c r="K42" s="307">
        <v>0</v>
      </c>
      <c r="L42" s="305"/>
    </row>
    <row r="43" spans="1:12" x14ac:dyDescent="0.25">
      <c r="A43" s="304">
        <v>46196</v>
      </c>
      <c r="B43" s="305"/>
      <c r="C43" s="306"/>
      <c r="D43" s="306"/>
      <c r="E43" s="305"/>
      <c r="F43" s="305"/>
      <c r="G43" s="305"/>
      <c r="H43" s="305"/>
      <c r="I43" s="305">
        <v>0</v>
      </c>
      <c r="J43" s="305">
        <v>0</v>
      </c>
      <c r="K43" s="307">
        <v>0</v>
      </c>
      <c r="L43" s="305"/>
    </row>
    <row r="44" spans="1:12" x14ac:dyDescent="0.25">
      <c r="A44" s="304">
        <v>46196</v>
      </c>
      <c r="B44" s="305"/>
      <c r="C44" s="306"/>
      <c r="D44" s="306"/>
      <c r="E44" s="305"/>
      <c r="F44" s="305"/>
      <c r="G44" s="305"/>
      <c r="H44" s="305"/>
      <c r="I44" s="305">
        <v>0</v>
      </c>
      <c r="J44" s="305">
        <v>0</v>
      </c>
      <c r="K44" s="307">
        <v>0</v>
      </c>
      <c r="L44" s="305"/>
    </row>
    <row r="45" spans="1:12" x14ac:dyDescent="0.25">
      <c r="A45" s="308">
        <v>46196</v>
      </c>
      <c r="B45" s="309"/>
      <c r="C45" s="310"/>
      <c r="D45" s="310"/>
      <c r="E45" s="309"/>
      <c r="F45" s="309"/>
      <c r="G45" s="309"/>
      <c r="H45" s="309"/>
      <c r="I45" s="309">
        <v>0</v>
      </c>
      <c r="J45" s="309">
        <v>0</v>
      </c>
      <c r="K45" s="311">
        <v>0</v>
      </c>
      <c r="L45" s="309"/>
    </row>
    <row r="46" spans="1:12" x14ac:dyDescent="0.25">
      <c r="A46" s="16">
        <v>46197</v>
      </c>
      <c r="B46" s="17" t="s">
        <v>19</v>
      </c>
      <c r="C46" s="122" t="s">
        <v>102</v>
      </c>
      <c r="D46" s="122" t="s">
        <v>115</v>
      </c>
      <c r="E46" s="17">
        <v>2.4468000000000001</v>
      </c>
      <c r="F46" s="17">
        <v>19.680000000000007</v>
      </c>
      <c r="G46" s="17">
        <v>19.680000000000007</v>
      </c>
      <c r="H46" s="17">
        <v>0.78720000000000023</v>
      </c>
      <c r="I46" s="17">
        <v>-0.99999999999997868</v>
      </c>
      <c r="J46" s="17">
        <v>1.5099999999999891</v>
      </c>
      <c r="K46" s="18">
        <v>-2.0000000000000018</v>
      </c>
      <c r="L46" s="17"/>
    </row>
    <row r="47" spans="1:12" x14ac:dyDescent="0.25">
      <c r="A47" s="16">
        <v>46197</v>
      </c>
      <c r="B47" s="17" t="s">
        <v>10</v>
      </c>
      <c r="C47" s="122" t="s">
        <v>115</v>
      </c>
      <c r="D47" s="122" t="s">
        <v>116</v>
      </c>
      <c r="E47" s="17">
        <v>2.6252</v>
      </c>
      <c r="F47" s="17">
        <v>17.839999999999989</v>
      </c>
      <c r="G47" s="17">
        <v>37.519999999999996</v>
      </c>
      <c r="H47" s="17">
        <v>1.5007999999999999</v>
      </c>
      <c r="I47" s="17">
        <v>-1.7500000000000071</v>
      </c>
      <c r="J47" s="17">
        <v>2.7600000000000069</v>
      </c>
      <c r="K47" s="18">
        <v>-5.2700000000000191</v>
      </c>
      <c r="L47" s="17"/>
    </row>
    <row r="48" spans="1:12" x14ac:dyDescent="0.25">
      <c r="A48" s="16">
        <v>46197</v>
      </c>
      <c r="B48" s="17" t="s">
        <v>11</v>
      </c>
      <c r="C48" s="122" t="s">
        <v>116</v>
      </c>
      <c r="D48" s="122" t="s">
        <v>117</v>
      </c>
      <c r="E48" s="17">
        <v>2.7065999999999999</v>
      </c>
      <c r="F48" s="17">
        <v>8.1399999999999917</v>
      </c>
      <c r="G48" s="17">
        <v>45.659999999999989</v>
      </c>
      <c r="H48" s="17">
        <v>1.8263999999999996</v>
      </c>
      <c r="I48" s="17">
        <v>-1.7600000000000282</v>
      </c>
      <c r="J48" s="17">
        <v>3.0100000000000016</v>
      </c>
      <c r="K48" s="18">
        <v>-12.290000000000001</v>
      </c>
      <c r="L48" s="17">
        <v>8.1399999999999917E-2</v>
      </c>
    </row>
    <row r="49" spans="1:12" x14ac:dyDescent="0.25">
      <c r="A49" s="16">
        <v>46197</v>
      </c>
      <c r="B49" s="17" t="s">
        <v>13</v>
      </c>
      <c r="C49" s="122" t="s">
        <v>117</v>
      </c>
      <c r="D49" s="122" t="s">
        <v>124</v>
      </c>
      <c r="E49" s="17">
        <v>2.8694999999999999</v>
      </c>
      <c r="F49" s="17">
        <v>16.290000000000006</v>
      </c>
      <c r="G49" s="17">
        <v>61.949999999999996</v>
      </c>
      <c r="H49" s="17">
        <v>2.4779999999999998</v>
      </c>
      <c r="I49" s="17">
        <v>-1.7600000000000282</v>
      </c>
      <c r="J49" s="17">
        <v>4.5199999999999907</v>
      </c>
      <c r="K49" s="18">
        <v>-17.330000000000023</v>
      </c>
      <c r="L49" s="17"/>
    </row>
    <row r="50" spans="1:12" x14ac:dyDescent="0.25">
      <c r="A50" s="16">
        <v>46197</v>
      </c>
      <c r="B50" s="17" t="s">
        <v>14</v>
      </c>
      <c r="C50" s="122" t="s">
        <v>124</v>
      </c>
      <c r="D50" s="122" t="s">
        <v>123</v>
      </c>
      <c r="E50" s="17">
        <v>2.9666000000000001</v>
      </c>
      <c r="F50" s="17">
        <v>9.7100000000000186</v>
      </c>
      <c r="G50" s="17">
        <v>71.660000000000011</v>
      </c>
      <c r="H50" s="17">
        <v>2.8664000000000005</v>
      </c>
      <c r="I50" s="17">
        <v>-1.7500000000000071</v>
      </c>
      <c r="J50" s="17">
        <v>4.2600000000000193</v>
      </c>
      <c r="K50" s="18">
        <v>-24.819999999999975</v>
      </c>
      <c r="L50" s="17"/>
    </row>
    <row r="51" spans="1:12" x14ac:dyDescent="0.25">
      <c r="A51" s="16">
        <v>46197</v>
      </c>
      <c r="B51" s="17" t="s">
        <v>15</v>
      </c>
      <c r="C51" s="122" t="s">
        <v>123</v>
      </c>
      <c r="D51" s="122" t="s">
        <v>148</v>
      </c>
      <c r="E51" s="17">
        <v>3.0560999999999998</v>
      </c>
      <c r="F51" s="17">
        <v>8.9499999999999691</v>
      </c>
      <c r="G51" s="17">
        <v>80.609999999999985</v>
      </c>
      <c r="H51" s="17">
        <v>3.2243999999999993</v>
      </c>
      <c r="I51" s="17">
        <v>-1.7600000000000282</v>
      </c>
      <c r="J51" s="17">
        <v>4.0099999999999802</v>
      </c>
      <c r="K51" s="18" t="s">
        <v>41</v>
      </c>
      <c r="L51" s="17"/>
    </row>
    <row r="52" spans="1:12" x14ac:dyDescent="0.25">
      <c r="A52" s="16">
        <v>46197</v>
      </c>
      <c r="B52" s="17"/>
      <c r="C52" s="122"/>
      <c r="D52" s="122"/>
      <c r="E52" s="17"/>
      <c r="F52" s="17"/>
      <c r="G52" s="17"/>
      <c r="H52" s="17"/>
      <c r="I52" s="17">
        <v>0</v>
      </c>
      <c r="J52" s="17">
        <v>0</v>
      </c>
      <c r="K52" s="18">
        <v>0</v>
      </c>
      <c r="L52" s="17"/>
    </row>
    <row r="53" spans="1:12" x14ac:dyDescent="0.25">
      <c r="A53" s="16">
        <v>46197</v>
      </c>
      <c r="B53" s="17"/>
      <c r="C53" s="122"/>
      <c r="D53" s="122"/>
      <c r="E53" s="17"/>
      <c r="F53" s="17"/>
      <c r="G53" s="17"/>
      <c r="H53" s="17"/>
      <c r="I53" s="17">
        <v>0</v>
      </c>
      <c r="J53" s="17">
        <v>0</v>
      </c>
      <c r="K53" s="18">
        <v>0</v>
      </c>
      <c r="L53" s="17"/>
    </row>
    <row r="54" spans="1:12" x14ac:dyDescent="0.25">
      <c r="A54" s="16">
        <v>46197</v>
      </c>
      <c r="B54" s="17"/>
      <c r="C54" s="122"/>
      <c r="D54" s="122"/>
      <c r="E54" s="17"/>
      <c r="F54" s="17"/>
      <c r="G54" s="17"/>
      <c r="H54" s="17"/>
      <c r="I54" s="17">
        <v>0</v>
      </c>
      <c r="J54" s="17">
        <v>0</v>
      </c>
      <c r="K54" s="18">
        <v>0</v>
      </c>
      <c r="L54" s="17"/>
    </row>
    <row r="55" spans="1:12" x14ac:dyDescent="0.25">
      <c r="A55" s="16">
        <v>46197</v>
      </c>
      <c r="B55" s="17"/>
      <c r="C55" s="122"/>
      <c r="D55" s="122"/>
      <c r="E55" s="17"/>
      <c r="F55" s="17"/>
      <c r="G55" s="17"/>
      <c r="H55" s="17"/>
      <c r="I55" s="17">
        <v>0</v>
      </c>
      <c r="J55" s="17">
        <v>0</v>
      </c>
      <c r="K55" s="18">
        <v>0</v>
      </c>
      <c r="L55" s="17"/>
    </row>
    <row r="56" spans="1:12" x14ac:dyDescent="0.25">
      <c r="A56" s="325">
        <v>46197</v>
      </c>
      <c r="B56" s="326"/>
      <c r="C56" s="327"/>
      <c r="D56" s="327"/>
      <c r="E56" s="326"/>
      <c r="F56" s="326"/>
      <c r="G56" s="326"/>
      <c r="H56" s="326"/>
      <c r="I56" s="326">
        <v>0</v>
      </c>
      <c r="J56" s="326">
        <v>0</v>
      </c>
      <c r="K56" s="328">
        <v>0</v>
      </c>
      <c r="L56" s="326"/>
    </row>
    <row r="57" spans="1:12" x14ac:dyDescent="0.25">
      <c r="A57" s="355">
        <v>46198</v>
      </c>
      <c r="B57" s="356" t="s">
        <v>19</v>
      </c>
      <c r="C57" s="357" t="s">
        <v>102</v>
      </c>
      <c r="D57" s="357" t="s">
        <v>115</v>
      </c>
      <c r="E57" s="356">
        <v>2.4192</v>
      </c>
      <c r="F57" s="356">
        <v>16.920000000000002</v>
      </c>
      <c r="G57" s="356">
        <v>16.920000000000002</v>
      </c>
      <c r="H57" s="356">
        <v>0.67680000000000007</v>
      </c>
      <c r="I57" s="356">
        <v>-2.7600000000000069</v>
      </c>
      <c r="J57" s="356">
        <v>-5.5200000000000138</v>
      </c>
      <c r="K57" s="358">
        <v>-0.24999999999999467</v>
      </c>
      <c r="L57" s="356"/>
    </row>
    <row r="58" spans="1:12" x14ac:dyDescent="0.25">
      <c r="A58" s="355">
        <v>46198</v>
      </c>
      <c r="B58" s="356" t="s">
        <v>10</v>
      </c>
      <c r="C58" s="357" t="s">
        <v>115</v>
      </c>
      <c r="D58" s="357" t="s">
        <v>116</v>
      </c>
      <c r="E58" s="356">
        <v>2.5926</v>
      </c>
      <c r="F58" s="356">
        <v>17.34</v>
      </c>
      <c r="G58" s="356">
        <v>34.260000000000005</v>
      </c>
      <c r="H58" s="356">
        <v>1.3704000000000003</v>
      </c>
      <c r="I58" s="356">
        <v>-3.2599999999999962</v>
      </c>
      <c r="J58" s="356">
        <v>-6.2699999999999978</v>
      </c>
      <c r="K58" s="358">
        <v>-2.0000000000000018</v>
      </c>
      <c r="L58" s="356"/>
    </row>
    <row r="59" spans="1:12" x14ac:dyDescent="0.25">
      <c r="A59" s="355">
        <v>46198</v>
      </c>
      <c r="B59" s="356" t="s">
        <v>11</v>
      </c>
      <c r="C59" s="357" t="s">
        <v>116</v>
      </c>
      <c r="D59" s="357" t="s">
        <v>117</v>
      </c>
      <c r="E59" s="356">
        <v>2.6589999999999998</v>
      </c>
      <c r="F59" s="356">
        <v>6.6399999999999793</v>
      </c>
      <c r="G59" s="356">
        <v>40.899999999999977</v>
      </c>
      <c r="H59" s="356">
        <v>1.635999999999999</v>
      </c>
      <c r="I59" s="356">
        <v>-4.7600000000000087</v>
      </c>
      <c r="J59" s="356">
        <v>-8.0200000000000049</v>
      </c>
      <c r="K59" s="358">
        <v>-10.780000000000012</v>
      </c>
      <c r="L59" s="356">
        <v>6.6399999999999793E-2</v>
      </c>
    </row>
    <row r="60" spans="1:12" x14ac:dyDescent="0.25">
      <c r="A60" s="355">
        <v>46198</v>
      </c>
      <c r="B60" s="356" t="s">
        <v>13</v>
      </c>
      <c r="C60" s="357" t="s">
        <v>117</v>
      </c>
      <c r="D60" s="357" t="s">
        <v>124</v>
      </c>
      <c r="E60" s="356">
        <v>2.8191999999999999</v>
      </c>
      <c r="F60" s="356">
        <v>16.02000000000001</v>
      </c>
      <c r="G60" s="356">
        <v>56.919999999999995</v>
      </c>
      <c r="H60" s="356">
        <v>2.2767999999999997</v>
      </c>
      <c r="I60" s="356">
        <v>-5.0300000000000011</v>
      </c>
      <c r="J60" s="356">
        <v>-9.0500000000000025</v>
      </c>
      <c r="K60" s="358">
        <v>-15.830000000000011</v>
      </c>
      <c r="L60" s="356"/>
    </row>
    <row r="61" spans="1:12" x14ac:dyDescent="0.25">
      <c r="A61" s="355">
        <v>46198</v>
      </c>
      <c r="B61" s="356" t="s">
        <v>14</v>
      </c>
      <c r="C61" s="357" t="s">
        <v>124</v>
      </c>
      <c r="D61" s="357" t="s">
        <v>123</v>
      </c>
      <c r="E61" s="356">
        <v>2.9165000000000001</v>
      </c>
      <c r="F61" s="356">
        <v>9.7300000000000164</v>
      </c>
      <c r="G61" s="356">
        <v>66.650000000000006</v>
      </c>
      <c r="H61" s="356">
        <v>2.6660000000000004</v>
      </c>
      <c r="I61" s="356">
        <v>-5.0100000000000033</v>
      </c>
      <c r="J61" s="356">
        <v>-10.519999999999996</v>
      </c>
      <c r="K61" s="358">
        <v>-23.309999999999988</v>
      </c>
      <c r="L61" s="356"/>
    </row>
    <row r="62" spans="1:12" x14ac:dyDescent="0.25">
      <c r="A62" s="355">
        <v>46198</v>
      </c>
      <c r="B62" s="356" t="s">
        <v>15</v>
      </c>
      <c r="C62" s="357" t="s">
        <v>123</v>
      </c>
      <c r="D62" s="357" t="s">
        <v>148</v>
      </c>
      <c r="E62" s="356">
        <v>3.0009000000000001</v>
      </c>
      <c r="F62" s="356">
        <v>8.4400000000000031</v>
      </c>
      <c r="G62" s="356">
        <v>75.090000000000018</v>
      </c>
      <c r="H62" s="356">
        <v>3.0036000000000005</v>
      </c>
      <c r="I62" s="356">
        <v>-5.5199999999999694</v>
      </c>
      <c r="J62" s="356">
        <v>-11.299999999999999</v>
      </c>
      <c r="K62" s="358" t="s">
        <v>41</v>
      </c>
      <c r="L62" s="356"/>
    </row>
    <row r="63" spans="1:12" x14ac:dyDescent="0.25">
      <c r="A63" s="355">
        <v>46198</v>
      </c>
      <c r="B63" s="356"/>
      <c r="C63" s="357"/>
      <c r="D63" s="357"/>
      <c r="E63" s="356"/>
      <c r="F63" s="356"/>
      <c r="G63" s="356"/>
      <c r="H63" s="356"/>
      <c r="I63" s="356">
        <v>0</v>
      </c>
      <c r="J63" s="356">
        <v>0</v>
      </c>
      <c r="K63" s="358">
        <v>0</v>
      </c>
      <c r="L63" s="356"/>
    </row>
    <row r="64" spans="1:12" x14ac:dyDescent="0.25">
      <c r="A64" s="355">
        <v>46198</v>
      </c>
      <c r="B64" s="356"/>
      <c r="C64" s="357"/>
      <c r="D64" s="357"/>
      <c r="E64" s="356"/>
      <c r="F64" s="356"/>
      <c r="G64" s="356"/>
      <c r="H64" s="356"/>
      <c r="I64" s="356">
        <v>0</v>
      </c>
      <c r="J64" s="356">
        <v>0</v>
      </c>
      <c r="K64" s="358">
        <v>0</v>
      </c>
      <c r="L64" s="356"/>
    </row>
    <row r="65" spans="1:12" x14ac:dyDescent="0.25">
      <c r="A65" s="355">
        <v>46198</v>
      </c>
      <c r="B65" s="356"/>
      <c r="C65" s="357"/>
      <c r="D65" s="357"/>
      <c r="E65" s="356"/>
      <c r="F65" s="356"/>
      <c r="G65" s="356"/>
      <c r="H65" s="356"/>
      <c r="I65" s="356">
        <v>0</v>
      </c>
      <c r="J65" s="356">
        <v>0</v>
      </c>
      <c r="K65" s="358">
        <v>0</v>
      </c>
      <c r="L65" s="356"/>
    </row>
    <row r="66" spans="1:12" x14ac:dyDescent="0.25">
      <c r="A66" s="355">
        <v>46198</v>
      </c>
      <c r="B66" s="356"/>
      <c r="C66" s="357"/>
      <c r="D66" s="357"/>
      <c r="E66" s="356"/>
      <c r="F66" s="356"/>
      <c r="G66" s="356"/>
      <c r="H66" s="356"/>
      <c r="I66" s="356">
        <v>0</v>
      </c>
      <c r="J66" s="356">
        <v>0</v>
      </c>
      <c r="K66" s="358">
        <v>0</v>
      </c>
      <c r="L66" s="356"/>
    </row>
    <row r="67" spans="1:12" x14ac:dyDescent="0.25">
      <c r="A67" s="355">
        <v>46198</v>
      </c>
      <c r="B67" s="356"/>
      <c r="C67" s="357"/>
      <c r="D67" s="357"/>
      <c r="E67" s="356"/>
      <c r="F67" s="356"/>
      <c r="G67" s="356"/>
      <c r="H67" s="356"/>
      <c r="I67" s="356">
        <v>0</v>
      </c>
      <c r="J67" s="356">
        <v>0</v>
      </c>
      <c r="K67" s="358">
        <v>0</v>
      </c>
      <c r="L67" s="356"/>
    </row>
    <row r="68" spans="1:12" x14ac:dyDescent="0.25">
      <c r="A68" s="355">
        <v>46199</v>
      </c>
      <c r="B68" s="356" t="s">
        <v>19</v>
      </c>
      <c r="C68" s="357" t="s">
        <v>102</v>
      </c>
      <c r="D68" s="357" t="s">
        <v>115</v>
      </c>
      <c r="E68" s="356">
        <v>2.4116</v>
      </c>
      <c r="F68" s="356">
        <v>16.159999999999997</v>
      </c>
      <c r="G68" s="356">
        <v>16.159999999999997</v>
      </c>
      <c r="H68" s="356">
        <v>0.64639999999999986</v>
      </c>
      <c r="I68" s="356">
        <v>-0.76000000000000512</v>
      </c>
      <c r="J68" s="356">
        <v>-4.5199999999999907</v>
      </c>
      <c r="K68" s="358">
        <v>-0.24999999999999467</v>
      </c>
      <c r="L68" s="356"/>
    </row>
    <row r="69" spans="1:12" x14ac:dyDescent="0.25">
      <c r="A69" s="355">
        <v>46199</v>
      </c>
      <c r="B69" s="356" t="s">
        <v>10</v>
      </c>
      <c r="C69" s="357" t="s">
        <v>115</v>
      </c>
      <c r="D69" s="357" t="s">
        <v>116</v>
      </c>
      <c r="E69" s="356">
        <v>2.585</v>
      </c>
      <c r="F69" s="356">
        <v>17.34</v>
      </c>
      <c r="G69" s="356">
        <v>33.5</v>
      </c>
      <c r="H69" s="356">
        <v>1.34</v>
      </c>
      <c r="I69" s="356">
        <v>-0.76000000000000512</v>
      </c>
      <c r="J69" s="356">
        <v>-5.5200000000000138</v>
      </c>
      <c r="K69" s="358">
        <v>-2.2600000000000176</v>
      </c>
      <c r="L69" s="356"/>
    </row>
    <row r="70" spans="1:12" x14ac:dyDescent="0.25">
      <c r="A70" s="355">
        <v>46199</v>
      </c>
      <c r="B70" s="356" t="s">
        <v>11</v>
      </c>
      <c r="C70" s="357" t="s">
        <v>116</v>
      </c>
      <c r="D70" s="357" t="s">
        <v>117</v>
      </c>
      <c r="E70" s="356">
        <v>2.6488999999999998</v>
      </c>
      <c r="F70" s="356">
        <v>6.3899999999999846</v>
      </c>
      <c r="G70" s="356">
        <v>39.889999999999979</v>
      </c>
      <c r="H70" s="356">
        <v>1.5955999999999992</v>
      </c>
      <c r="I70" s="356">
        <v>-1.0099999999999998</v>
      </c>
      <c r="J70" s="356">
        <v>-7.2799999999999976</v>
      </c>
      <c r="K70" s="358">
        <v>-9.7800000000000331</v>
      </c>
      <c r="L70" s="356">
        <v>6.3899999999999846E-2</v>
      </c>
    </row>
    <row r="71" spans="1:12" x14ac:dyDescent="0.25">
      <c r="A71" s="355">
        <v>46199</v>
      </c>
      <c r="B71" s="356" t="s">
        <v>13</v>
      </c>
      <c r="C71" s="357" t="s">
        <v>117</v>
      </c>
      <c r="D71" s="357" t="s">
        <v>124</v>
      </c>
      <c r="E71" s="356">
        <v>2.8117000000000001</v>
      </c>
      <c r="F71" s="356">
        <v>16.28000000000003</v>
      </c>
      <c r="G71" s="356">
        <v>56.170000000000009</v>
      </c>
      <c r="H71" s="356">
        <v>2.2468000000000004</v>
      </c>
      <c r="I71" s="356">
        <v>-0.74999999999998401</v>
      </c>
      <c r="J71" s="356">
        <v>-8.0400000000000027</v>
      </c>
      <c r="K71" s="358">
        <v>-14.569999999999972</v>
      </c>
      <c r="L71" s="356"/>
    </row>
    <row r="72" spans="1:12" x14ac:dyDescent="0.25">
      <c r="A72" s="355">
        <v>46199</v>
      </c>
      <c r="B72" s="356" t="s">
        <v>14</v>
      </c>
      <c r="C72" s="357" t="s">
        <v>124</v>
      </c>
      <c r="D72" s="357" t="s">
        <v>123</v>
      </c>
      <c r="E72" s="356">
        <v>2.9138999999999999</v>
      </c>
      <c r="F72" s="356">
        <v>10.219999999999985</v>
      </c>
      <c r="G72" s="356">
        <v>66.389999999999986</v>
      </c>
      <c r="H72" s="356">
        <v>2.6555999999999993</v>
      </c>
      <c r="I72" s="356">
        <v>-0.26000000000001577</v>
      </c>
      <c r="J72" s="356">
        <v>-8.2800000000000207</v>
      </c>
      <c r="K72" s="358">
        <v>-21.57</v>
      </c>
      <c r="L72" s="356"/>
    </row>
    <row r="73" spans="1:12" x14ac:dyDescent="0.25">
      <c r="A73" s="355">
        <v>46199</v>
      </c>
      <c r="B73" s="356" t="s">
        <v>15</v>
      </c>
      <c r="C73" s="357" t="s">
        <v>123</v>
      </c>
      <c r="D73" s="357" t="s">
        <v>148</v>
      </c>
      <c r="E73" s="356">
        <v>2.9984000000000002</v>
      </c>
      <c r="F73" s="356">
        <v>8.4500000000000242</v>
      </c>
      <c r="G73" s="356">
        <v>74.840000000000018</v>
      </c>
      <c r="H73" s="356">
        <v>2.9936000000000007</v>
      </c>
      <c r="I73" s="356">
        <v>-0.24999999999999467</v>
      </c>
      <c r="J73" s="356">
        <v>-9.0399999999999814</v>
      </c>
      <c r="K73" s="358" t="s">
        <v>41</v>
      </c>
      <c r="L73" s="356"/>
    </row>
    <row r="74" spans="1:12" x14ac:dyDescent="0.25">
      <c r="A74" s="355">
        <v>46199</v>
      </c>
      <c r="B74" s="356"/>
      <c r="C74" s="357"/>
      <c r="D74" s="357"/>
      <c r="E74" s="356"/>
      <c r="F74" s="356"/>
      <c r="G74" s="356"/>
      <c r="H74" s="356"/>
      <c r="I74" s="356">
        <v>0</v>
      </c>
      <c r="J74" s="356">
        <v>0</v>
      </c>
      <c r="K74" s="358">
        <v>0</v>
      </c>
      <c r="L74" s="356"/>
    </row>
    <row r="75" spans="1:12" x14ac:dyDescent="0.25">
      <c r="A75" s="355">
        <v>46199</v>
      </c>
      <c r="B75" s="356"/>
      <c r="C75" s="357"/>
      <c r="D75" s="357"/>
      <c r="E75" s="356"/>
      <c r="F75" s="356"/>
      <c r="G75" s="356"/>
      <c r="H75" s="356"/>
      <c r="I75" s="356">
        <v>0</v>
      </c>
      <c r="J75" s="356">
        <v>0</v>
      </c>
      <c r="K75" s="358">
        <v>0</v>
      </c>
      <c r="L75" s="356"/>
    </row>
    <row r="76" spans="1:12" x14ac:dyDescent="0.25">
      <c r="A76" s="355">
        <v>46199</v>
      </c>
      <c r="B76" s="356"/>
      <c r="C76" s="357"/>
      <c r="D76" s="357"/>
      <c r="E76" s="356"/>
      <c r="F76" s="356"/>
      <c r="G76" s="356"/>
      <c r="H76" s="356"/>
      <c r="I76" s="356">
        <v>0</v>
      </c>
      <c r="J76" s="356">
        <v>0</v>
      </c>
      <c r="K76" s="358">
        <v>0</v>
      </c>
      <c r="L76" s="356"/>
    </row>
    <row r="77" spans="1:12" x14ac:dyDescent="0.25">
      <c r="A77" s="355">
        <v>46199</v>
      </c>
      <c r="B77" s="356"/>
      <c r="C77" s="357"/>
      <c r="D77" s="357"/>
      <c r="E77" s="356"/>
      <c r="F77" s="356"/>
      <c r="G77" s="356"/>
      <c r="H77" s="356"/>
      <c r="I77" s="356">
        <v>0</v>
      </c>
      <c r="J77" s="356">
        <v>0</v>
      </c>
      <c r="K77" s="358">
        <v>0</v>
      </c>
      <c r="L77" s="356"/>
    </row>
    <row r="78" spans="1:12" x14ac:dyDescent="0.25">
      <c r="A78" s="359">
        <v>46199</v>
      </c>
      <c r="B78" s="360"/>
      <c r="C78" s="361"/>
      <c r="D78" s="361"/>
      <c r="E78" s="360"/>
      <c r="F78" s="360"/>
      <c r="G78" s="360"/>
      <c r="H78" s="360"/>
      <c r="I78" s="360">
        <v>0</v>
      </c>
      <c r="J78" s="360">
        <v>0</v>
      </c>
      <c r="K78" s="362">
        <v>0</v>
      </c>
      <c r="L78" s="360"/>
    </row>
    <row r="79" spans="1:12" x14ac:dyDescent="0.25">
      <c r="A79" s="16">
        <v>46202</v>
      </c>
      <c r="B79" s="17" t="s">
        <v>19</v>
      </c>
      <c r="C79" s="122" t="s">
        <v>102</v>
      </c>
      <c r="D79" s="122" t="s">
        <v>115</v>
      </c>
      <c r="E79" s="17">
        <v>2.4291999999999998</v>
      </c>
      <c r="F79" s="17">
        <v>17.91999999999998</v>
      </c>
      <c r="G79" s="17">
        <v>17.91999999999998</v>
      </c>
      <c r="H79" s="17">
        <v>0.71679999999999922</v>
      </c>
      <c r="I79" s="17">
        <v>1.7599999999999838</v>
      </c>
      <c r="J79" s="17">
        <v>-3.2800000000000384</v>
      </c>
      <c r="K79" s="18">
        <v>-4.7700000000000298</v>
      </c>
      <c r="L79" s="17"/>
    </row>
    <row r="80" spans="1:12" x14ac:dyDescent="0.25">
      <c r="A80" s="16">
        <v>46202</v>
      </c>
      <c r="B80" s="17" t="s">
        <v>10</v>
      </c>
      <c r="C80" s="122" t="s">
        <v>115</v>
      </c>
      <c r="D80" s="122" t="s">
        <v>116</v>
      </c>
      <c r="E80" s="17">
        <v>2.6025999999999998</v>
      </c>
      <c r="F80" s="17">
        <v>17.34</v>
      </c>
      <c r="G80" s="17">
        <v>35.259999999999977</v>
      </c>
      <c r="H80" s="17">
        <v>1.410399999999999</v>
      </c>
      <c r="I80" s="17">
        <v>1.7599999999999838</v>
      </c>
      <c r="J80" s="17">
        <v>-4.2400000000000215</v>
      </c>
      <c r="K80" s="18">
        <v>-8.030000000000026</v>
      </c>
      <c r="L80" s="17"/>
    </row>
    <row r="81" spans="1:12" x14ac:dyDescent="0.25">
      <c r="A81" s="16">
        <v>46202</v>
      </c>
      <c r="B81" s="17" t="s">
        <v>11</v>
      </c>
      <c r="C81" s="122" t="s">
        <v>116</v>
      </c>
      <c r="D81" s="122" t="s">
        <v>117</v>
      </c>
      <c r="E81" s="17">
        <v>2.6665000000000001</v>
      </c>
      <c r="F81" s="17">
        <v>6.390000000000029</v>
      </c>
      <c r="G81" s="17">
        <v>41.650000000000006</v>
      </c>
      <c r="H81" s="17">
        <v>1.6660000000000001</v>
      </c>
      <c r="I81" s="17">
        <v>1.7600000000000282</v>
      </c>
      <c r="J81" s="17">
        <v>-6.0499999999999776</v>
      </c>
      <c r="K81" s="18">
        <v>-17.549999999999997</v>
      </c>
      <c r="L81" s="17">
        <v>6.390000000000029E-2</v>
      </c>
    </row>
    <row r="82" spans="1:12" x14ac:dyDescent="0.25">
      <c r="A82" s="16">
        <v>46202</v>
      </c>
      <c r="B82" s="17" t="s">
        <v>13</v>
      </c>
      <c r="C82" s="122" t="s">
        <v>117</v>
      </c>
      <c r="D82" s="122" t="s">
        <v>124</v>
      </c>
      <c r="E82" s="17">
        <v>2.8292999999999999</v>
      </c>
      <c r="F82" s="17">
        <v>16.279999999999983</v>
      </c>
      <c r="G82" s="17">
        <v>57.929999999999993</v>
      </c>
      <c r="H82" s="17">
        <v>2.3171999999999997</v>
      </c>
      <c r="I82" s="17">
        <v>1.7599999999999838</v>
      </c>
      <c r="J82" s="17">
        <v>-6.7699999999999871</v>
      </c>
      <c r="K82" s="18">
        <v>-19.589999999999996</v>
      </c>
      <c r="L82" s="17"/>
    </row>
    <row r="83" spans="1:12" x14ac:dyDescent="0.25">
      <c r="A83" s="16">
        <v>46202</v>
      </c>
      <c r="B83" s="17" t="s">
        <v>14</v>
      </c>
      <c r="C83" s="122" t="s">
        <v>124</v>
      </c>
      <c r="D83" s="122" t="s">
        <v>123</v>
      </c>
      <c r="E83" s="17">
        <v>2.9365000000000001</v>
      </c>
      <c r="F83" s="17">
        <v>10.720000000000018</v>
      </c>
      <c r="G83" s="17">
        <v>68.650000000000006</v>
      </c>
      <c r="H83" s="17">
        <v>2.7460000000000004</v>
      </c>
      <c r="I83" s="17">
        <v>2.2600000000000176</v>
      </c>
      <c r="J83" s="17">
        <v>-5.7500000000000107</v>
      </c>
      <c r="K83" s="18">
        <v>-24.069999999999993</v>
      </c>
      <c r="L83" s="17"/>
    </row>
    <row r="84" spans="1:12" x14ac:dyDescent="0.25">
      <c r="A84" s="16">
        <v>46202</v>
      </c>
      <c r="B84" s="17" t="s">
        <v>15</v>
      </c>
      <c r="C84" s="122" t="s">
        <v>123</v>
      </c>
      <c r="D84" s="122" t="s">
        <v>148</v>
      </c>
      <c r="E84" s="17">
        <v>3.0259999999999998</v>
      </c>
      <c r="F84" s="17">
        <v>8.9499999999999691</v>
      </c>
      <c r="G84" s="17">
        <v>77.59999999999998</v>
      </c>
      <c r="H84" s="17">
        <v>3.1039999999999992</v>
      </c>
      <c r="I84" s="17">
        <v>2.7599999999999625</v>
      </c>
      <c r="J84" s="17">
        <v>-5.8000000000000274</v>
      </c>
      <c r="K84" s="18">
        <v>-29.120000000000033</v>
      </c>
      <c r="L84" s="17"/>
    </row>
    <row r="85" spans="1:12" x14ac:dyDescent="0.25">
      <c r="A85" s="16">
        <v>46202</v>
      </c>
      <c r="B85" s="17"/>
      <c r="C85" s="122"/>
      <c r="D85" s="122"/>
      <c r="E85" s="17"/>
      <c r="F85" s="17"/>
      <c r="G85" s="17"/>
      <c r="H85" s="17"/>
      <c r="I85" s="17">
        <v>0</v>
      </c>
      <c r="J85" s="17">
        <v>0</v>
      </c>
      <c r="K85" s="18">
        <v>0</v>
      </c>
      <c r="L85" s="17"/>
    </row>
    <row r="86" spans="1:12" x14ac:dyDescent="0.25">
      <c r="A86" s="16">
        <v>46202</v>
      </c>
      <c r="B86" s="17"/>
      <c r="C86" s="122"/>
      <c r="D86" s="122"/>
      <c r="E86" s="17"/>
      <c r="F86" s="17"/>
      <c r="G86" s="17"/>
      <c r="H86" s="17"/>
      <c r="I86" s="17">
        <v>0</v>
      </c>
      <c r="J86" s="17">
        <v>0</v>
      </c>
      <c r="K86" s="18">
        <v>0</v>
      </c>
      <c r="L86" s="17"/>
    </row>
    <row r="87" spans="1:12" x14ac:dyDescent="0.25">
      <c r="A87" s="16">
        <v>46202</v>
      </c>
      <c r="B87" s="17"/>
      <c r="C87" s="122"/>
      <c r="D87" s="122"/>
      <c r="E87" s="17"/>
      <c r="F87" s="17"/>
      <c r="G87" s="17"/>
      <c r="H87" s="17"/>
      <c r="I87" s="17">
        <v>0</v>
      </c>
      <c r="J87" s="17">
        <v>0</v>
      </c>
      <c r="K87" s="18">
        <v>0</v>
      </c>
      <c r="L87" s="17"/>
    </row>
    <row r="88" spans="1:12" x14ac:dyDescent="0.25">
      <c r="A88" s="16">
        <v>46202</v>
      </c>
      <c r="B88" s="17"/>
      <c r="C88" s="122"/>
      <c r="D88" s="122"/>
      <c r="E88" s="17"/>
      <c r="F88" s="17"/>
      <c r="G88" s="17"/>
      <c r="H88" s="17"/>
      <c r="I88" s="17">
        <v>0</v>
      </c>
      <c r="J88" s="17">
        <v>0</v>
      </c>
      <c r="K88" s="18">
        <v>0</v>
      </c>
      <c r="L88" s="17"/>
    </row>
    <row r="89" spans="1:12" x14ac:dyDescent="0.25">
      <c r="A89" s="16">
        <v>46202</v>
      </c>
      <c r="B89" s="17"/>
      <c r="C89" s="122"/>
      <c r="D89" s="122"/>
      <c r="E89" s="17"/>
      <c r="F89" s="17"/>
      <c r="G89" s="17"/>
      <c r="H89" s="17"/>
      <c r="I89" s="17">
        <v>0</v>
      </c>
      <c r="J89" s="17">
        <v>0</v>
      </c>
      <c r="K89" s="18">
        <v>0</v>
      </c>
      <c r="L89" s="17"/>
    </row>
    <row r="90" spans="1:12" x14ac:dyDescent="0.25">
      <c r="A90" s="16">
        <v>46203</v>
      </c>
      <c r="B90" s="17" t="s">
        <v>19</v>
      </c>
      <c r="C90" s="122" t="s">
        <v>102</v>
      </c>
      <c r="D90" s="122" t="s">
        <v>115</v>
      </c>
      <c r="E90" s="17">
        <v>2.4392</v>
      </c>
      <c r="F90" s="17">
        <v>18.920000000000002</v>
      </c>
      <c r="G90" s="17">
        <v>18.920000000000002</v>
      </c>
      <c r="H90" s="17">
        <v>0.75680000000000003</v>
      </c>
      <c r="I90" s="17">
        <v>1.0000000000000231</v>
      </c>
      <c r="J90" s="17">
        <v>-1.7599999999999838</v>
      </c>
      <c r="K90" s="18" t="s">
        <v>41</v>
      </c>
      <c r="L90" s="17"/>
    </row>
    <row r="91" spans="1:12" x14ac:dyDescent="0.25">
      <c r="A91" s="16">
        <v>46203</v>
      </c>
      <c r="B91" s="17" t="s">
        <v>10</v>
      </c>
      <c r="C91" s="122" t="s">
        <v>115</v>
      </c>
      <c r="D91" s="122" t="s">
        <v>116</v>
      </c>
      <c r="E91" s="17">
        <v>2.6151</v>
      </c>
      <c r="F91" s="17">
        <v>17.589999999999996</v>
      </c>
      <c r="G91" s="17">
        <v>36.51</v>
      </c>
      <c r="H91" s="17">
        <v>1.4603999999999999</v>
      </c>
      <c r="I91" s="17">
        <v>1.2500000000000178</v>
      </c>
      <c r="J91" s="17">
        <v>-2.7600000000000069</v>
      </c>
      <c r="K91" s="18" t="s">
        <v>41</v>
      </c>
      <c r="L91" s="17"/>
    </row>
    <row r="92" spans="1:12" x14ac:dyDescent="0.25">
      <c r="A92" s="16">
        <v>46203</v>
      </c>
      <c r="B92" s="17" t="s">
        <v>11</v>
      </c>
      <c r="C92" s="122" t="s">
        <v>116</v>
      </c>
      <c r="D92" s="122" t="s">
        <v>117</v>
      </c>
      <c r="E92" s="17">
        <v>2.6840000000000002</v>
      </c>
      <c r="F92" s="17">
        <v>6.8900000000000183</v>
      </c>
      <c r="G92" s="17">
        <v>43.40000000000002</v>
      </c>
      <c r="H92" s="17">
        <v>1.7360000000000009</v>
      </c>
      <c r="I92" s="17">
        <v>1.7500000000000071</v>
      </c>
      <c r="J92" s="17">
        <v>-4.0200000000000014</v>
      </c>
      <c r="K92" s="18" t="s">
        <v>41</v>
      </c>
      <c r="L92" s="17">
        <v>6.8900000000000183E-2</v>
      </c>
    </row>
    <row r="93" spans="1:12" x14ac:dyDescent="0.25">
      <c r="A93" s="16">
        <v>46203</v>
      </c>
      <c r="B93" s="17" t="s">
        <v>13</v>
      </c>
      <c r="C93" s="122" t="s">
        <v>117</v>
      </c>
      <c r="D93" s="122" t="s">
        <v>124</v>
      </c>
      <c r="E93" s="17">
        <v>2.8443000000000001</v>
      </c>
      <c r="F93" s="17">
        <v>16.029999999999987</v>
      </c>
      <c r="G93" s="17">
        <v>59.430000000000007</v>
      </c>
      <c r="H93" s="17">
        <v>2.3772000000000002</v>
      </c>
      <c r="I93" s="17">
        <v>1.5000000000000124</v>
      </c>
      <c r="J93" s="17">
        <v>-4.2800000000000171</v>
      </c>
      <c r="K93" s="18" t="s">
        <v>41</v>
      </c>
      <c r="L93" s="17"/>
    </row>
    <row r="94" spans="1:12" x14ac:dyDescent="0.25">
      <c r="A94" s="16">
        <v>46203</v>
      </c>
      <c r="B94" s="17" t="s">
        <v>14</v>
      </c>
      <c r="C94" s="122" t="s">
        <v>124</v>
      </c>
      <c r="D94" s="122" t="s">
        <v>123</v>
      </c>
      <c r="E94" s="17">
        <v>2.9590999999999998</v>
      </c>
      <c r="F94" s="17">
        <v>11.479999999999979</v>
      </c>
      <c r="G94" s="17">
        <v>70.909999999999982</v>
      </c>
      <c r="H94" s="17">
        <v>2.8363999999999994</v>
      </c>
      <c r="I94" s="17">
        <v>2.2599999999999731</v>
      </c>
      <c r="J94" s="17">
        <v>-2.5000000000000355</v>
      </c>
      <c r="K94" s="18" t="s">
        <v>41</v>
      </c>
      <c r="L94" s="17"/>
    </row>
    <row r="95" spans="1:12" x14ac:dyDescent="0.25">
      <c r="A95" s="16">
        <v>46203</v>
      </c>
      <c r="B95" s="17" t="s">
        <v>15</v>
      </c>
      <c r="C95" s="122" t="s">
        <v>123</v>
      </c>
      <c r="D95" s="122" t="s">
        <v>148</v>
      </c>
      <c r="E95" s="17">
        <v>3.0560999999999998</v>
      </c>
      <c r="F95" s="17">
        <v>9.6999999999999975</v>
      </c>
      <c r="G95" s="17">
        <v>80.609999999999985</v>
      </c>
      <c r="H95" s="17">
        <v>3.2243999999999993</v>
      </c>
      <c r="I95" s="17">
        <v>3.0100000000000016</v>
      </c>
      <c r="J95" s="17">
        <v>-1.7600000000000282</v>
      </c>
      <c r="K95" s="18" t="s">
        <v>41</v>
      </c>
      <c r="L95" s="17"/>
    </row>
    <row r="96" spans="1:12" x14ac:dyDescent="0.25">
      <c r="A96" s="16">
        <v>46203</v>
      </c>
      <c r="B96" s="17"/>
      <c r="C96" s="122"/>
      <c r="D96" s="122"/>
      <c r="E96" s="17"/>
      <c r="F96" s="17"/>
      <c r="G96" s="17"/>
      <c r="H96" s="17"/>
      <c r="I96" s="17">
        <v>0</v>
      </c>
      <c r="J96" s="17">
        <v>0</v>
      </c>
      <c r="K96" s="18" t="s">
        <v>41</v>
      </c>
      <c r="L96" s="17"/>
    </row>
    <row r="97" spans="1:12" x14ac:dyDescent="0.25">
      <c r="A97" s="16">
        <v>46203</v>
      </c>
      <c r="B97" s="17"/>
      <c r="C97" s="122"/>
      <c r="D97" s="122"/>
      <c r="E97" s="17"/>
      <c r="F97" s="17"/>
      <c r="G97" s="17"/>
      <c r="H97" s="17"/>
      <c r="I97" s="17">
        <v>0</v>
      </c>
      <c r="J97" s="17">
        <v>0</v>
      </c>
      <c r="K97" s="18" t="s">
        <v>41</v>
      </c>
      <c r="L97" s="17"/>
    </row>
    <row r="98" spans="1:12" x14ac:dyDescent="0.25">
      <c r="A98" s="16">
        <v>46203</v>
      </c>
      <c r="B98" s="17"/>
      <c r="C98" s="122"/>
      <c r="D98" s="122"/>
      <c r="E98" s="17"/>
      <c r="F98" s="17"/>
      <c r="G98" s="17"/>
      <c r="H98" s="17"/>
      <c r="I98" s="17">
        <v>0</v>
      </c>
      <c r="J98" s="17">
        <v>0</v>
      </c>
      <c r="K98" s="18" t="s">
        <v>41</v>
      </c>
      <c r="L98" s="17"/>
    </row>
    <row r="99" spans="1:12" x14ac:dyDescent="0.25">
      <c r="A99" s="16">
        <v>46203</v>
      </c>
      <c r="B99" s="17"/>
      <c r="C99" s="122"/>
      <c r="D99" s="122"/>
      <c r="E99" s="17"/>
      <c r="F99" s="17"/>
      <c r="G99" s="17"/>
      <c r="H99" s="17"/>
      <c r="I99" s="17">
        <v>0</v>
      </c>
      <c r="J99" s="17">
        <v>0</v>
      </c>
      <c r="K99" s="18" t="s">
        <v>41</v>
      </c>
      <c r="L99" s="17"/>
    </row>
    <row r="100" spans="1:12" x14ac:dyDescent="0.25">
      <c r="A100" s="16">
        <v>46203</v>
      </c>
      <c r="B100" s="17"/>
      <c r="C100" s="122"/>
      <c r="D100" s="122"/>
      <c r="E100" s="17"/>
      <c r="F100" s="17"/>
      <c r="G100" s="17"/>
      <c r="H100" s="17"/>
      <c r="I100" s="17">
        <v>0</v>
      </c>
      <c r="J100" s="17">
        <v>0</v>
      </c>
      <c r="K100" s="18" t="s">
        <v>41</v>
      </c>
      <c r="L100" s="17"/>
    </row>
    <row r="101" spans="1:12" x14ac:dyDescent="0.25">
      <c r="A101" s="16">
        <v>46204</v>
      </c>
      <c r="B101" s="17" t="s">
        <v>19</v>
      </c>
      <c r="C101" s="122" t="s">
        <v>102</v>
      </c>
      <c r="D101" s="122" t="s">
        <v>115</v>
      </c>
      <c r="E101" s="17">
        <v>2.4493</v>
      </c>
      <c r="F101" s="17">
        <v>19.930000000000003</v>
      </c>
      <c r="G101" s="17">
        <v>19.930000000000003</v>
      </c>
      <c r="H101" s="17">
        <v>0.79720000000000013</v>
      </c>
      <c r="I101" s="17">
        <v>1.0099999999999998</v>
      </c>
      <c r="J101" s="17">
        <v>0.24999999999999467</v>
      </c>
      <c r="K101" s="18">
        <v>-3.0100000000000016</v>
      </c>
      <c r="L101" s="17"/>
    </row>
    <row r="102" spans="1:12" x14ac:dyDescent="0.25">
      <c r="A102" s="16">
        <v>46204</v>
      </c>
      <c r="B102" s="17" t="s">
        <v>10</v>
      </c>
      <c r="C102" s="122" t="s">
        <v>115</v>
      </c>
      <c r="D102" s="122" t="s">
        <v>116</v>
      </c>
      <c r="E102" s="17">
        <v>2.6252</v>
      </c>
      <c r="F102" s="17">
        <v>17.589999999999996</v>
      </c>
      <c r="G102" s="17">
        <v>37.519999999999996</v>
      </c>
      <c r="H102" s="17">
        <v>1.5007999999999999</v>
      </c>
      <c r="I102" s="17">
        <v>1.0099999999999998</v>
      </c>
      <c r="J102" s="17">
        <v>0</v>
      </c>
      <c r="K102" s="18">
        <v>-7.5299999999999923</v>
      </c>
      <c r="L102" s="17"/>
    </row>
    <row r="103" spans="1:12" x14ac:dyDescent="0.25">
      <c r="A103" s="16">
        <v>46204</v>
      </c>
      <c r="B103" s="17" t="s">
        <v>11</v>
      </c>
      <c r="C103" s="122" t="s">
        <v>116</v>
      </c>
      <c r="D103" s="122" t="s">
        <v>117</v>
      </c>
      <c r="E103" s="17">
        <v>2.6966000000000001</v>
      </c>
      <c r="F103" s="17">
        <v>7.140000000000013</v>
      </c>
      <c r="G103" s="17">
        <v>44.660000000000011</v>
      </c>
      <c r="H103" s="17">
        <v>1.7864000000000004</v>
      </c>
      <c r="I103" s="17">
        <v>1.2599999999999945</v>
      </c>
      <c r="J103" s="17">
        <v>-0.99999999999997868</v>
      </c>
      <c r="K103" s="18">
        <v>-15.300000000000002</v>
      </c>
      <c r="L103" s="17">
        <v>7.140000000000013E-2</v>
      </c>
    </row>
    <row r="104" spans="1:12" x14ac:dyDescent="0.25">
      <c r="A104" s="16">
        <v>46204</v>
      </c>
      <c r="B104" s="17" t="s">
        <v>13</v>
      </c>
      <c r="C104" s="122" t="s">
        <v>117</v>
      </c>
      <c r="D104" s="122" t="s">
        <v>124</v>
      </c>
      <c r="E104" s="17">
        <v>2.8593999999999999</v>
      </c>
      <c r="F104" s="17">
        <v>16.279999999999983</v>
      </c>
      <c r="G104" s="17">
        <v>60.94</v>
      </c>
      <c r="H104" s="17">
        <v>2.4375999999999998</v>
      </c>
      <c r="I104" s="17">
        <v>1.5099999999999891</v>
      </c>
      <c r="J104" s="17">
        <v>-1.0099999999999998</v>
      </c>
      <c r="K104" s="18">
        <v>-17.839999999999989</v>
      </c>
      <c r="L104" s="17"/>
    </row>
    <row r="105" spans="1:12" x14ac:dyDescent="0.25">
      <c r="A105" s="16">
        <v>46204</v>
      </c>
      <c r="B105" s="17" t="s">
        <v>14</v>
      </c>
      <c r="C105" s="122" t="s">
        <v>124</v>
      </c>
      <c r="D105" s="122" t="s">
        <v>123</v>
      </c>
      <c r="E105" s="17">
        <v>2.9790999999999999</v>
      </c>
      <c r="F105" s="17">
        <v>11.969999999999992</v>
      </c>
      <c r="G105" s="17">
        <v>72.909999999999982</v>
      </c>
      <c r="H105" s="17">
        <v>2.9163999999999994</v>
      </c>
      <c r="I105" s="17">
        <v>2.0000000000000018</v>
      </c>
      <c r="J105" s="17">
        <v>1.2499999999999734</v>
      </c>
      <c r="K105" s="18">
        <v>-21.560000000000024</v>
      </c>
      <c r="L105" s="17"/>
    </row>
    <row r="106" spans="1:12" x14ac:dyDescent="0.25">
      <c r="A106" s="16">
        <v>46204</v>
      </c>
      <c r="B106" s="17" t="s">
        <v>15</v>
      </c>
      <c r="C106" s="122" t="s">
        <v>123</v>
      </c>
      <c r="D106" s="122" t="s">
        <v>148</v>
      </c>
      <c r="E106" s="17">
        <v>3.0762</v>
      </c>
      <c r="F106" s="17">
        <v>9.7100000000000186</v>
      </c>
      <c r="G106" s="17">
        <v>82.62</v>
      </c>
      <c r="H106" s="17">
        <v>3.3048000000000002</v>
      </c>
      <c r="I106" s="17">
        <v>2.0100000000000229</v>
      </c>
      <c r="J106" s="17">
        <v>2.0100000000000229</v>
      </c>
      <c r="K106" s="18">
        <v>-25.859999999999992</v>
      </c>
      <c r="L106" s="17"/>
    </row>
    <row r="107" spans="1:12" x14ac:dyDescent="0.25">
      <c r="A107" s="16">
        <v>46204</v>
      </c>
      <c r="B107" s="17"/>
      <c r="C107" s="122"/>
      <c r="D107" s="122"/>
      <c r="E107" s="17"/>
      <c r="F107" s="17"/>
      <c r="G107" s="17"/>
      <c r="H107" s="17"/>
      <c r="I107" s="17">
        <v>0</v>
      </c>
      <c r="J107" s="17">
        <v>0</v>
      </c>
      <c r="K107" s="18">
        <v>0</v>
      </c>
      <c r="L107" s="17"/>
    </row>
    <row r="108" spans="1:12" x14ac:dyDescent="0.25">
      <c r="A108" s="16">
        <v>46204</v>
      </c>
      <c r="B108" s="17"/>
      <c r="C108" s="122"/>
      <c r="D108" s="122"/>
      <c r="E108" s="17"/>
      <c r="F108" s="17"/>
      <c r="G108" s="17"/>
      <c r="H108" s="17"/>
      <c r="I108" s="17">
        <v>0</v>
      </c>
      <c r="J108" s="17">
        <v>0</v>
      </c>
      <c r="K108" s="18">
        <v>0</v>
      </c>
      <c r="L108" s="17"/>
    </row>
    <row r="109" spans="1:12" x14ac:dyDescent="0.25">
      <c r="A109" s="16">
        <v>46204</v>
      </c>
      <c r="B109" s="17"/>
      <c r="C109" s="122"/>
      <c r="D109" s="122"/>
      <c r="E109" s="17"/>
      <c r="F109" s="17"/>
      <c r="G109" s="17"/>
      <c r="H109" s="17"/>
      <c r="I109" s="17">
        <v>0</v>
      </c>
      <c r="J109" s="17">
        <v>0</v>
      </c>
      <c r="K109" s="18">
        <v>0</v>
      </c>
      <c r="L109" s="17"/>
    </row>
    <row r="110" spans="1:12" x14ac:dyDescent="0.25">
      <c r="A110" s="16">
        <v>46204</v>
      </c>
      <c r="B110" s="17"/>
      <c r="C110" s="122"/>
      <c r="D110" s="122"/>
      <c r="E110" s="17"/>
      <c r="F110" s="17"/>
      <c r="G110" s="17"/>
      <c r="H110" s="17"/>
      <c r="I110" s="17">
        <v>0</v>
      </c>
      <c r="J110" s="17">
        <v>0</v>
      </c>
      <c r="K110" s="18">
        <v>0</v>
      </c>
      <c r="L110" s="17"/>
    </row>
    <row r="111" spans="1:12" x14ac:dyDescent="0.25">
      <c r="A111" s="16">
        <v>46204</v>
      </c>
      <c r="B111" s="17"/>
      <c r="C111" s="122"/>
      <c r="D111" s="122"/>
      <c r="E111" s="17"/>
      <c r="F111" s="17"/>
      <c r="G111" s="17"/>
      <c r="H111" s="17"/>
      <c r="I111" s="17">
        <v>0</v>
      </c>
      <c r="J111" s="17">
        <v>0</v>
      </c>
      <c r="K111" s="18">
        <v>0</v>
      </c>
      <c r="L111" s="17"/>
    </row>
    <row r="112" spans="1:12" x14ac:dyDescent="0.25">
      <c r="A112" s="16">
        <v>46205</v>
      </c>
      <c r="B112" s="17" t="s">
        <v>19</v>
      </c>
      <c r="C112" s="122" t="s">
        <v>102</v>
      </c>
      <c r="D112" s="122" t="s">
        <v>115</v>
      </c>
      <c r="E112" s="17">
        <v>2.4441999999999999</v>
      </c>
      <c r="F112" s="17">
        <v>19.419999999999995</v>
      </c>
      <c r="G112" s="17">
        <v>19.419999999999995</v>
      </c>
      <c r="H112" s="17">
        <v>0.77679999999999982</v>
      </c>
      <c r="I112" s="17">
        <v>-0.51000000000001044</v>
      </c>
      <c r="J112" s="17">
        <v>2.4999999999999911</v>
      </c>
      <c r="K112" s="18">
        <v>-3.7700000000000067</v>
      </c>
      <c r="L112" s="17"/>
    </row>
    <row r="113" spans="1:12" x14ac:dyDescent="0.25">
      <c r="A113" s="16">
        <v>46205</v>
      </c>
      <c r="B113" s="17" t="s">
        <v>10</v>
      </c>
      <c r="C113" s="122" t="s">
        <v>115</v>
      </c>
      <c r="D113" s="122" t="s">
        <v>116</v>
      </c>
      <c r="E113" s="17">
        <v>2.6202000000000001</v>
      </c>
      <c r="F113" s="17">
        <v>17.600000000000016</v>
      </c>
      <c r="G113" s="17">
        <v>37.02000000000001</v>
      </c>
      <c r="H113" s="17">
        <v>1.4808000000000003</v>
      </c>
      <c r="I113" s="17">
        <v>-0.49999999999998934</v>
      </c>
      <c r="J113" s="17">
        <v>2.7600000000000069</v>
      </c>
      <c r="K113" s="18">
        <v>-6.7699999999999871</v>
      </c>
      <c r="L113" s="17"/>
    </row>
    <row r="114" spans="1:12" x14ac:dyDescent="0.25">
      <c r="A114" s="16">
        <v>46205</v>
      </c>
      <c r="B114" s="17" t="s">
        <v>11</v>
      </c>
      <c r="C114" s="122" t="s">
        <v>116</v>
      </c>
      <c r="D114" s="122" t="s">
        <v>117</v>
      </c>
      <c r="E114" s="17">
        <v>2.6941000000000002</v>
      </c>
      <c r="F114" s="17">
        <v>7.3900000000000077</v>
      </c>
      <c r="G114" s="17">
        <v>44.410000000000018</v>
      </c>
      <c r="H114" s="17">
        <v>1.7764000000000006</v>
      </c>
      <c r="I114" s="17">
        <v>-0.24999999999999467</v>
      </c>
      <c r="J114" s="17">
        <v>3.5100000000000353</v>
      </c>
      <c r="K114" s="18">
        <v>-14.290000000000003</v>
      </c>
      <c r="L114" s="17">
        <v>7.3900000000000077E-2</v>
      </c>
    </row>
    <row r="115" spans="1:12" x14ac:dyDescent="0.25">
      <c r="A115" s="16">
        <v>46205</v>
      </c>
      <c r="B115" s="17" t="s">
        <v>13</v>
      </c>
      <c r="C115" s="122" t="s">
        <v>117</v>
      </c>
      <c r="D115" s="122" t="s">
        <v>124</v>
      </c>
      <c r="E115" s="17">
        <v>2.8593999999999999</v>
      </c>
      <c r="F115" s="17">
        <v>16.52999999999998</v>
      </c>
      <c r="G115" s="17">
        <v>60.94</v>
      </c>
      <c r="H115" s="17">
        <v>2.4375999999999998</v>
      </c>
      <c r="I115" s="17">
        <v>0</v>
      </c>
      <c r="J115" s="17">
        <v>4.0200000000000014</v>
      </c>
      <c r="K115" s="18">
        <v>-17.090000000000003</v>
      </c>
      <c r="L115" s="17"/>
    </row>
    <row r="116" spans="1:12" x14ac:dyDescent="0.25">
      <c r="A116" s="16">
        <v>46205</v>
      </c>
      <c r="B116" s="17" t="s">
        <v>14</v>
      </c>
      <c r="C116" s="122" t="s">
        <v>124</v>
      </c>
      <c r="D116" s="122" t="s">
        <v>123</v>
      </c>
      <c r="E116" s="17">
        <v>2.9866000000000001</v>
      </c>
      <c r="F116" s="17">
        <v>12.72000000000002</v>
      </c>
      <c r="G116" s="17">
        <v>73.660000000000011</v>
      </c>
      <c r="H116" s="17">
        <v>2.9464000000000006</v>
      </c>
      <c r="I116" s="17">
        <v>0.75000000000002842</v>
      </c>
      <c r="J116" s="17">
        <v>7.0100000000000051</v>
      </c>
      <c r="K116" s="18">
        <v>-19.559999999999977</v>
      </c>
      <c r="L116" s="17"/>
    </row>
    <row r="117" spans="1:12" x14ac:dyDescent="0.25">
      <c r="A117" s="16">
        <v>46205</v>
      </c>
      <c r="B117" s="17" t="s">
        <v>15</v>
      </c>
      <c r="C117" s="122" t="s">
        <v>123</v>
      </c>
      <c r="D117" s="122" t="s">
        <v>148</v>
      </c>
      <c r="E117" s="17">
        <v>3.0836999999999999</v>
      </c>
      <c r="F117" s="17">
        <v>9.7099999999999742</v>
      </c>
      <c r="G117" s="17">
        <v>83.36999999999999</v>
      </c>
      <c r="H117" s="17">
        <v>3.3347999999999995</v>
      </c>
      <c r="I117" s="17">
        <v>0.74999999999998401</v>
      </c>
      <c r="J117" s="17">
        <v>8.2799999999999763</v>
      </c>
      <c r="K117" s="18">
        <v>-23.10000000000003</v>
      </c>
      <c r="L117" s="17"/>
    </row>
    <row r="118" spans="1:12" x14ac:dyDescent="0.25">
      <c r="A118" s="16">
        <v>46205</v>
      </c>
      <c r="B118" s="17"/>
      <c r="C118" s="122"/>
      <c r="D118" s="122"/>
      <c r="E118" s="17"/>
      <c r="F118" s="17"/>
      <c r="G118" s="17"/>
      <c r="H118" s="17"/>
      <c r="I118" s="17">
        <v>0</v>
      </c>
      <c r="J118" s="17">
        <v>0</v>
      </c>
      <c r="K118" s="18">
        <v>0</v>
      </c>
      <c r="L118" s="17"/>
    </row>
    <row r="119" spans="1:12" x14ac:dyDescent="0.25">
      <c r="A119" s="16">
        <v>46205</v>
      </c>
      <c r="B119" s="17"/>
      <c r="C119" s="122"/>
      <c r="D119" s="122"/>
      <c r="E119" s="17"/>
      <c r="F119" s="17"/>
      <c r="G119" s="17"/>
      <c r="H119" s="17"/>
      <c r="I119" s="17">
        <v>0</v>
      </c>
      <c r="J119" s="17">
        <v>0</v>
      </c>
      <c r="K119" s="18">
        <v>0</v>
      </c>
      <c r="L119" s="17"/>
    </row>
    <row r="120" spans="1:12" x14ac:dyDescent="0.25">
      <c r="A120" s="16">
        <v>46205</v>
      </c>
      <c r="B120" s="17"/>
      <c r="C120" s="122"/>
      <c r="D120" s="122"/>
      <c r="E120" s="17"/>
      <c r="F120" s="17"/>
      <c r="G120" s="17"/>
      <c r="H120" s="17"/>
      <c r="I120" s="17">
        <v>0</v>
      </c>
      <c r="J120" s="17">
        <v>0</v>
      </c>
      <c r="K120" s="18">
        <v>0</v>
      </c>
      <c r="L120" s="17"/>
    </row>
    <row r="121" spans="1:12" x14ac:dyDescent="0.25">
      <c r="A121" s="16">
        <v>46205</v>
      </c>
      <c r="B121" s="17"/>
      <c r="C121" s="122"/>
      <c r="D121" s="122"/>
      <c r="E121" s="17"/>
      <c r="F121" s="17"/>
      <c r="G121" s="17"/>
      <c r="H121" s="17"/>
      <c r="I121" s="17">
        <v>0</v>
      </c>
      <c r="J121" s="17">
        <v>0</v>
      </c>
      <c r="K121" s="18">
        <v>0</v>
      </c>
      <c r="L121" s="17"/>
    </row>
    <row r="122" spans="1:12" x14ac:dyDescent="0.25">
      <c r="A122" s="16">
        <v>46205</v>
      </c>
      <c r="B122" s="17"/>
      <c r="C122" s="122"/>
      <c r="D122" s="122"/>
      <c r="E122" s="17"/>
      <c r="F122" s="17"/>
      <c r="G122" s="17"/>
      <c r="H122" s="17"/>
      <c r="I122" s="17">
        <v>0</v>
      </c>
      <c r="J122" s="17">
        <v>0</v>
      </c>
      <c r="K122" s="18">
        <v>0</v>
      </c>
      <c r="L122" s="17"/>
    </row>
    <row r="123" spans="1:12" x14ac:dyDescent="0.25">
      <c r="A123" s="16">
        <v>46206</v>
      </c>
      <c r="B123" s="17" t="s">
        <v>19</v>
      </c>
      <c r="C123" s="122" t="s">
        <v>102</v>
      </c>
      <c r="D123" s="122" t="s">
        <v>115</v>
      </c>
      <c r="E123" s="17">
        <v>2.4518</v>
      </c>
      <c r="F123" s="17">
        <v>20.18</v>
      </c>
      <c r="G123" s="17">
        <v>20.18</v>
      </c>
      <c r="H123" s="17">
        <v>0.80720000000000003</v>
      </c>
      <c r="I123" s="17">
        <v>0.76000000000000512</v>
      </c>
      <c r="J123" s="17">
        <v>4.0200000000000014</v>
      </c>
      <c r="K123" s="18">
        <v>-2.5100000000000122</v>
      </c>
      <c r="L123" s="17"/>
    </row>
    <row r="124" spans="1:12" x14ac:dyDescent="0.25">
      <c r="A124" s="16">
        <v>46206</v>
      </c>
      <c r="B124" s="17" t="s">
        <v>10</v>
      </c>
      <c r="C124" s="122" t="s">
        <v>115</v>
      </c>
      <c r="D124" s="122" t="s">
        <v>116</v>
      </c>
      <c r="E124" s="17">
        <v>2.6301999999999999</v>
      </c>
      <c r="F124" s="17">
        <v>17.839999999999989</v>
      </c>
      <c r="G124" s="17">
        <v>38.019999999999989</v>
      </c>
      <c r="H124" s="17">
        <v>1.5207999999999995</v>
      </c>
      <c r="I124" s="17">
        <v>0.99999999999997868</v>
      </c>
      <c r="J124" s="17">
        <v>4.5199999999999907</v>
      </c>
      <c r="K124" s="18">
        <v>-5.2700000000000191</v>
      </c>
      <c r="L124" s="17"/>
    </row>
    <row r="125" spans="1:12" x14ac:dyDescent="0.25">
      <c r="A125" s="16">
        <v>46206</v>
      </c>
      <c r="B125" s="17" t="s">
        <v>11</v>
      </c>
      <c r="C125" s="122" t="s">
        <v>116</v>
      </c>
      <c r="D125" s="122" t="s">
        <v>117</v>
      </c>
      <c r="E125" s="17">
        <v>2.7016</v>
      </c>
      <c r="F125" s="17">
        <v>7.140000000000013</v>
      </c>
      <c r="G125" s="17">
        <v>45.16</v>
      </c>
      <c r="H125" s="17">
        <v>1.8063999999999998</v>
      </c>
      <c r="I125" s="17">
        <v>0.74999999999998401</v>
      </c>
      <c r="J125" s="17">
        <v>5.2700000000000191</v>
      </c>
      <c r="K125" s="18">
        <v>-13.28999999999998</v>
      </c>
      <c r="L125" s="17">
        <v>7.140000000000013E-2</v>
      </c>
    </row>
    <row r="126" spans="1:12" x14ac:dyDescent="0.25">
      <c r="A126" s="16">
        <v>46206</v>
      </c>
      <c r="B126" s="17" t="s">
        <v>13</v>
      </c>
      <c r="C126" s="122" t="s">
        <v>117</v>
      </c>
      <c r="D126" s="122" t="s">
        <v>124</v>
      </c>
      <c r="E126" s="17">
        <v>2.8618999999999999</v>
      </c>
      <c r="F126" s="17">
        <v>16.029999999999987</v>
      </c>
      <c r="G126" s="17">
        <v>61.189999999999991</v>
      </c>
      <c r="H126" s="17">
        <v>2.4475999999999996</v>
      </c>
      <c r="I126" s="17">
        <v>0.24999999999999467</v>
      </c>
      <c r="J126" s="17">
        <v>5.01999999999998</v>
      </c>
      <c r="K126" s="18">
        <v>-16.590000000000018</v>
      </c>
      <c r="L126" s="17"/>
    </row>
    <row r="127" spans="1:12" x14ac:dyDescent="0.25">
      <c r="A127" s="16">
        <v>46206</v>
      </c>
      <c r="B127" s="17" t="s">
        <v>14</v>
      </c>
      <c r="C127" s="122" t="s">
        <v>124</v>
      </c>
      <c r="D127" s="122" t="s">
        <v>123</v>
      </c>
      <c r="E127" s="17">
        <v>2.9891999999999999</v>
      </c>
      <c r="F127" s="17">
        <v>12.729999999999997</v>
      </c>
      <c r="G127" s="17">
        <v>73.919999999999987</v>
      </c>
      <c r="H127" s="17">
        <v>2.9567999999999994</v>
      </c>
      <c r="I127" s="17">
        <v>0.25999999999997137</v>
      </c>
      <c r="J127" s="17">
        <v>7.5299999999999923</v>
      </c>
      <c r="K127" s="18">
        <v>-18.800000000000018</v>
      </c>
      <c r="L127" s="17"/>
    </row>
    <row r="128" spans="1:12" x14ac:dyDescent="0.25">
      <c r="A128" s="16">
        <v>46206</v>
      </c>
      <c r="B128" s="17" t="s">
        <v>15</v>
      </c>
      <c r="C128" s="122" t="s">
        <v>123</v>
      </c>
      <c r="D128" s="122" t="s">
        <v>148</v>
      </c>
      <c r="E128" s="17">
        <v>3.0912999999999999</v>
      </c>
      <c r="F128" s="17">
        <v>10.210000000000008</v>
      </c>
      <c r="G128" s="17">
        <v>84.13</v>
      </c>
      <c r="H128" s="17">
        <v>3.3651999999999997</v>
      </c>
      <c r="I128" s="17">
        <v>0.76000000000000512</v>
      </c>
      <c r="J128" s="17">
        <v>9.2899999999999761</v>
      </c>
      <c r="K128" s="18">
        <v>-21.839999999999993</v>
      </c>
      <c r="L128" s="17"/>
    </row>
    <row r="129" spans="1:12" x14ac:dyDescent="0.25">
      <c r="A129" s="16">
        <v>46206</v>
      </c>
      <c r="B129" s="17"/>
      <c r="C129" s="122"/>
      <c r="D129" s="122"/>
      <c r="E129" s="17"/>
      <c r="F129" s="17"/>
      <c r="G129" s="17"/>
      <c r="H129" s="17"/>
      <c r="I129" s="17">
        <v>0</v>
      </c>
      <c r="J129" s="17">
        <v>0</v>
      </c>
      <c r="K129" s="18">
        <v>0</v>
      </c>
      <c r="L129" s="17"/>
    </row>
    <row r="130" spans="1:12" x14ac:dyDescent="0.25">
      <c r="A130" s="16">
        <v>46206</v>
      </c>
      <c r="B130" s="17"/>
      <c r="C130" s="122"/>
      <c r="D130" s="122"/>
      <c r="E130" s="17"/>
      <c r="F130" s="17"/>
      <c r="G130" s="17"/>
      <c r="H130" s="17"/>
      <c r="I130" s="17">
        <v>0</v>
      </c>
      <c r="J130" s="17">
        <v>0</v>
      </c>
      <c r="K130" s="18">
        <v>0</v>
      </c>
      <c r="L130" s="17"/>
    </row>
    <row r="131" spans="1:12" x14ac:dyDescent="0.25">
      <c r="A131" s="16">
        <v>46206</v>
      </c>
      <c r="B131" s="17"/>
      <c r="C131" s="122"/>
      <c r="D131" s="122"/>
      <c r="E131" s="17"/>
      <c r="F131" s="17"/>
      <c r="G131" s="17"/>
      <c r="H131" s="17"/>
      <c r="I131" s="17">
        <v>0</v>
      </c>
      <c r="J131" s="17">
        <v>0</v>
      </c>
      <c r="K131" s="18">
        <v>0</v>
      </c>
      <c r="L131" s="17"/>
    </row>
    <row r="132" spans="1:12" x14ac:dyDescent="0.25">
      <c r="A132" s="16">
        <v>46206</v>
      </c>
      <c r="B132" s="17"/>
      <c r="C132" s="122"/>
      <c r="D132" s="122"/>
      <c r="E132" s="17"/>
      <c r="F132" s="17"/>
      <c r="G132" s="17"/>
      <c r="H132" s="17"/>
      <c r="I132" s="17">
        <v>0</v>
      </c>
      <c r="J132" s="17">
        <v>0</v>
      </c>
      <c r="K132" s="18">
        <v>0</v>
      </c>
      <c r="L132" s="17"/>
    </row>
    <row r="133" spans="1:12" x14ac:dyDescent="0.25">
      <c r="A133" s="16">
        <v>46206</v>
      </c>
      <c r="B133" s="17"/>
      <c r="C133" s="122"/>
      <c r="D133" s="122"/>
      <c r="E133" s="17"/>
      <c r="F133" s="17"/>
      <c r="G133" s="17"/>
      <c r="H133" s="17"/>
      <c r="I133" s="17">
        <v>0</v>
      </c>
      <c r="J133" s="17">
        <v>0</v>
      </c>
      <c r="K133" s="18">
        <v>0</v>
      </c>
      <c r="L133" s="17"/>
    </row>
    <row r="134" spans="1:12" x14ac:dyDescent="0.25">
      <c r="A134" s="420">
        <v>46209</v>
      </c>
      <c r="B134" s="421" t="s">
        <v>19</v>
      </c>
      <c r="C134" s="422" t="s">
        <v>102</v>
      </c>
      <c r="D134" s="422" t="s">
        <v>115</v>
      </c>
      <c r="E134" s="421">
        <v>2.4317000000000002</v>
      </c>
      <c r="F134" s="421">
        <v>18.170000000000019</v>
      </c>
      <c r="G134" s="421">
        <v>18.170000000000019</v>
      </c>
      <c r="H134" s="421">
        <v>0.72680000000000078</v>
      </c>
      <c r="I134" s="421">
        <v>-2.0099999999999785</v>
      </c>
      <c r="J134" s="421">
        <v>0.25000000000003908</v>
      </c>
      <c r="K134" s="423">
        <v>-4.5199999999999907</v>
      </c>
      <c r="L134" s="421"/>
    </row>
    <row r="135" spans="1:12" x14ac:dyDescent="0.25">
      <c r="A135" s="420">
        <v>46209</v>
      </c>
      <c r="B135" s="421" t="s">
        <v>10</v>
      </c>
      <c r="C135" s="422" t="s">
        <v>115</v>
      </c>
      <c r="D135" s="422" t="s">
        <v>116</v>
      </c>
      <c r="E135" s="421">
        <v>2.6051000000000002</v>
      </c>
      <c r="F135" s="421">
        <v>17.34</v>
      </c>
      <c r="G135" s="421">
        <v>35.510000000000019</v>
      </c>
      <c r="H135" s="421">
        <v>1.4204000000000008</v>
      </c>
      <c r="I135" s="421">
        <v>-2.5099999999999678</v>
      </c>
      <c r="J135" s="421">
        <v>0.25000000000003908</v>
      </c>
      <c r="K135" s="423">
        <v>-7.7799999999999869</v>
      </c>
      <c r="L135" s="421"/>
    </row>
    <row r="136" spans="1:12" x14ac:dyDescent="0.25">
      <c r="A136" s="420">
        <v>46209</v>
      </c>
      <c r="B136" s="421" t="s">
        <v>11</v>
      </c>
      <c r="C136" s="422" t="s">
        <v>116</v>
      </c>
      <c r="D136" s="422" t="s">
        <v>117</v>
      </c>
      <c r="E136" s="421">
        <v>2.6840000000000002</v>
      </c>
      <c r="F136" s="421">
        <v>7.889999999999997</v>
      </c>
      <c r="G136" s="421">
        <v>43.40000000000002</v>
      </c>
      <c r="H136" s="421">
        <v>1.7360000000000009</v>
      </c>
      <c r="I136" s="421">
        <v>-1.7599999999999838</v>
      </c>
      <c r="J136" s="421">
        <v>1.7500000000000071</v>
      </c>
      <c r="K136" s="423">
        <v>-15.049999999999963</v>
      </c>
      <c r="L136" s="421">
        <v>7.889999999999997E-2</v>
      </c>
    </row>
    <row r="137" spans="1:12" x14ac:dyDescent="0.25">
      <c r="A137" s="420">
        <v>46209</v>
      </c>
      <c r="B137" s="421" t="s">
        <v>13</v>
      </c>
      <c r="C137" s="422" t="s">
        <v>117</v>
      </c>
      <c r="D137" s="422" t="s">
        <v>124</v>
      </c>
      <c r="E137" s="421">
        <v>2.8393000000000002</v>
      </c>
      <c r="F137" s="421">
        <v>15.53</v>
      </c>
      <c r="G137" s="421">
        <v>58.930000000000014</v>
      </c>
      <c r="H137" s="421">
        <v>2.3572000000000006</v>
      </c>
      <c r="I137" s="421">
        <v>-2.2599999999999731</v>
      </c>
      <c r="J137" s="421">
        <v>1.0000000000000231</v>
      </c>
      <c r="K137" s="423">
        <v>-18.849999999999987</v>
      </c>
      <c r="L137" s="421"/>
    </row>
    <row r="138" spans="1:12" x14ac:dyDescent="0.25">
      <c r="A138" s="420">
        <v>46209</v>
      </c>
      <c r="B138" s="421" t="s">
        <v>14</v>
      </c>
      <c r="C138" s="422" t="s">
        <v>124</v>
      </c>
      <c r="D138" s="422" t="s">
        <v>123</v>
      </c>
      <c r="E138" s="421">
        <v>2.9641000000000002</v>
      </c>
      <c r="F138" s="421">
        <v>12.480000000000002</v>
      </c>
      <c r="G138" s="421">
        <v>71.410000000000025</v>
      </c>
      <c r="H138" s="421">
        <v>2.8564000000000012</v>
      </c>
      <c r="I138" s="421">
        <v>-2.5099999999999678</v>
      </c>
      <c r="J138" s="421">
        <v>2.7600000000000069</v>
      </c>
      <c r="K138" s="423">
        <v>-21.309999999999985</v>
      </c>
      <c r="L138" s="421"/>
    </row>
    <row r="139" spans="1:12" x14ac:dyDescent="0.25">
      <c r="A139" s="420">
        <v>46209</v>
      </c>
      <c r="B139" s="421" t="s">
        <v>15</v>
      </c>
      <c r="C139" s="422" t="s">
        <v>123</v>
      </c>
      <c r="D139" s="422" t="s">
        <v>148</v>
      </c>
      <c r="E139" s="421">
        <v>3.0661999999999998</v>
      </c>
      <c r="F139" s="421">
        <v>10.209999999999964</v>
      </c>
      <c r="G139" s="421">
        <v>81.619999999999976</v>
      </c>
      <c r="H139" s="421">
        <v>3.2647999999999993</v>
      </c>
      <c r="I139" s="421">
        <v>-2.5100000000000122</v>
      </c>
      <c r="J139" s="421">
        <v>4.0200000000000014</v>
      </c>
      <c r="K139" s="423">
        <v>-24.350000000000005</v>
      </c>
      <c r="L139" s="421"/>
    </row>
    <row r="140" spans="1:12" x14ac:dyDescent="0.25">
      <c r="A140" s="420">
        <v>46209</v>
      </c>
      <c r="B140" s="421"/>
      <c r="C140" s="422"/>
      <c r="D140" s="422"/>
      <c r="E140" s="421"/>
      <c r="F140" s="421"/>
      <c r="G140" s="421"/>
      <c r="H140" s="421"/>
      <c r="I140" s="421">
        <v>0</v>
      </c>
      <c r="J140" s="421">
        <v>0</v>
      </c>
      <c r="K140" s="423">
        <v>0</v>
      </c>
      <c r="L140" s="421"/>
    </row>
    <row r="141" spans="1:12" x14ac:dyDescent="0.25">
      <c r="A141" s="420">
        <v>46209</v>
      </c>
      <c r="B141" s="421"/>
      <c r="C141" s="422"/>
      <c r="D141" s="422"/>
      <c r="E141" s="421"/>
      <c r="F141" s="421"/>
      <c r="G141" s="421"/>
      <c r="H141" s="421"/>
      <c r="I141" s="421">
        <v>0</v>
      </c>
      <c r="J141" s="421">
        <v>0</v>
      </c>
      <c r="K141" s="423">
        <v>0</v>
      </c>
      <c r="L141" s="421"/>
    </row>
    <row r="142" spans="1:12" x14ac:dyDescent="0.25">
      <c r="A142" s="420">
        <v>46209</v>
      </c>
      <c r="B142" s="421"/>
      <c r="C142" s="422"/>
      <c r="D142" s="422"/>
      <c r="E142" s="421"/>
      <c r="F142" s="421"/>
      <c r="G142" s="421"/>
      <c r="H142" s="421"/>
      <c r="I142" s="421">
        <v>0</v>
      </c>
      <c r="J142" s="421">
        <v>0</v>
      </c>
      <c r="K142" s="423">
        <v>0</v>
      </c>
      <c r="L142" s="421"/>
    </row>
    <row r="143" spans="1:12" x14ac:dyDescent="0.25">
      <c r="A143" s="420">
        <v>46209</v>
      </c>
      <c r="B143" s="421"/>
      <c r="C143" s="422"/>
      <c r="D143" s="422"/>
      <c r="E143" s="421"/>
      <c r="F143" s="421"/>
      <c r="G143" s="421"/>
      <c r="H143" s="421"/>
      <c r="I143" s="421">
        <v>0</v>
      </c>
      <c r="J143" s="421">
        <v>0</v>
      </c>
      <c r="K143" s="423">
        <v>0</v>
      </c>
      <c r="L143" s="421"/>
    </row>
    <row r="144" spans="1:12" x14ac:dyDescent="0.25">
      <c r="A144" s="420">
        <v>46209</v>
      </c>
      <c r="B144" s="421"/>
      <c r="C144" s="422"/>
      <c r="D144" s="422"/>
      <c r="E144" s="421"/>
      <c r="F144" s="421"/>
      <c r="G144" s="421"/>
      <c r="H144" s="421"/>
      <c r="I144" s="421">
        <v>0</v>
      </c>
      <c r="J144" s="421">
        <v>0</v>
      </c>
      <c r="K144" s="423">
        <v>0</v>
      </c>
      <c r="L144" s="421"/>
    </row>
    <row r="145" spans="1:12" x14ac:dyDescent="0.25">
      <c r="A145" s="16">
        <v>46210</v>
      </c>
      <c r="B145" s="17" t="s">
        <v>19</v>
      </c>
      <c r="C145" s="122" t="s">
        <v>102</v>
      </c>
      <c r="D145" s="122" t="s">
        <v>115</v>
      </c>
      <c r="E145" s="17">
        <v>2.4361999999999999</v>
      </c>
      <c r="F145" s="17">
        <v>18.61999999999999</v>
      </c>
      <c r="G145" s="17">
        <v>18.61999999999999</v>
      </c>
      <c r="H145" s="17">
        <v>0.74479999999999957</v>
      </c>
      <c r="I145" s="17">
        <v>0.44999999999997264</v>
      </c>
      <c r="J145" s="17">
        <v>-0.30000000000001137</v>
      </c>
      <c r="K145" s="18">
        <v>-3.5600000000000076</v>
      </c>
      <c r="L145" s="17"/>
    </row>
    <row r="146" spans="1:12" x14ac:dyDescent="0.25">
      <c r="A146" s="16">
        <v>46210</v>
      </c>
      <c r="B146" s="17" t="s">
        <v>10</v>
      </c>
      <c r="C146" s="122" t="s">
        <v>115</v>
      </c>
      <c r="D146" s="122" t="s">
        <v>116</v>
      </c>
      <c r="E146" s="17">
        <v>2.6031</v>
      </c>
      <c r="F146" s="17">
        <v>16.690000000000005</v>
      </c>
      <c r="G146" s="17">
        <v>35.309999999999995</v>
      </c>
      <c r="H146" s="17">
        <v>1.4123999999999999</v>
      </c>
      <c r="I146" s="17">
        <v>-0.20000000000002238</v>
      </c>
      <c r="J146" s="17">
        <v>-1.2000000000000011</v>
      </c>
      <c r="K146" s="18">
        <v>-6.7299999999999915</v>
      </c>
      <c r="L146" s="17"/>
    </row>
    <row r="147" spans="1:12" x14ac:dyDescent="0.25">
      <c r="A147" s="16">
        <v>46210</v>
      </c>
      <c r="B147" s="17" t="s">
        <v>11</v>
      </c>
      <c r="C147" s="122" t="s">
        <v>116</v>
      </c>
      <c r="D147" s="122" t="s">
        <v>117</v>
      </c>
      <c r="E147" s="17">
        <v>2.6819999999999999</v>
      </c>
      <c r="F147" s="17">
        <v>7.889999999999997</v>
      </c>
      <c r="G147" s="17">
        <v>43.199999999999996</v>
      </c>
      <c r="H147" s="17">
        <v>1.7279999999999998</v>
      </c>
      <c r="I147" s="17">
        <v>-0.20000000000002238</v>
      </c>
      <c r="J147" s="17">
        <v>-0.20000000000002238</v>
      </c>
      <c r="K147" s="18">
        <v>-13.750000000000018</v>
      </c>
      <c r="L147" s="17">
        <v>7.889999999999997E-2</v>
      </c>
    </row>
    <row r="148" spans="1:12" x14ac:dyDescent="0.25">
      <c r="A148" s="16">
        <v>46210</v>
      </c>
      <c r="B148" s="17" t="s">
        <v>13</v>
      </c>
      <c r="C148" s="122" t="s">
        <v>117</v>
      </c>
      <c r="D148" s="122" t="s">
        <v>124</v>
      </c>
      <c r="E148" s="17">
        <v>2.8372999999999999</v>
      </c>
      <c r="F148" s="17">
        <v>15.53</v>
      </c>
      <c r="G148" s="17">
        <v>58.72999999999999</v>
      </c>
      <c r="H148" s="17">
        <v>2.3491999999999997</v>
      </c>
      <c r="I148" s="17">
        <v>-0.20000000000002238</v>
      </c>
      <c r="J148" s="17">
        <v>-0.70000000000001172</v>
      </c>
      <c r="K148" s="18">
        <v>-16.029999999999987</v>
      </c>
      <c r="L148" s="17"/>
    </row>
    <row r="149" spans="1:12" x14ac:dyDescent="0.25">
      <c r="A149" s="16">
        <v>46210</v>
      </c>
      <c r="B149" s="17" t="s">
        <v>14</v>
      </c>
      <c r="C149" s="122" t="s">
        <v>124</v>
      </c>
      <c r="D149" s="122" t="s">
        <v>123</v>
      </c>
      <c r="E149" s="17">
        <v>2.9645999999999999</v>
      </c>
      <c r="F149" s="17">
        <v>12.729999999999997</v>
      </c>
      <c r="G149" s="17">
        <v>71.459999999999994</v>
      </c>
      <c r="H149" s="17">
        <v>2.8583999999999996</v>
      </c>
      <c r="I149" s="17">
        <v>4.9999999999972289E-2</v>
      </c>
      <c r="J149" s="17">
        <v>0.55000000000000604</v>
      </c>
      <c r="K149" s="18">
        <v>-17.750000000000021</v>
      </c>
      <c r="L149" s="17"/>
    </row>
    <row r="150" spans="1:12" x14ac:dyDescent="0.25">
      <c r="A150" s="16">
        <v>46210</v>
      </c>
      <c r="B150" s="17" t="s">
        <v>15</v>
      </c>
      <c r="C150" s="122" t="s">
        <v>123</v>
      </c>
      <c r="D150" s="122" t="s">
        <v>148</v>
      </c>
      <c r="E150" s="17">
        <v>3.0615999999999999</v>
      </c>
      <c r="F150" s="17">
        <v>9.6999999999999975</v>
      </c>
      <c r="G150" s="17">
        <v>81.159999999999982</v>
      </c>
      <c r="H150" s="17">
        <v>3.2463999999999995</v>
      </c>
      <c r="I150" s="17">
        <v>-0.45999999999999375</v>
      </c>
      <c r="J150" s="17">
        <v>0.55000000000000604</v>
      </c>
      <c r="K150" s="18">
        <v>-21.540000000000028</v>
      </c>
      <c r="L150" s="17"/>
    </row>
    <row r="151" spans="1:12" x14ac:dyDescent="0.25">
      <c r="A151" s="16">
        <v>46210</v>
      </c>
      <c r="B151" s="17"/>
      <c r="C151" s="122"/>
      <c r="D151" s="122"/>
      <c r="E151" s="17"/>
      <c r="F151" s="17"/>
      <c r="G151" s="17"/>
      <c r="H151" s="17"/>
      <c r="I151" s="17">
        <v>0</v>
      </c>
      <c r="J151" s="17">
        <v>0</v>
      </c>
      <c r="K151" s="18">
        <v>0</v>
      </c>
      <c r="L151" s="17"/>
    </row>
    <row r="152" spans="1:12" x14ac:dyDescent="0.25">
      <c r="A152" s="16">
        <v>46210</v>
      </c>
      <c r="B152" s="17"/>
      <c r="C152" s="122"/>
      <c r="D152" s="122"/>
      <c r="E152" s="17"/>
      <c r="F152" s="17"/>
      <c r="G152" s="17"/>
      <c r="H152" s="17"/>
      <c r="I152" s="17">
        <v>0</v>
      </c>
      <c r="J152" s="17">
        <v>0</v>
      </c>
      <c r="K152" s="18">
        <v>0</v>
      </c>
      <c r="L152" s="17"/>
    </row>
    <row r="153" spans="1:12" x14ac:dyDescent="0.25">
      <c r="A153" s="16">
        <v>46210</v>
      </c>
      <c r="B153" s="17"/>
      <c r="C153" s="122"/>
      <c r="D153" s="122"/>
      <c r="E153" s="17"/>
      <c r="F153" s="17"/>
      <c r="G153" s="17"/>
      <c r="H153" s="17"/>
      <c r="I153" s="17">
        <v>0</v>
      </c>
      <c r="J153" s="17">
        <v>0</v>
      </c>
      <c r="K153" s="18">
        <v>0</v>
      </c>
      <c r="L153" s="17"/>
    </row>
    <row r="154" spans="1:12" x14ac:dyDescent="0.25">
      <c r="A154" s="16">
        <v>46210</v>
      </c>
      <c r="B154" s="17"/>
      <c r="C154" s="122"/>
      <c r="D154" s="122"/>
      <c r="E154" s="17"/>
      <c r="F154" s="17"/>
      <c r="G154" s="17"/>
      <c r="H154" s="17"/>
      <c r="I154" s="17">
        <v>0</v>
      </c>
      <c r="J154" s="17">
        <v>0</v>
      </c>
      <c r="K154" s="18">
        <v>0</v>
      </c>
      <c r="L154" s="17"/>
    </row>
    <row r="155" spans="1:12" x14ac:dyDescent="0.25">
      <c r="A155" s="16">
        <v>46210</v>
      </c>
      <c r="B155" s="17"/>
      <c r="C155" s="122"/>
      <c r="D155" s="122"/>
      <c r="E155" s="17"/>
      <c r="F155" s="17"/>
      <c r="G155" s="17"/>
      <c r="H155" s="17"/>
      <c r="I155" s="17">
        <v>0</v>
      </c>
      <c r="J155" s="17">
        <v>0</v>
      </c>
      <c r="K155" s="18">
        <v>0</v>
      </c>
      <c r="L155" s="17"/>
    </row>
    <row r="156" spans="1:12" x14ac:dyDescent="0.25">
      <c r="A156" s="443">
        <v>46211</v>
      </c>
      <c r="B156" s="17" t="s">
        <v>10</v>
      </c>
      <c r="C156" s="122" t="s">
        <v>115</v>
      </c>
      <c r="D156" s="122" t="s">
        <v>116</v>
      </c>
      <c r="E156" s="444">
        <v>2.7080000000000002</v>
      </c>
      <c r="F156" s="444"/>
      <c r="G156" s="444"/>
      <c r="H156" s="444"/>
      <c r="I156" s="444">
        <v>2.6031</v>
      </c>
      <c r="J156" s="17">
        <v>0</v>
      </c>
      <c r="K156" s="18">
        <v>0</v>
      </c>
      <c r="L156" s="444"/>
    </row>
    <row r="157" spans="1:12" x14ac:dyDescent="0.25">
      <c r="A157" s="443">
        <v>46211</v>
      </c>
      <c r="B157" s="17" t="s">
        <v>11</v>
      </c>
      <c r="C157" s="122" t="s">
        <v>116</v>
      </c>
      <c r="D157" s="122" t="s">
        <v>117</v>
      </c>
      <c r="E157" s="440">
        <v>2.7843</v>
      </c>
      <c r="F157" s="440"/>
      <c r="G157" s="440"/>
      <c r="H157" s="440"/>
      <c r="I157" s="440">
        <v>2.6819999999999999</v>
      </c>
      <c r="J157" s="17">
        <v>0</v>
      </c>
      <c r="K157" s="18">
        <v>0</v>
      </c>
      <c r="L157" s="440"/>
    </row>
    <row r="158" spans="1:12" x14ac:dyDescent="0.25">
      <c r="A158" s="443">
        <v>46211</v>
      </c>
      <c r="B158" s="17" t="s">
        <v>13</v>
      </c>
      <c r="C158" s="122" t="s">
        <v>117</v>
      </c>
      <c r="D158" s="122" t="s">
        <v>124</v>
      </c>
      <c r="E158" s="440">
        <v>2.9247000000000001</v>
      </c>
      <c r="F158" s="440"/>
      <c r="G158" s="440"/>
      <c r="H158" s="440"/>
      <c r="I158" s="440">
        <v>2.8372999999999999</v>
      </c>
      <c r="J158" s="17">
        <v>0</v>
      </c>
      <c r="K158" s="18">
        <v>0</v>
      </c>
      <c r="L158" s="440"/>
    </row>
    <row r="159" spans="1:12" x14ac:dyDescent="0.25">
      <c r="A159" s="443">
        <v>46211</v>
      </c>
      <c r="B159" s="17" t="s">
        <v>14</v>
      </c>
      <c r="C159" s="122" t="s">
        <v>124</v>
      </c>
      <c r="D159" s="122" t="s">
        <v>123</v>
      </c>
      <c r="E159" s="440">
        <v>3.0318000000000001</v>
      </c>
      <c r="F159" s="440"/>
      <c r="G159" s="440"/>
      <c r="H159" s="440"/>
      <c r="I159" s="440">
        <v>2.9645999999999999</v>
      </c>
      <c r="J159" s="17">
        <v>0</v>
      </c>
      <c r="K159" s="18">
        <v>0</v>
      </c>
      <c r="L159" s="440"/>
    </row>
    <row r="160" spans="1:12" x14ac:dyDescent="0.25">
      <c r="A160" s="443">
        <v>46211</v>
      </c>
      <c r="B160" s="17" t="s">
        <v>15</v>
      </c>
      <c r="C160" s="122" t="s">
        <v>123</v>
      </c>
      <c r="D160" s="122" t="s">
        <v>148</v>
      </c>
      <c r="E160" s="440">
        <v>3.1263999999999998</v>
      </c>
      <c r="F160" s="440"/>
      <c r="G160" s="440"/>
      <c r="H160" s="440"/>
      <c r="I160" s="440">
        <v>3.0615999999999999</v>
      </c>
      <c r="J160" s="17">
        <v>0</v>
      </c>
      <c r="K160" s="18">
        <v>0</v>
      </c>
      <c r="L160" s="440"/>
    </row>
    <row r="161" spans="1:12" x14ac:dyDescent="0.25">
      <c r="A161" s="443">
        <v>46212</v>
      </c>
      <c r="B161" s="17" t="s">
        <v>10</v>
      </c>
      <c r="C161" s="122" t="s">
        <v>115</v>
      </c>
      <c r="D161" s="122" t="s">
        <v>116</v>
      </c>
      <c r="E161" s="444">
        <v>2.7231000000000001</v>
      </c>
      <c r="F161" s="444"/>
      <c r="G161" s="444"/>
      <c r="H161" s="444"/>
      <c r="I161" s="444">
        <v>2.5045000000000002</v>
      </c>
      <c r="J161" s="17">
        <v>0</v>
      </c>
      <c r="K161" s="18">
        <v>0</v>
      </c>
      <c r="L161" s="444"/>
    </row>
    <row r="162" spans="1:12" x14ac:dyDescent="0.25">
      <c r="A162" s="443">
        <v>46212</v>
      </c>
      <c r="B162" s="17" t="s">
        <v>11</v>
      </c>
      <c r="C162" s="122" t="s">
        <v>116</v>
      </c>
      <c r="D162" s="122" t="s">
        <v>117</v>
      </c>
      <c r="E162" s="440">
        <v>2.8294999999999999</v>
      </c>
      <c r="F162" s="440"/>
      <c r="G162" s="440"/>
      <c r="H162" s="440"/>
      <c r="I162" s="440">
        <v>2.7080000000000002</v>
      </c>
      <c r="J162" s="17">
        <v>0</v>
      </c>
      <c r="K162" s="18">
        <v>0</v>
      </c>
      <c r="L162" s="440"/>
    </row>
    <row r="163" spans="1:12" x14ac:dyDescent="0.25">
      <c r="A163" s="443">
        <v>46212</v>
      </c>
      <c r="B163" s="17" t="s">
        <v>13</v>
      </c>
      <c r="C163" s="122" t="s">
        <v>117</v>
      </c>
      <c r="D163" s="122" t="s">
        <v>124</v>
      </c>
      <c r="E163" s="440">
        <v>3.0026000000000002</v>
      </c>
      <c r="F163" s="440"/>
      <c r="G163" s="440"/>
      <c r="H163" s="440"/>
      <c r="I163" s="440">
        <v>2.7843</v>
      </c>
      <c r="J163" s="17">
        <v>0</v>
      </c>
      <c r="K163" s="18">
        <v>0</v>
      </c>
      <c r="L163" s="440"/>
    </row>
    <row r="164" spans="1:12" x14ac:dyDescent="0.25">
      <c r="A164" s="443">
        <v>46212</v>
      </c>
      <c r="B164" s="17" t="s">
        <v>14</v>
      </c>
      <c r="C164" s="122" t="s">
        <v>124</v>
      </c>
      <c r="D164" s="122" t="s">
        <v>123</v>
      </c>
      <c r="E164" s="440">
        <v>3.1269999999999998</v>
      </c>
      <c r="F164" s="440"/>
      <c r="G164" s="440"/>
      <c r="H164" s="440"/>
      <c r="I164" s="440">
        <v>2.9247000000000001</v>
      </c>
      <c r="J164" s="17">
        <v>0</v>
      </c>
      <c r="K164" s="18">
        <v>0</v>
      </c>
      <c r="L164" s="440"/>
    </row>
    <row r="165" spans="1:12" x14ac:dyDescent="0.25">
      <c r="A165" s="443">
        <v>46212</v>
      </c>
      <c r="B165" s="17" t="s">
        <v>15</v>
      </c>
      <c r="C165" s="122" t="s">
        <v>123</v>
      </c>
      <c r="D165" s="122" t="s">
        <v>148</v>
      </c>
      <c r="E165" s="440">
        <v>3.2267999999999999</v>
      </c>
      <c r="F165" s="440"/>
      <c r="G165" s="440"/>
      <c r="H165" s="440"/>
      <c r="I165" s="440">
        <v>3.0318000000000001</v>
      </c>
      <c r="J165" s="17">
        <v>0</v>
      </c>
      <c r="K165" s="18">
        <v>0</v>
      </c>
      <c r="L165" s="440"/>
    </row>
    <row r="166" spans="1:12" x14ac:dyDescent="0.25">
      <c r="A166" s="439">
        <v>46213</v>
      </c>
      <c r="B166" s="440" t="s">
        <v>10</v>
      </c>
      <c r="C166" s="441" t="s">
        <v>115</v>
      </c>
      <c r="D166" s="441" t="s">
        <v>116</v>
      </c>
      <c r="E166" s="440">
        <v>2.7181000000000002</v>
      </c>
      <c r="F166" s="440">
        <v>21.810000000000016</v>
      </c>
      <c r="G166" s="440">
        <v>21.810000000000016</v>
      </c>
      <c r="H166" s="440">
        <v>0.87240000000000062</v>
      </c>
      <c r="I166" s="440">
        <v>-0.49999999999998934</v>
      </c>
      <c r="J166" s="440">
        <v>8.7900000000000311</v>
      </c>
      <c r="K166" s="442">
        <v>3.7700000000000067</v>
      </c>
      <c r="L166" s="440"/>
    </row>
    <row r="167" spans="1:12" x14ac:dyDescent="0.25">
      <c r="A167" s="439">
        <v>46213</v>
      </c>
      <c r="B167" s="440" t="s">
        <v>11</v>
      </c>
      <c r="C167" s="441" t="s">
        <v>116</v>
      </c>
      <c r="D167" s="441" t="s">
        <v>117</v>
      </c>
      <c r="E167" s="440">
        <v>2.8245</v>
      </c>
      <c r="F167" s="440">
        <v>10.639999999999983</v>
      </c>
      <c r="G167" s="440">
        <v>32.450000000000003</v>
      </c>
      <c r="H167" s="440">
        <v>1.298</v>
      </c>
      <c r="I167" s="440">
        <v>-0.49999999999998934</v>
      </c>
      <c r="J167" s="440">
        <v>12.290000000000001</v>
      </c>
      <c r="K167" s="442">
        <v>1.2599999999999945</v>
      </c>
      <c r="L167" s="440"/>
    </row>
    <row r="168" spans="1:12" x14ac:dyDescent="0.25">
      <c r="A168" s="439">
        <v>46213</v>
      </c>
      <c r="B168" s="440" t="s">
        <v>13</v>
      </c>
      <c r="C168" s="441" t="s">
        <v>117</v>
      </c>
      <c r="D168" s="441" t="s">
        <v>124</v>
      </c>
      <c r="E168" s="440">
        <v>2.9975999999999998</v>
      </c>
      <c r="F168" s="440">
        <v>17.309999999999981</v>
      </c>
      <c r="G168" s="440">
        <v>49.759999999999984</v>
      </c>
      <c r="H168" s="440">
        <v>1.9903999999999993</v>
      </c>
      <c r="I168" s="440">
        <v>-0.50000000000003375</v>
      </c>
      <c r="J168" s="440">
        <v>13.569999999999993</v>
      </c>
      <c r="K168" s="442">
        <v>1.7599999999999838</v>
      </c>
      <c r="L168" s="440">
        <v>0.17309999999999981</v>
      </c>
    </row>
    <row r="169" spans="1:12" x14ac:dyDescent="0.25">
      <c r="A169" s="439">
        <v>46213</v>
      </c>
      <c r="B169" s="440" t="s">
        <v>14</v>
      </c>
      <c r="C169" s="441" t="s">
        <v>124</v>
      </c>
      <c r="D169" s="441" t="s">
        <v>123</v>
      </c>
      <c r="E169" s="440">
        <v>3.1219999999999999</v>
      </c>
      <c r="F169" s="440">
        <v>12.440000000000007</v>
      </c>
      <c r="G169" s="440">
        <v>62.199999999999989</v>
      </c>
      <c r="H169" s="440">
        <v>2.4879999999999995</v>
      </c>
      <c r="I169" s="440">
        <v>-0.49999999999998934</v>
      </c>
      <c r="J169" s="440">
        <v>13.280000000000003</v>
      </c>
      <c r="K169" s="442">
        <v>0</v>
      </c>
      <c r="L169" s="440"/>
    </row>
    <row r="170" spans="1:12" x14ac:dyDescent="0.25">
      <c r="A170" s="439">
        <v>46213</v>
      </c>
      <c r="B170" s="440" t="s">
        <v>15</v>
      </c>
      <c r="C170" s="441" t="s">
        <v>123</v>
      </c>
      <c r="D170" s="441" t="s">
        <v>148</v>
      </c>
      <c r="E170" s="440">
        <v>3.2218</v>
      </c>
      <c r="F170" s="440">
        <v>9.9800000000000111</v>
      </c>
      <c r="G170" s="440">
        <v>72.180000000000007</v>
      </c>
      <c r="H170" s="440">
        <v>2.8872000000000004</v>
      </c>
      <c r="I170" s="440">
        <v>-0.49999999999998934</v>
      </c>
      <c r="J170" s="440">
        <v>13.050000000000006</v>
      </c>
      <c r="K170" s="442">
        <v>-3.520000000000012</v>
      </c>
      <c r="L170" s="440"/>
    </row>
    <row r="171" spans="1:12" x14ac:dyDescent="0.25">
      <c r="A171" s="439">
        <v>46213</v>
      </c>
      <c r="B171" s="440" t="s">
        <v>17</v>
      </c>
      <c r="C171" s="441" t="s">
        <v>148</v>
      </c>
      <c r="D171" s="441" t="s">
        <v>146</v>
      </c>
      <c r="E171" s="440">
        <v>3.286</v>
      </c>
      <c r="F171" s="440">
        <v>6.4200000000000035</v>
      </c>
      <c r="G171" s="440">
        <v>78.600000000000009</v>
      </c>
      <c r="H171" s="440">
        <v>3.1440000000000001</v>
      </c>
      <c r="I171" s="440" t="s">
        <v>41</v>
      </c>
      <c r="J171" s="440" t="s">
        <v>41</v>
      </c>
      <c r="K171" s="442" t="s">
        <v>41</v>
      </c>
      <c r="L171" s="440"/>
    </row>
    <row r="172" spans="1:12" x14ac:dyDescent="0.25">
      <c r="A172" s="439">
        <v>46213</v>
      </c>
      <c r="B172" s="440"/>
      <c r="C172" s="441"/>
      <c r="D172" s="441"/>
      <c r="E172" s="440"/>
      <c r="F172" s="440"/>
      <c r="G172" s="440"/>
      <c r="H172" s="440"/>
      <c r="I172" s="440" t="s">
        <v>41</v>
      </c>
      <c r="J172" s="440">
        <v>0</v>
      </c>
      <c r="K172" s="442">
        <v>0</v>
      </c>
      <c r="L172" s="440"/>
    </row>
    <row r="173" spans="1:12" x14ac:dyDescent="0.25">
      <c r="A173" s="439">
        <v>46213</v>
      </c>
      <c r="B173" s="440"/>
      <c r="C173" s="441"/>
      <c r="D173" s="441"/>
      <c r="E173" s="440"/>
      <c r="F173" s="440"/>
      <c r="G173" s="440"/>
      <c r="H173" s="440"/>
      <c r="I173" s="440" t="s">
        <v>41</v>
      </c>
      <c r="J173" s="440">
        <v>0</v>
      </c>
      <c r="K173" s="442">
        <v>0</v>
      </c>
      <c r="L173" s="440"/>
    </row>
    <row r="174" spans="1:12" x14ac:dyDescent="0.25">
      <c r="A174" s="439">
        <v>46213</v>
      </c>
      <c r="B174" s="440"/>
      <c r="C174" s="441"/>
      <c r="D174" s="441"/>
      <c r="E174" s="440"/>
      <c r="F174" s="440"/>
      <c r="G174" s="440"/>
      <c r="H174" s="440"/>
      <c r="I174" s="440" t="s">
        <v>41</v>
      </c>
      <c r="J174" s="440">
        <v>0</v>
      </c>
      <c r="K174" s="442">
        <v>0</v>
      </c>
      <c r="L174" s="440"/>
    </row>
    <row r="175" spans="1:12" x14ac:dyDescent="0.25">
      <c r="A175" s="439">
        <v>46213</v>
      </c>
      <c r="B175" s="440"/>
      <c r="C175" s="441"/>
      <c r="D175" s="441"/>
      <c r="E175" s="440"/>
      <c r="F175" s="440"/>
      <c r="G175" s="440"/>
      <c r="H175" s="440"/>
      <c r="I175" s="440" t="s">
        <v>41</v>
      </c>
      <c r="J175" s="440">
        <v>0</v>
      </c>
      <c r="K175" s="442">
        <v>0</v>
      </c>
      <c r="L175" s="440"/>
    </row>
    <row r="176" spans="1:12" x14ac:dyDescent="0.25">
      <c r="A176" s="439">
        <v>46213</v>
      </c>
      <c r="B176" s="440"/>
      <c r="C176" s="441"/>
      <c r="D176" s="441"/>
      <c r="E176" s="440"/>
      <c r="F176" s="440"/>
      <c r="G176" s="440"/>
      <c r="H176" s="440"/>
      <c r="I176" s="440" t="s">
        <v>41</v>
      </c>
      <c r="J176" s="440">
        <v>0</v>
      </c>
      <c r="K176" s="442">
        <v>0</v>
      </c>
      <c r="L176" s="440"/>
    </row>
    <row r="177" spans="1:12" x14ac:dyDescent="0.25">
      <c r="A177" s="460">
        <v>46216</v>
      </c>
      <c r="B177" s="461" t="s">
        <v>10</v>
      </c>
      <c r="C177" s="462" t="s">
        <v>115</v>
      </c>
      <c r="D177" s="462" t="s">
        <v>116</v>
      </c>
      <c r="E177" s="461">
        <v>2.7155</v>
      </c>
      <c r="F177" s="461">
        <v>21.550000000000004</v>
      </c>
      <c r="G177" s="461">
        <v>21.550000000000004</v>
      </c>
      <c r="H177" s="461">
        <v>0.86200000000000021</v>
      </c>
      <c r="I177" s="461">
        <v>-0.26000000000001577</v>
      </c>
      <c r="J177" s="461">
        <v>11.039999999999983</v>
      </c>
      <c r="K177" s="463">
        <v>3.5099999999999909</v>
      </c>
      <c r="L177" s="461"/>
    </row>
    <row r="178" spans="1:12" x14ac:dyDescent="0.25">
      <c r="A178" s="460">
        <v>46216</v>
      </c>
      <c r="B178" s="461" t="s">
        <v>11</v>
      </c>
      <c r="C178" s="462" t="s">
        <v>116</v>
      </c>
      <c r="D178" s="462" t="s">
        <v>117</v>
      </c>
      <c r="E178" s="461">
        <v>2.8445</v>
      </c>
      <c r="F178" s="461">
        <v>12.9</v>
      </c>
      <c r="G178" s="461">
        <v>34.450000000000003</v>
      </c>
      <c r="H178" s="461">
        <v>1.3780000000000001</v>
      </c>
      <c r="I178" s="461">
        <v>2.0000000000000018</v>
      </c>
      <c r="J178" s="461">
        <v>16.049999999999986</v>
      </c>
      <c r="K178" s="463">
        <v>3.2599999999999962</v>
      </c>
      <c r="L178" s="461"/>
    </row>
    <row r="179" spans="1:12" x14ac:dyDescent="0.25">
      <c r="A179" s="460">
        <v>46216</v>
      </c>
      <c r="B179" s="461" t="s">
        <v>13</v>
      </c>
      <c r="C179" s="462" t="s">
        <v>117</v>
      </c>
      <c r="D179" s="462" t="s">
        <v>124</v>
      </c>
      <c r="E179" s="461">
        <v>3.0303</v>
      </c>
      <c r="F179" s="461">
        <v>18.579999999999998</v>
      </c>
      <c r="G179" s="461">
        <v>53.03</v>
      </c>
      <c r="H179" s="461">
        <v>2.1212</v>
      </c>
      <c r="I179" s="461">
        <v>3.2700000000000173</v>
      </c>
      <c r="J179" s="461">
        <v>19.099999999999984</v>
      </c>
      <c r="K179" s="463">
        <v>5.0300000000000011</v>
      </c>
      <c r="L179" s="461">
        <v>0.18579999999999997</v>
      </c>
    </row>
    <row r="180" spans="1:12" x14ac:dyDescent="0.25">
      <c r="A180" s="460">
        <v>46216</v>
      </c>
      <c r="B180" s="461" t="s">
        <v>14</v>
      </c>
      <c r="C180" s="462" t="s">
        <v>124</v>
      </c>
      <c r="D180" s="462" t="s">
        <v>123</v>
      </c>
      <c r="E180" s="461">
        <v>3.1722000000000001</v>
      </c>
      <c r="F180" s="461">
        <v>14.190000000000014</v>
      </c>
      <c r="G180" s="461">
        <v>67.220000000000013</v>
      </c>
      <c r="H180" s="461">
        <v>2.6888000000000005</v>
      </c>
      <c r="I180" s="461">
        <v>5.0200000000000244</v>
      </c>
      <c r="J180" s="461">
        <v>20.809999999999995</v>
      </c>
      <c r="K180" s="463">
        <v>5.0200000000000244</v>
      </c>
      <c r="L180" s="461"/>
    </row>
    <row r="181" spans="1:12" x14ac:dyDescent="0.25">
      <c r="A181" s="460">
        <v>46216</v>
      </c>
      <c r="B181" s="461" t="s">
        <v>15</v>
      </c>
      <c r="C181" s="462" t="s">
        <v>123</v>
      </c>
      <c r="D181" s="462" t="s">
        <v>148</v>
      </c>
      <c r="E181" s="461">
        <v>3.2745000000000002</v>
      </c>
      <c r="F181" s="461">
        <v>10.230000000000006</v>
      </c>
      <c r="G181" s="461">
        <v>77.450000000000017</v>
      </c>
      <c r="H181" s="461">
        <v>3.0980000000000008</v>
      </c>
      <c r="I181" s="461">
        <v>5.2700000000000191</v>
      </c>
      <c r="J181" s="461">
        <v>20.830000000000037</v>
      </c>
      <c r="K181" s="463">
        <v>1.7500000000000071</v>
      </c>
      <c r="L181" s="461"/>
    </row>
    <row r="182" spans="1:12" x14ac:dyDescent="0.25">
      <c r="A182" s="460">
        <v>46216</v>
      </c>
      <c r="B182" s="461" t="s">
        <v>17</v>
      </c>
      <c r="C182" s="462" t="s">
        <v>148</v>
      </c>
      <c r="D182" s="462" t="s">
        <v>146</v>
      </c>
      <c r="E182" s="461">
        <v>3.3386999999999998</v>
      </c>
      <c r="F182" s="461">
        <v>6.4199999999999591</v>
      </c>
      <c r="G182" s="461">
        <v>83.869999999999976</v>
      </c>
      <c r="H182" s="461">
        <v>3.3547999999999991</v>
      </c>
      <c r="I182" s="461">
        <v>5.2699999999999747</v>
      </c>
      <c r="J182" s="461" t="s">
        <v>41</v>
      </c>
      <c r="K182" s="463" t="s">
        <v>41</v>
      </c>
      <c r="L182" s="461"/>
    </row>
    <row r="183" spans="1:12" x14ac:dyDescent="0.25">
      <c r="A183" s="460">
        <v>46216</v>
      </c>
      <c r="B183" s="461"/>
      <c r="C183" s="462"/>
      <c r="D183" s="462"/>
      <c r="E183" s="461"/>
      <c r="F183" s="461"/>
      <c r="G183" s="461"/>
      <c r="H183" s="461"/>
      <c r="I183" s="461">
        <v>0</v>
      </c>
      <c r="J183" s="461">
        <v>0</v>
      </c>
      <c r="K183" s="463">
        <v>0</v>
      </c>
      <c r="L183" s="461"/>
    </row>
    <row r="184" spans="1:12" x14ac:dyDescent="0.25">
      <c r="A184" s="460">
        <v>46216</v>
      </c>
      <c r="B184" s="461"/>
      <c r="C184" s="462"/>
      <c r="D184" s="462"/>
      <c r="E184" s="461"/>
      <c r="F184" s="461"/>
      <c r="G184" s="461"/>
      <c r="H184" s="461"/>
      <c r="I184" s="461">
        <v>0</v>
      </c>
      <c r="J184" s="461">
        <v>0</v>
      </c>
      <c r="K184" s="463">
        <v>0</v>
      </c>
      <c r="L184" s="461"/>
    </row>
    <row r="185" spans="1:12" x14ac:dyDescent="0.25">
      <c r="A185" s="460">
        <v>46216</v>
      </c>
      <c r="B185" s="461"/>
      <c r="C185" s="462"/>
      <c r="D185" s="462"/>
      <c r="E185" s="461"/>
      <c r="F185" s="461"/>
      <c r="G185" s="461"/>
      <c r="H185" s="461"/>
      <c r="I185" s="461">
        <v>0</v>
      </c>
      <c r="J185" s="461">
        <v>0</v>
      </c>
      <c r="K185" s="463">
        <v>0</v>
      </c>
      <c r="L185" s="461"/>
    </row>
    <row r="186" spans="1:12" x14ac:dyDescent="0.25">
      <c r="A186" s="460">
        <v>46216</v>
      </c>
      <c r="B186" s="461"/>
      <c r="C186" s="462"/>
      <c r="D186" s="462"/>
      <c r="E186" s="461"/>
      <c r="F186" s="461"/>
      <c r="G186" s="461"/>
      <c r="H186" s="461"/>
      <c r="I186" s="461">
        <v>0</v>
      </c>
      <c r="J186" s="461">
        <v>0</v>
      </c>
      <c r="K186" s="463">
        <v>0</v>
      </c>
      <c r="L186" s="461"/>
    </row>
    <row r="187" spans="1:12" x14ac:dyDescent="0.25">
      <c r="A187" s="460">
        <v>46216</v>
      </c>
      <c r="B187" s="461"/>
      <c r="C187" s="462"/>
      <c r="D187" s="462"/>
      <c r="E187" s="461"/>
      <c r="F187" s="461"/>
      <c r="G187" s="461"/>
      <c r="H187" s="461"/>
      <c r="I187" s="461">
        <v>0</v>
      </c>
      <c r="J187" s="461">
        <v>0</v>
      </c>
      <c r="K187" s="463">
        <v>0</v>
      </c>
      <c r="L187" s="461"/>
    </row>
    <row r="188" spans="1:12" x14ac:dyDescent="0.25">
      <c r="A188" s="475">
        <v>46217</v>
      </c>
      <c r="B188" s="476" t="s">
        <v>10</v>
      </c>
      <c r="C188" s="477" t="s">
        <v>115</v>
      </c>
      <c r="D188" s="477" t="s">
        <v>116</v>
      </c>
      <c r="E188" s="476">
        <v>2.7355999999999998</v>
      </c>
      <c r="F188" s="476">
        <v>23.559999999999981</v>
      </c>
      <c r="G188" s="476">
        <v>23.559999999999981</v>
      </c>
      <c r="H188" s="476">
        <v>0.94239999999999924</v>
      </c>
      <c r="I188" s="476">
        <v>2.0099999999999785</v>
      </c>
      <c r="J188" s="476">
        <v>13.249999999999984</v>
      </c>
      <c r="K188" s="478">
        <v>8.5299999999999709</v>
      </c>
      <c r="L188" s="476"/>
    </row>
    <row r="189" spans="1:12" x14ac:dyDescent="0.25">
      <c r="A189" s="475">
        <v>46217</v>
      </c>
      <c r="B189" s="476" t="s">
        <v>11</v>
      </c>
      <c r="C189" s="477" t="s">
        <v>116</v>
      </c>
      <c r="D189" s="477" t="s">
        <v>117</v>
      </c>
      <c r="E189" s="476">
        <v>2.8847</v>
      </c>
      <c r="F189" s="476">
        <v>14.910000000000023</v>
      </c>
      <c r="G189" s="476">
        <v>38.470000000000006</v>
      </c>
      <c r="H189" s="476">
        <v>1.5388000000000002</v>
      </c>
      <c r="I189" s="476">
        <v>4.0200000000000014</v>
      </c>
      <c r="J189" s="476">
        <v>20.27000000000001</v>
      </c>
      <c r="K189" s="478">
        <v>12.040000000000006</v>
      </c>
      <c r="L189" s="476"/>
    </row>
    <row r="190" spans="1:12" x14ac:dyDescent="0.25">
      <c r="A190" s="475">
        <v>46217</v>
      </c>
      <c r="B190" s="476" t="s">
        <v>13</v>
      </c>
      <c r="C190" s="477" t="s">
        <v>117</v>
      </c>
      <c r="D190" s="477" t="s">
        <v>124</v>
      </c>
      <c r="E190" s="476">
        <v>3.0931000000000002</v>
      </c>
      <c r="F190" s="476">
        <v>20.840000000000014</v>
      </c>
      <c r="G190" s="476">
        <v>59.310000000000016</v>
      </c>
      <c r="H190" s="476">
        <v>2.3724000000000007</v>
      </c>
      <c r="I190" s="476">
        <v>6.2800000000000189</v>
      </c>
      <c r="J190" s="476">
        <v>25.580000000000027</v>
      </c>
      <c r="K190" s="478">
        <v>16.840000000000011</v>
      </c>
      <c r="L190" s="476">
        <v>0.20840000000000014</v>
      </c>
    </row>
    <row r="191" spans="1:12" x14ac:dyDescent="0.25">
      <c r="A191" s="475">
        <v>46217</v>
      </c>
      <c r="B191" s="476" t="s">
        <v>14</v>
      </c>
      <c r="C191" s="477" t="s">
        <v>124</v>
      </c>
      <c r="D191" s="477" t="s">
        <v>123</v>
      </c>
      <c r="E191" s="476">
        <v>3.2498999999999998</v>
      </c>
      <c r="F191" s="476">
        <v>15.679999999999961</v>
      </c>
      <c r="G191" s="476">
        <v>74.989999999999981</v>
      </c>
      <c r="H191" s="476">
        <v>2.9995999999999992</v>
      </c>
      <c r="I191" s="476">
        <v>7.7699999999999658</v>
      </c>
      <c r="J191" s="476">
        <v>28.529999999999987</v>
      </c>
      <c r="K191" s="478">
        <v>19.309999999999981</v>
      </c>
      <c r="L191" s="476"/>
    </row>
    <row r="192" spans="1:12" x14ac:dyDescent="0.25">
      <c r="A192" s="475">
        <v>46217</v>
      </c>
      <c r="B192" s="476" t="s">
        <v>15</v>
      </c>
      <c r="C192" s="477" t="s">
        <v>123</v>
      </c>
      <c r="D192" s="477" t="s">
        <v>148</v>
      </c>
      <c r="E192" s="476">
        <v>3.3523999999999998</v>
      </c>
      <c r="F192" s="476">
        <v>10.250000000000004</v>
      </c>
      <c r="G192" s="476">
        <v>85.239999999999981</v>
      </c>
      <c r="H192" s="476">
        <v>3.4095999999999993</v>
      </c>
      <c r="I192" s="476">
        <v>7.7899999999999636</v>
      </c>
      <c r="J192" s="476">
        <v>29.079999999999995</v>
      </c>
      <c r="K192" s="478">
        <v>18.330000000000002</v>
      </c>
      <c r="L192" s="476"/>
    </row>
    <row r="193" spans="1:12" x14ac:dyDescent="0.25">
      <c r="A193" s="475">
        <v>46217</v>
      </c>
      <c r="B193" s="476" t="s">
        <v>17</v>
      </c>
      <c r="C193" s="477" t="s">
        <v>148</v>
      </c>
      <c r="D193" s="477" t="s">
        <v>146</v>
      </c>
      <c r="E193" s="476">
        <v>3.4216000000000002</v>
      </c>
      <c r="F193" s="476">
        <v>6.9200000000000372</v>
      </c>
      <c r="G193" s="476">
        <v>92.160000000000025</v>
      </c>
      <c r="H193" s="476">
        <v>3.6864000000000008</v>
      </c>
      <c r="I193" s="476">
        <v>8.2900000000000418</v>
      </c>
      <c r="J193" s="476" t="s">
        <v>41</v>
      </c>
      <c r="K193" s="478" t="s">
        <v>41</v>
      </c>
      <c r="L193" s="476"/>
    </row>
    <row r="194" spans="1:12" x14ac:dyDescent="0.25">
      <c r="A194" s="475">
        <v>46217</v>
      </c>
      <c r="B194" s="476"/>
      <c r="C194" s="477"/>
      <c r="D194" s="477"/>
      <c r="E194" s="476"/>
      <c r="F194" s="476"/>
      <c r="G194" s="476"/>
      <c r="H194" s="476"/>
      <c r="I194" s="476">
        <v>0</v>
      </c>
      <c r="J194" s="476">
        <v>0</v>
      </c>
      <c r="K194" s="478" t="s">
        <v>41</v>
      </c>
      <c r="L194" s="476"/>
    </row>
    <row r="195" spans="1:12" x14ac:dyDescent="0.25">
      <c r="A195" s="475">
        <v>46217</v>
      </c>
      <c r="B195" s="476"/>
      <c r="C195" s="477"/>
      <c r="D195" s="477"/>
      <c r="E195" s="476"/>
      <c r="F195" s="476"/>
      <c r="G195" s="476"/>
      <c r="H195" s="476"/>
      <c r="I195" s="476">
        <v>0</v>
      </c>
      <c r="J195" s="476">
        <v>0</v>
      </c>
      <c r="K195" s="478" t="s">
        <v>41</v>
      </c>
      <c r="L195" s="476"/>
    </row>
    <row r="196" spans="1:12" x14ac:dyDescent="0.25">
      <c r="A196" s="475">
        <v>46217</v>
      </c>
      <c r="B196" s="476"/>
      <c r="C196" s="477"/>
      <c r="D196" s="477"/>
      <c r="E196" s="476"/>
      <c r="F196" s="476"/>
      <c r="G196" s="476"/>
      <c r="H196" s="476"/>
      <c r="I196" s="476">
        <v>0</v>
      </c>
      <c r="J196" s="476">
        <v>0</v>
      </c>
      <c r="K196" s="478" t="s">
        <v>41</v>
      </c>
      <c r="L196" s="476"/>
    </row>
    <row r="197" spans="1:12" x14ac:dyDescent="0.25">
      <c r="A197" s="475">
        <v>46217</v>
      </c>
      <c r="B197" s="476"/>
      <c r="C197" s="477"/>
      <c r="D197" s="477"/>
      <c r="E197" s="476"/>
      <c r="F197" s="476"/>
      <c r="G197" s="476"/>
      <c r="H197" s="476"/>
      <c r="I197" s="476">
        <v>0</v>
      </c>
      <c r="J197" s="476">
        <v>0</v>
      </c>
      <c r="K197" s="478" t="s">
        <v>41</v>
      </c>
      <c r="L197" s="476"/>
    </row>
    <row r="198" spans="1:12" x14ac:dyDescent="0.25">
      <c r="A198" s="475">
        <v>46217</v>
      </c>
      <c r="B198" s="476"/>
      <c r="C198" s="477"/>
      <c r="D198" s="477"/>
      <c r="E198" s="476"/>
      <c r="F198" s="476"/>
      <c r="G198" s="476"/>
      <c r="H198" s="476"/>
      <c r="I198" s="476">
        <v>0</v>
      </c>
      <c r="J198" s="476">
        <v>0</v>
      </c>
      <c r="K198" s="478" t="s">
        <v>41</v>
      </c>
      <c r="L198" s="476"/>
    </row>
    <row r="199" spans="1:12" x14ac:dyDescent="0.25">
      <c r="A199" s="16">
        <v>46218</v>
      </c>
      <c r="B199" s="17" t="s">
        <v>10</v>
      </c>
      <c r="C199" s="122" t="s">
        <v>115</v>
      </c>
      <c r="D199" s="122" t="s">
        <v>116</v>
      </c>
      <c r="E199" s="17">
        <v>2.7256</v>
      </c>
      <c r="F199" s="17">
        <v>22.560000000000002</v>
      </c>
      <c r="G199" s="17">
        <v>22.560000000000002</v>
      </c>
      <c r="H199" s="17">
        <v>0.90240000000000009</v>
      </c>
      <c r="I199" s="17">
        <v>-0.99999999999997868</v>
      </c>
      <c r="J199" s="17">
        <v>1.7599999999999838</v>
      </c>
      <c r="K199" s="18">
        <v>10.80000000000001</v>
      </c>
      <c r="L199" s="17"/>
    </row>
    <row r="200" spans="1:12" x14ac:dyDescent="0.25">
      <c r="A200" s="16">
        <v>46218</v>
      </c>
      <c r="B200" s="17" t="s">
        <v>11</v>
      </c>
      <c r="C200" s="122" t="s">
        <v>116</v>
      </c>
      <c r="D200" s="122" t="s">
        <v>117</v>
      </c>
      <c r="E200" s="17">
        <v>2.8671000000000002</v>
      </c>
      <c r="F200" s="17">
        <v>14.150000000000018</v>
      </c>
      <c r="G200" s="17">
        <v>36.710000000000022</v>
      </c>
      <c r="H200" s="17">
        <v>1.4684000000000008</v>
      </c>
      <c r="I200" s="17">
        <v>-1.7599999999999838</v>
      </c>
      <c r="J200" s="17">
        <v>8.2800000000000207</v>
      </c>
      <c r="K200" s="18">
        <v>15.050000000000008</v>
      </c>
      <c r="L200" s="17"/>
    </row>
    <row r="201" spans="1:12" x14ac:dyDescent="0.25">
      <c r="A201" s="16">
        <v>46218</v>
      </c>
      <c r="B201" s="17" t="s">
        <v>13</v>
      </c>
      <c r="C201" s="122" t="s">
        <v>117</v>
      </c>
      <c r="D201" s="122" t="s">
        <v>124</v>
      </c>
      <c r="E201" s="17">
        <v>3.0779999999999998</v>
      </c>
      <c r="F201" s="17">
        <v>21.089999999999964</v>
      </c>
      <c r="G201" s="17">
        <v>57.799999999999983</v>
      </c>
      <c r="H201" s="17">
        <v>2.3119999999999994</v>
      </c>
      <c r="I201" s="17">
        <v>-1.5100000000000335</v>
      </c>
      <c r="J201" s="17">
        <v>15.329999999999977</v>
      </c>
      <c r="K201" s="18">
        <v>21.36</v>
      </c>
      <c r="L201" s="17">
        <v>0.21089999999999964</v>
      </c>
    </row>
    <row r="202" spans="1:12" x14ac:dyDescent="0.25">
      <c r="A202" s="16">
        <v>46218</v>
      </c>
      <c r="B202" s="17" t="s">
        <v>14</v>
      </c>
      <c r="C202" s="122" t="s">
        <v>124</v>
      </c>
      <c r="D202" s="122" t="s">
        <v>123</v>
      </c>
      <c r="E202" s="17">
        <v>3.2374000000000001</v>
      </c>
      <c r="F202" s="17">
        <v>15.940000000000021</v>
      </c>
      <c r="G202" s="17">
        <v>73.740000000000009</v>
      </c>
      <c r="H202" s="17">
        <v>2.9496000000000002</v>
      </c>
      <c r="I202" s="17">
        <v>-1.2499999999999734</v>
      </c>
      <c r="J202" s="17">
        <v>20.560000000000002</v>
      </c>
      <c r="K202" s="18">
        <v>26.080000000000013</v>
      </c>
      <c r="L202" s="17"/>
    </row>
    <row r="203" spans="1:12" x14ac:dyDescent="0.25">
      <c r="A203" s="16">
        <v>46218</v>
      </c>
      <c r="B203" s="17" t="s">
        <v>15</v>
      </c>
      <c r="C203" s="122" t="s">
        <v>123</v>
      </c>
      <c r="D203" s="122" t="s">
        <v>148</v>
      </c>
      <c r="E203" s="17">
        <v>3.3372999999999999</v>
      </c>
      <c r="F203" s="17">
        <v>9.9899999999999878</v>
      </c>
      <c r="G203" s="17">
        <v>83.72999999999999</v>
      </c>
      <c r="H203" s="17">
        <v>3.3491999999999997</v>
      </c>
      <c r="I203" s="17">
        <v>-1.5099999999999891</v>
      </c>
      <c r="J203" s="17">
        <v>21.090000000000011</v>
      </c>
      <c r="K203" s="18">
        <v>26.359999999999985</v>
      </c>
      <c r="L203" s="17"/>
    </row>
    <row r="204" spans="1:12" x14ac:dyDescent="0.25">
      <c r="A204" s="16">
        <v>46218</v>
      </c>
      <c r="B204" s="17" t="s">
        <v>17</v>
      </c>
      <c r="C204" s="122" t="s">
        <v>148</v>
      </c>
      <c r="D204" s="122" t="s">
        <v>146</v>
      </c>
      <c r="E204" s="17">
        <v>3.4064999999999999</v>
      </c>
      <c r="F204" s="17">
        <v>6.9199999999999928</v>
      </c>
      <c r="G204" s="17">
        <v>90.649999999999991</v>
      </c>
      <c r="H204" s="17">
        <v>3.6259999999999994</v>
      </c>
      <c r="I204" s="17">
        <v>-1.5100000000000335</v>
      </c>
      <c r="J204" s="17" t="s">
        <v>41</v>
      </c>
      <c r="K204" s="18" t="s">
        <v>41</v>
      </c>
      <c r="L204" s="17"/>
    </row>
    <row r="205" spans="1:12" x14ac:dyDescent="0.25">
      <c r="A205" s="16">
        <v>46218</v>
      </c>
      <c r="B205" s="17"/>
      <c r="C205" s="122"/>
      <c r="D205" s="122"/>
      <c r="E205" s="17"/>
      <c r="F205" s="17"/>
      <c r="G205" s="17"/>
      <c r="H205" s="17"/>
      <c r="I205" s="17">
        <v>0</v>
      </c>
      <c r="J205" s="17" t="s">
        <v>41</v>
      </c>
      <c r="K205" s="18">
        <v>0</v>
      </c>
      <c r="L205" s="17"/>
    </row>
    <row r="206" spans="1:12" x14ac:dyDescent="0.25">
      <c r="A206" s="16">
        <v>46218</v>
      </c>
      <c r="B206" s="17"/>
      <c r="C206" s="122"/>
      <c r="D206" s="122"/>
      <c r="E206" s="17"/>
      <c r="F206" s="17"/>
      <c r="G206" s="17"/>
      <c r="H206" s="17"/>
      <c r="I206" s="17">
        <v>0</v>
      </c>
      <c r="J206" s="17" t="s">
        <v>41</v>
      </c>
      <c r="K206" s="18">
        <v>0</v>
      </c>
      <c r="L206" s="17"/>
    </row>
    <row r="207" spans="1:12" x14ac:dyDescent="0.25">
      <c r="A207" s="16">
        <v>46218</v>
      </c>
      <c r="B207" s="17"/>
      <c r="C207" s="122"/>
      <c r="D207" s="122"/>
      <c r="E207" s="17"/>
      <c r="F207" s="17"/>
      <c r="G207" s="17"/>
      <c r="H207" s="17"/>
      <c r="I207" s="17">
        <v>0</v>
      </c>
      <c r="J207" s="17" t="s">
        <v>41</v>
      </c>
      <c r="K207" s="18">
        <v>0</v>
      </c>
      <c r="L207" s="17"/>
    </row>
    <row r="208" spans="1:12" x14ac:dyDescent="0.25">
      <c r="A208" s="16">
        <v>46218</v>
      </c>
      <c r="B208" s="17"/>
      <c r="C208" s="122"/>
      <c r="D208" s="122"/>
      <c r="E208" s="17"/>
      <c r="F208" s="17"/>
      <c r="G208" s="17"/>
      <c r="H208" s="17"/>
      <c r="I208" s="17">
        <v>0</v>
      </c>
      <c r="J208" s="17" t="s">
        <v>41</v>
      </c>
      <c r="K208" s="18">
        <v>0</v>
      </c>
      <c r="L208" s="17"/>
    </row>
    <row r="209" spans="1:12" x14ac:dyDescent="0.25">
      <c r="A209" s="16">
        <v>46218</v>
      </c>
      <c r="B209" s="17"/>
      <c r="C209" s="122"/>
      <c r="D209" s="122"/>
      <c r="E209" s="17"/>
      <c r="F209" s="17"/>
      <c r="G209" s="17"/>
      <c r="H209" s="17"/>
      <c r="I209" s="17">
        <v>0</v>
      </c>
      <c r="J209" s="17" t="s">
        <v>41</v>
      </c>
      <c r="K209" s="18">
        <v>0</v>
      </c>
      <c r="L209" s="17"/>
    </row>
    <row r="210" spans="1:12" x14ac:dyDescent="0.25">
      <c r="A210" s="16">
        <v>46219</v>
      </c>
      <c r="B210" s="17" t="s">
        <v>10</v>
      </c>
      <c r="C210" s="122" t="s">
        <v>115</v>
      </c>
      <c r="D210" s="122" t="s">
        <v>116</v>
      </c>
      <c r="E210" s="17">
        <v>2.7281</v>
      </c>
      <c r="F210" s="17">
        <v>22.809999999999995</v>
      </c>
      <c r="G210" s="17">
        <v>22.809999999999995</v>
      </c>
      <c r="H210" s="17">
        <v>0.91239999999999977</v>
      </c>
      <c r="I210" s="17">
        <v>0.24999999999999467</v>
      </c>
      <c r="J210" s="17">
        <v>0.49999999999998934</v>
      </c>
      <c r="K210" s="18">
        <v>12.049999999999983</v>
      </c>
      <c r="L210" s="17"/>
    </row>
    <row r="211" spans="1:12" x14ac:dyDescent="0.25">
      <c r="A211" s="16">
        <v>46219</v>
      </c>
      <c r="B211" s="17" t="s">
        <v>11</v>
      </c>
      <c r="C211" s="122" t="s">
        <v>116</v>
      </c>
      <c r="D211" s="122" t="s">
        <v>117</v>
      </c>
      <c r="E211" s="17">
        <v>2.8620999999999999</v>
      </c>
      <c r="F211" s="17">
        <v>13.39999999999999</v>
      </c>
      <c r="G211" s="17">
        <v>36.209999999999987</v>
      </c>
      <c r="H211" s="17">
        <v>1.4483999999999995</v>
      </c>
      <c r="I211" s="17">
        <v>-0.50000000000003375</v>
      </c>
      <c r="J211" s="17">
        <v>3.2599999999999962</v>
      </c>
      <c r="K211" s="18">
        <v>16.549999999999976</v>
      </c>
      <c r="L211" s="17"/>
    </row>
    <row r="212" spans="1:12" x14ac:dyDescent="0.25">
      <c r="A212" s="16">
        <v>46219</v>
      </c>
      <c r="B212" s="17" t="s">
        <v>13</v>
      </c>
      <c r="C212" s="122" t="s">
        <v>117</v>
      </c>
      <c r="D212" s="122" t="s">
        <v>124</v>
      </c>
      <c r="E212" s="17">
        <v>3.0629</v>
      </c>
      <c r="F212" s="17">
        <v>20.080000000000009</v>
      </c>
      <c r="G212" s="17">
        <v>56.289999999999992</v>
      </c>
      <c r="H212" s="17">
        <v>2.2515999999999998</v>
      </c>
      <c r="I212" s="17">
        <v>-1.5099999999999891</v>
      </c>
      <c r="J212" s="17">
        <v>6.0299999999999798</v>
      </c>
      <c r="K212" s="18">
        <v>22.359999999999978</v>
      </c>
      <c r="L212" s="17">
        <v>0.20080000000000009</v>
      </c>
    </row>
    <row r="213" spans="1:12" x14ac:dyDescent="0.25">
      <c r="A213" s="16">
        <v>46219</v>
      </c>
      <c r="B213" s="17" t="s">
        <v>14</v>
      </c>
      <c r="C213" s="122" t="s">
        <v>124</v>
      </c>
      <c r="D213" s="122" t="s">
        <v>123</v>
      </c>
      <c r="E213" s="17">
        <v>3.2172999999999998</v>
      </c>
      <c r="F213" s="17">
        <v>15.439999999999987</v>
      </c>
      <c r="G213" s="17">
        <v>71.72999999999999</v>
      </c>
      <c r="H213" s="17">
        <v>2.8691999999999998</v>
      </c>
      <c r="I213" s="17">
        <v>-2.0100000000000229</v>
      </c>
      <c r="J213" s="17">
        <v>9.0300000000000047</v>
      </c>
      <c r="K213" s="18">
        <v>26.83</v>
      </c>
      <c r="L213" s="17"/>
    </row>
    <row r="214" spans="1:12" x14ac:dyDescent="0.25">
      <c r="A214" s="16">
        <v>46219</v>
      </c>
      <c r="B214" s="17" t="s">
        <v>15</v>
      </c>
      <c r="C214" s="122" t="s">
        <v>123</v>
      </c>
      <c r="D214" s="122" t="s">
        <v>148</v>
      </c>
      <c r="E214" s="17">
        <v>3.3197000000000001</v>
      </c>
      <c r="F214" s="17">
        <v>10.240000000000027</v>
      </c>
      <c r="G214" s="17">
        <v>81.970000000000013</v>
      </c>
      <c r="H214" s="17">
        <v>3.2788000000000004</v>
      </c>
      <c r="I214" s="17">
        <v>-1.7599999999999838</v>
      </c>
      <c r="J214" s="17">
        <v>9.2900000000000205</v>
      </c>
      <c r="K214" s="18">
        <v>27.360000000000007</v>
      </c>
      <c r="L214" s="17"/>
    </row>
    <row r="215" spans="1:12" x14ac:dyDescent="0.25">
      <c r="A215" s="16">
        <v>46219</v>
      </c>
      <c r="B215" s="17" t="s">
        <v>17</v>
      </c>
      <c r="C215" s="122" t="s">
        <v>148</v>
      </c>
      <c r="D215" s="122" t="s">
        <v>146</v>
      </c>
      <c r="E215" s="17">
        <v>3.3940000000000001</v>
      </c>
      <c r="F215" s="17">
        <v>7.4300000000000033</v>
      </c>
      <c r="G215" s="17">
        <v>89.4</v>
      </c>
      <c r="H215" s="17">
        <v>3.5760000000000001</v>
      </c>
      <c r="I215" s="17">
        <v>-1.2499999999999734</v>
      </c>
      <c r="J215" s="17" t="s">
        <v>41</v>
      </c>
      <c r="K215" s="18" t="s">
        <v>41</v>
      </c>
      <c r="L215" s="17"/>
    </row>
    <row r="216" spans="1:12" x14ac:dyDescent="0.25">
      <c r="A216" s="16">
        <v>46219</v>
      </c>
      <c r="B216" s="17"/>
      <c r="C216" s="122"/>
      <c r="D216" s="122"/>
      <c r="E216" s="17"/>
      <c r="F216" s="17"/>
      <c r="G216" s="17"/>
      <c r="H216" s="17"/>
      <c r="I216" s="17">
        <v>0</v>
      </c>
      <c r="J216" s="17" t="s">
        <v>41</v>
      </c>
      <c r="K216" s="18">
        <v>0</v>
      </c>
      <c r="L216" s="17"/>
    </row>
    <row r="217" spans="1:12" x14ac:dyDescent="0.25">
      <c r="A217" s="16">
        <v>46219</v>
      </c>
      <c r="B217" s="17"/>
      <c r="C217" s="122"/>
      <c r="D217" s="122"/>
      <c r="E217" s="17"/>
      <c r="F217" s="17"/>
      <c r="G217" s="17"/>
      <c r="H217" s="17"/>
      <c r="I217" s="17">
        <v>0</v>
      </c>
      <c r="J217" s="17" t="s">
        <v>41</v>
      </c>
      <c r="K217" s="18">
        <v>0</v>
      </c>
      <c r="L217" s="17"/>
    </row>
    <row r="218" spans="1:12" x14ac:dyDescent="0.25">
      <c r="A218" s="16">
        <v>46219</v>
      </c>
      <c r="B218" s="17"/>
      <c r="C218" s="122"/>
      <c r="D218" s="122"/>
      <c r="E218" s="17"/>
      <c r="F218" s="17"/>
      <c r="G218" s="17"/>
      <c r="H218" s="17"/>
      <c r="I218" s="17">
        <v>0</v>
      </c>
      <c r="J218" s="17" t="s">
        <v>41</v>
      </c>
      <c r="K218" s="18">
        <v>0</v>
      </c>
      <c r="L218" s="17"/>
    </row>
    <row r="219" spans="1:12" x14ac:dyDescent="0.25">
      <c r="A219" s="16">
        <v>46219</v>
      </c>
      <c r="B219" s="17"/>
      <c r="C219" s="122"/>
      <c r="D219" s="122"/>
      <c r="E219" s="17"/>
      <c r="F219" s="17"/>
      <c r="G219" s="17"/>
      <c r="H219" s="17"/>
      <c r="I219" s="17">
        <v>0</v>
      </c>
      <c r="J219" s="17" t="s">
        <v>41</v>
      </c>
      <c r="K219" s="18">
        <v>0</v>
      </c>
      <c r="L219" s="17"/>
    </row>
    <row r="220" spans="1:12" x14ac:dyDescent="0.25">
      <c r="A220" s="16">
        <v>46219</v>
      </c>
      <c r="B220" s="17"/>
      <c r="C220" s="122"/>
      <c r="D220" s="122"/>
      <c r="E220" s="17"/>
      <c r="F220" s="17"/>
      <c r="G220" s="17"/>
      <c r="H220" s="17"/>
      <c r="I220" s="17">
        <v>0</v>
      </c>
      <c r="J220" s="17" t="s">
        <v>41</v>
      </c>
      <c r="K220" s="18">
        <v>0</v>
      </c>
      <c r="L220" s="17"/>
    </row>
    <row r="221" spans="1:12" x14ac:dyDescent="0.25">
      <c r="A221" s="490">
        <v>46220</v>
      </c>
      <c r="B221" s="491" t="s">
        <v>10</v>
      </c>
      <c r="C221" s="492" t="s">
        <v>115</v>
      </c>
      <c r="D221" s="492" t="s">
        <v>116</v>
      </c>
      <c r="E221" s="491">
        <v>2.7305999999999999</v>
      </c>
      <c r="F221" s="491">
        <v>23.059999999999992</v>
      </c>
      <c r="G221" s="491">
        <v>23.059999999999992</v>
      </c>
      <c r="H221" s="491">
        <v>0.92239999999999966</v>
      </c>
      <c r="I221" s="491">
        <v>0.24999999999999467</v>
      </c>
      <c r="J221" s="491">
        <v>1.2499999999999734</v>
      </c>
      <c r="K221" s="493">
        <v>13.3</v>
      </c>
      <c r="L221" s="491"/>
    </row>
    <row r="222" spans="1:12" x14ac:dyDescent="0.25">
      <c r="A222" s="490">
        <v>46220</v>
      </c>
      <c r="B222" s="491" t="s">
        <v>11</v>
      </c>
      <c r="C222" s="492" t="s">
        <v>116</v>
      </c>
      <c r="D222" s="492" t="s">
        <v>117</v>
      </c>
      <c r="E222" s="491">
        <v>2.8645999999999998</v>
      </c>
      <c r="F222" s="491">
        <v>13.39999999999999</v>
      </c>
      <c r="G222" s="491">
        <v>36.45999999999998</v>
      </c>
      <c r="H222" s="491">
        <v>1.4583999999999993</v>
      </c>
      <c r="I222" s="491">
        <v>0.24999999999999467</v>
      </c>
      <c r="J222" s="491">
        <v>4.0099999999999802</v>
      </c>
      <c r="K222" s="493">
        <v>18.809999999999995</v>
      </c>
      <c r="L222" s="491"/>
    </row>
    <row r="223" spans="1:12" x14ac:dyDescent="0.25">
      <c r="A223" s="490">
        <v>46220</v>
      </c>
      <c r="B223" s="491" t="s">
        <v>13</v>
      </c>
      <c r="C223" s="492" t="s">
        <v>117</v>
      </c>
      <c r="D223" s="492" t="s">
        <v>124</v>
      </c>
      <c r="E223" s="491">
        <v>3.0680000000000001</v>
      </c>
      <c r="F223" s="491">
        <v>20.340000000000025</v>
      </c>
      <c r="G223" s="491">
        <v>56.800000000000004</v>
      </c>
      <c r="H223" s="491">
        <v>2.2720000000000002</v>
      </c>
      <c r="I223" s="491">
        <v>0.51000000000001044</v>
      </c>
      <c r="J223" s="491">
        <v>7.040000000000024</v>
      </c>
      <c r="K223" s="493">
        <v>24.370000000000005</v>
      </c>
      <c r="L223" s="491">
        <v>0.20340000000000025</v>
      </c>
    </row>
    <row r="224" spans="1:12" x14ac:dyDescent="0.25">
      <c r="A224" s="490">
        <v>46220</v>
      </c>
      <c r="B224" s="491" t="s">
        <v>14</v>
      </c>
      <c r="C224" s="492" t="s">
        <v>124</v>
      </c>
      <c r="D224" s="492" t="s">
        <v>123</v>
      </c>
      <c r="E224" s="491">
        <v>3.2223000000000002</v>
      </c>
      <c r="F224" s="491">
        <v>15.43000000000001</v>
      </c>
      <c r="G224" s="491">
        <v>72.230000000000018</v>
      </c>
      <c r="H224" s="491">
        <v>2.8892000000000007</v>
      </c>
      <c r="I224" s="491">
        <v>0.50000000000003375</v>
      </c>
      <c r="J224" s="491">
        <v>10.030000000000028</v>
      </c>
      <c r="K224" s="493">
        <v>29.830000000000023</v>
      </c>
      <c r="L224" s="491"/>
    </row>
    <row r="225" spans="1:12" x14ac:dyDescent="0.25">
      <c r="A225" s="490">
        <v>46220</v>
      </c>
      <c r="B225" s="491" t="s">
        <v>15</v>
      </c>
      <c r="C225" s="492" t="s">
        <v>123</v>
      </c>
      <c r="D225" s="492" t="s">
        <v>148</v>
      </c>
      <c r="E225" s="491">
        <v>3.3273000000000001</v>
      </c>
      <c r="F225" s="491">
        <v>10.499999999999998</v>
      </c>
      <c r="G225" s="491">
        <v>82.730000000000018</v>
      </c>
      <c r="H225" s="491">
        <v>3.3092000000000006</v>
      </c>
      <c r="I225" s="491">
        <v>0.76000000000000512</v>
      </c>
      <c r="J225" s="491">
        <v>10.550000000000015</v>
      </c>
      <c r="K225" s="493">
        <v>31.130000000000013</v>
      </c>
      <c r="L225" s="491"/>
    </row>
    <row r="226" spans="1:12" x14ac:dyDescent="0.25">
      <c r="A226" s="490">
        <v>46220</v>
      </c>
      <c r="B226" s="491" t="s">
        <v>17</v>
      </c>
      <c r="C226" s="492" t="s">
        <v>148</v>
      </c>
      <c r="D226" s="492" t="s">
        <v>146</v>
      </c>
      <c r="E226" s="491">
        <v>3.4015</v>
      </c>
      <c r="F226" s="491">
        <v>7.4199999999999822</v>
      </c>
      <c r="G226" s="491">
        <v>90.149999999999991</v>
      </c>
      <c r="H226" s="491">
        <v>3.6059999999999999</v>
      </c>
      <c r="I226" s="491">
        <v>0.74999999999998401</v>
      </c>
      <c r="J226" s="491">
        <v>11.549999999999994</v>
      </c>
      <c r="K226" s="493" t="s">
        <v>41</v>
      </c>
      <c r="L226" s="491"/>
    </row>
    <row r="227" spans="1:12" x14ac:dyDescent="0.25">
      <c r="A227" s="490">
        <v>46220</v>
      </c>
      <c r="B227" s="491"/>
      <c r="C227" s="492"/>
      <c r="D227" s="492"/>
      <c r="E227" s="491"/>
      <c r="F227" s="491"/>
      <c r="G227" s="491"/>
      <c r="H227" s="491"/>
      <c r="I227" s="491">
        <v>0</v>
      </c>
      <c r="J227" s="491">
        <v>0</v>
      </c>
      <c r="K227" s="493">
        <v>0</v>
      </c>
      <c r="L227" s="491"/>
    </row>
    <row r="228" spans="1:12" x14ac:dyDescent="0.25">
      <c r="A228" s="490">
        <v>46220</v>
      </c>
      <c r="B228" s="491"/>
      <c r="C228" s="492"/>
      <c r="D228" s="492"/>
      <c r="E228" s="491"/>
      <c r="F228" s="491"/>
      <c r="G228" s="491"/>
      <c r="H228" s="491"/>
      <c r="I228" s="491">
        <v>0</v>
      </c>
      <c r="J228" s="491">
        <v>0</v>
      </c>
      <c r="K228" s="493">
        <v>0</v>
      </c>
      <c r="L228" s="491"/>
    </row>
    <row r="229" spans="1:12" x14ac:dyDescent="0.25">
      <c r="A229" s="490">
        <v>46220</v>
      </c>
      <c r="B229" s="491"/>
      <c r="C229" s="492"/>
      <c r="D229" s="492"/>
      <c r="E229" s="491"/>
      <c r="F229" s="491"/>
      <c r="G229" s="491"/>
      <c r="H229" s="491"/>
      <c r="I229" s="491">
        <v>0</v>
      </c>
      <c r="J229" s="491">
        <v>0</v>
      </c>
      <c r="K229" s="493">
        <v>0</v>
      </c>
      <c r="L229" s="491"/>
    </row>
    <row r="230" spans="1:12" x14ac:dyDescent="0.25">
      <c r="A230" s="490">
        <v>46220</v>
      </c>
      <c r="B230" s="491"/>
      <c r="C230" s="492"/>
      <c r="D230" s="492"/>
      <c r="E230" s="491"/>
      <c r="F230" s="491"/>
      <c r="G230" s="491"/>
      <c r="H230" s="491"/>
      <c r="I230" s="491">
        <v>0</v>
      </c>
      <c r="J230" s="491">
        <v>0</v>
      </c>
      <c r="K230" s="493">
        <v>0</v>
      </c>
      <c r="L230" s="491"/>
    </row>
    <row r="231" spans="1:12" x14ac:dyDescent="0.25">
      <c r="A231" s="490">
        <v>46220</v>
      </c>
      <c r="B231" s="491"/>
      <c r="C231" s="492"/>
      <c r="D231" s="492"/>
      <c r="E231" s="491"/>
      <c r="F231" s="491"/>
      <c r="G231" s="491"/>
      <c r="H231" s="491"/>
      <c r="I231" s="491">
        <v>0</v>
      </c>
      <c r="J231" s="491">
        <v>0</v>
      </c>
      <c r="K231" s="493">
        <v>0</v>
      </c>
      <c r="L231" s="491"/>
    </row>
    <row r="232" spans="1:12" x14ac:dyDescent="0.25">
      <c r="A232" s="490">
        <v>46223</v>
      </c>
      <c r="B232" s="491" t="s">
        <v>10</v>
      </c>
      <c r="C232" s="492" t="s">
        <v>115</v>
      </c>
      <c r="D232" s="492" t="s">
        <v>116</v>
      </c>
      <c r="E232" s="491">
        <v>2.7355999999999998</v>
      </c>
      <c r="F232" s="491">
        <v>23.559999999999981</v>
      </c>
      <c r="G232" s="491">
        <v>23.559999999999981</v>
      </c>
      <c r="H232" s="491">
        <v>0.94239999999999924</v>
      </c>
      <c r="I232" s="491">
        <v>0.49999999999998934</v>
      </c>
      <c r="J232" s="491">
        <v>2.0099999999999785</v>
      </c>
      <c r="K232" s="493">
        <v>13.79999999999999</v>
      </c>
      <c r="L232" s="491"/>
    </row>
    <row r="233" spans="1:12" x14ac:dyDescent="0.25">
      <c r="A233" s="490">
        <v>46223</v>
      </c>
      <c r="B233" s="491" t="s">
        <v>11</v>
      </c>
      <c r="C233" s="492" t="s">
        <v>116</v>
      </c>
      <c r="D233" s="492" t="s">
        <v>117</v>
      </c>
      <c r="E233" s="491">
        <v>2.8896999999999999</v>
      </c>
      <c r="F233" s="491">
        <v>15.410000000000013</v>
      </c>
      <c r="G233" s="491">
        <v>38.969999999999992</v>
      </c>
      <c r="H233" s="491">
        <v>1.5587999999999997</v>
      </c>
      <c r="I233" s="491">
        <v>2.5100000000000122</v>
      </c>
      <c r="J233" s="491">
        <v>4.5199999999999907</v>
      </c>
      <c r="K233" s="493">
        <v>21.320000000000007</v>
      </c>
      <c r="L233" s="491"/>
    </row>
    <row r="234" spans="1:12" x14ac:dyDescent="0.25">
      <c r="A234" s="490">
        <v>46223</v>
      </c>
      <c r="B234" s="491" t="s">
        <v>13</v>
      </c>
      <c r="C234" s="492" t="s">
        <v>117</v>
      </c>
      <c r="D234" s="492" t="s">
        <v>124</v>
      </c>
      <c r="E234" s="491">
        <v>3.1031</v>
      </c>
      <c r="F234" s="491">
        <v>21.340000000000003</v>
      </c>
      <c r="G234" s="491">
        <v>60.309999999999995</v>
      </c>
      <c r="H234" s="491">
        <v>2.4123999999999999</v>
      </c>
      <c r="I234" s="491">
        <v>3.5099999999999909</v>
      </c>
      <c r="J234" s="491">
        <v>7.2799999999999976</v>
      </c>
      <c r="K234" s="493">
        <v>27.879999999999995</v>
      </c>
      <c r="L234" s="491">
        <v>0.21340000000000003</v>
      </c>
    </row>
    <row r="235" spans="1:12" x14ac:dyDescent="0.25">
      <c r="A235" s="490">
        <v>46223</v>
      </c>
      <c r="B235" s="491" t="s">
        <v>14</v>
      </c>
      <c r="C235" s="492" t="s">
        <v>124</v>
      </c>
      <c r="D235" s="492" t="s">
        <v>123</v>
      </c>
      <c r="E235" s="491">
        <v>3.28</v>
      </c>
      <c r="F235" s="491">
        <v>17.689999999999984</v>
      </c>
      <c r="G235" s="491">
        <v>77.999999999999986</v>
      </c>
      <c r="H235" s="491">
        <v>3.1199999999999992</v>
      </c>
      <c r="I235" s="491">
        <v>5.769999999999964</v>
      </c>
      <c r="J235" s="491">
        <v>10.779999999999967</v>
      </c>
      <c r="K235" s="493">
        <v>35.599999999999987</v>
      </c>
      <c r="L235" s="491"/>
    </row>
    <row r="236" spans="1:12" x14ac:dyDescent="0.25">
      <c r="A236" s="490">
        <v>46223</v>
      </c>
      <c r="B236" s="491" t="s">
        <v>15</v>
      </c>
      <c r="C236" s="492" t="s">
        <v>123</v>
      </c>
      <c r="D236" s="492" t="s">
        <v>148</v>
      </c>
      <c r="E236" s="491">
        <v>3.3950999999999998</v>
      </c>
      <c r="F236" s="491">
        <v>11.509999999999998</v>
      </c>
      <c r="G236" s="491">
        <v>89.509999999999977</v>
      </c>
      <c r="H236" s="491">
        <v>3.5803999999999991</v>
      </c>
      <c r="I236" s="491">
        <v>6.7799999999999638</v>
      </c>
      <c r="J236" s="491">
        <v>12.05999999999996</v>
      </c>
      <c r="K236" s="493">
        <v>37.909999999999975</v>
      </c>
      <c r="L236" s="491"/>
    </row>
    <row r="237" spans="1:12" x14ac:dyDescent="0.25">
      <c r="A237" s="490">
        <v>46223</v>
      </c>
      <c r="B237" s="491" t="s">
        <v>17</v>
      </c>
      <c r="C237" s="492" t="s">
        <v>148</v>
      </c>
      <c r="D237" s="492" t="s">
        <v>146</v>
      </c>
      <c r="E237" s="491">
        <v>3.4742999999999999</v>
      </c>
      <c r="F237" s="491">
        <v>7.9200000000000159</v>
      </c>
      <c r="G237" s="491">
        <v>97.429999999999993</v>
      </c>
      <c r="H237" s="491">
        <v>3.8971999999999998</v>
      </c>
      <c r="I237" s="491">
        <v>7.2799999999999976</v>
      </c>
      <c r="J237" s="491">
        <v>13.560000000000016</v>
      </c>
      <c r="K237" s="493" t="s">
        <v>41</v>
      </c>
      <c r="L237" s="491"/>
    </row>
    <row r="238" spans="1:12" x14ac:dyDescent="0.25">
      <c r="A238" s="490">
        <v>46223</v>
      </c>
      <c r="B238" s="491"/>
      <c r="C238" s="492"/>
      <c r="D238" s="492"/>
      <c r="E238" s="491"/>
      <c r="F238" s="491"/>
      <c r="G238" s="491"/>
      <c r="H238" s="491"/>
      <c r="I238" s="491">
        <v>0</v>
      </c>
      <c r="J238" s="491">
        <v>0</v>
      </c>
      <c r="K238" s="493">
        <v>0</v>
      </c>
      <c r="L238" s="491"/>
    </row>
    <row r="239" spans="1:12" x14ac:dyDescent="0.25">
      <c r="A239" s="490">
        <v>46223</v>
      </c>
      <c r="B239" s="491"/>
      <c r="C239" s="492"/>
      <c r="D239" s="492"/>
      <c r="E239" s="491"/>
      <c r="F239" s="491"/>
      <c r="G239" s="491"/>
      <c r="H239" s="491"/>
      <c r="I239" s="491">
        <v>0</v>
      </c>
      <c r="J239" s="491">
        <v>0</v>
      </c>
      <c r="K239" s="493">
        <v>0</v>
      </c>
      <c r="L239" s="491"/>
    </row>
    <row r="240" spans="1:12" x14ac:dyDescent="0.25">
      <c r="A240" s="490">
        <v>46223</v>
      </c>
      <c r="B240" s="491"/>
      <c r="C240" s="492"/>
      <c r="D240" s="492"/>
      <c r="E240" s="491"/>
      <c r="F240" s="491"/>
      <c r="G240" s="491"/>
      <c r="H240" s="491"/>
      <c r="I240" s="491">
        <v>0</v>
      </c>
      <c r="J240" s="491">
        <v>0</v>
      </c>
      <c r="K240" s="493">
        <v>0</v>
      </c>
      <c r="L240" s="491"/>
    </row>
    <row r="241" spans="1:12" x14ac:dyDescent="0.25">
      <c r="A241" s="490">
        <v>46223</v>
      </c>
      <c r="B241" s="491"/>
      <c r="C241" s="492"/>
      <c r="D241" s="492"/>
      <c r="E241" s="491"/>
      <c r="F241" s="491"/>
      <c r="G241" s="491"/>
      <c r="H241" s="491"/>
      <c r="I241" s="491">
        <v>0</v>
      </c>
      <c r="J241" s="491">
        <v>0</v>
      </c>
      <c r="K241" s="493">
        <v>0</v>
      </c>
      <c r="L241" s="491"/>
    </row>
    <row r="242" spans="1:12" x14ac:dyDescent="0.25">
      <c r="A242" s="490">
        <v>46223</v>
      </c>
      <c r="B242" s="491"/>
      <c r="C242" s="492"/>
      <c r="D242" s="492"/>
      <c r="E242" s="491"/>
      <c r="F242" s="491"/>
      <c r="G242" s="491"/>
      <c r="H242" s="491"/>
      <c r="I242" s="491">
        <v>0</v>
      </c>
      <c r="J242" s="491">
        <v>0</v>
      </c>
      <c r="K242" s="493">
        <v>0</v>
      </c>
      <c r="L242" s="491"/>
    </row>
    <row r="243" spans="1:12" x14ac:dyDescent="0.25">
      <c r="A243" s="490">
        <v>46224</v>
      </c>
      <c r="B243" s="491" t="s">
        <v>10</v>
      </c>
      <c r="C243" s="492" t="s">
        <v>115</v>
      </c>
      <c r="D243" s="492" t="s">
        <v>116</v>
      </c>
      <c r="E243" s="491">
        <v>2.7305999999999999</v>
      </c>
      <c r="F243" s="491">
        <v>23.059999999999992</v>
      </c>
      <c r="G243" s="491">
        <v>23.059999999999992</v>
      </c>
      <c r="H243" s="491">
        <v>0.92239999999999966</v>
      </c>
      <c r="I243" s="491">
        <v>-0.49999999999998934</v>
      </c>
      <c r="J243" s="491">
        <v>-0.49999999999998934</v>
      </c>
      <c r="K243" s="493">
        <v>9.0399999999999814</v>
      </c>
      <c r="L243" s="491"/>
    </row>
    <row r="244" spans="1:12" x14ac:dyDescent="0.25">
      <c r="A244" s="490">
        <v>46224</v>
      </c>
      <c r="B244" s="491" t="s">
        <v>11</v>
      </c>
      <c r="C244" s="492" t="s">
        <v>116</v>
      </c>
      <c r="D244" s="492" t="s">
        <v>117</v>
      </c>
      <c r="E244" s="491">
        <v>2.8896999999999999</v>
      </c>
      <c r="F244" s="491">
        <v>15.910000000000002</v>
      </c>
      <c r="G244" s="491">
        <v>38.969999999999992</v>
      </c>
      <c r="H244" s="491">
        <v>1.5587999999999997</v>
      </c>
      <c r="I244" s="491">
        <v>0</v>
      </c>
      <c r="J244" s="491">
        <v>0.49999999999998934</v>
      </c>
      <c r="K244" s="493">
        <v>16.800000000000015</v>
      </c>
      <c r="L244" s="491"/>
    </row>
    <row r="245" spans="1:12" x14ac:dyDescent="0.25">
      <c r="A245" s="490">
        <v>46224</v>
      </c>
      <c r="B245" s="491" t="s">
        <v>13</v>
      </c>
      <c r="C245" s="492" t="s">
        <v>117</v>
      </c>
      <c r="D245" s="492" t="s">
        <v>124</v>
      </c>
      <c r="E245" s="491">
        <v>3.1006</v>
      </c>
      <c r="F245" s="491">
        <v>21.090000000000011</v>
      </c>
      <c r="G245" s="491">
        <v>60.06</v>
      </c>
      <c r="H245" s="491">
        <v>2.4024000000000001</v>
      </c>
      <c r="I245" s="491">
        <v>-0.24999999999999467</v>
      </c>
      <c r="J245" s="491">
        <v>0.74999999999998401</v>
      </c>
      <c r="K245" s="493">
        <v>20.849999999999991</v>
      </c>
      <c r="L245" s="491">
        <v>0.21090000000000009</v>
      </c>
    </row>
    <row r="246" spans="1:12" x14ac:dyDescent="0.25">
      <c r="A246" s="490">
        <v>46224</v>
      </c>
      <c r="B246" s="491" t="s">
        <v>14</v>
      </c>
      <c r="C246" s="492" t="s">
        <v>124</v>
      </c>
      <c r="D246" s="492" t="s">
        <v>123</v>
      </c>
      <c r="E246" s="491">
        <v>3.27</v>
      </c>
      <c r="F246" s="491">
        <v>16.939999999999998</v>
      </c>
      <c r="G246" s="491">
        <v>77</v>
      </c>
      <c r="H246" s="491">
        <v>3.08</v>
      </c>
      <c r="I246" s="491">
        <v>-0.99999999999997868</v>
      </c>
      <c r="J246" s="491">
        <v>2.0100000000000229</v>
      </c>
      <c r="K246" s="493">
        <v>27.329999999999988</v>
      </c>
      <c r="L246" s="491"/>
    </row>
    <row r="247" spans="1:12" x14ac:dyDescent="0.25">
      <c r="A247" s="490">
        <v>46224</v>
      </c>
      <c r="B247" s="491" t="s">
        <v>15</v>
      </c>
      <c r="C247" s="492" t="s">
        <v>123</v>
      </c>
      <c r="D247" s="492" t="s">
        <v>148</v>
      </c>
      <c r="E247" s="491">
        <v>3.3824999999999998</v>
      </c>
      <c r="F247" s="491">
        <v>11.249999999999982</v>
      </c>
      <c r="G247" s="491">
        <v>88.249999999999986</v>
      </c>
      <c r="H247" s="491">
        <v>3.5299999999999994</v>
      </c>
      <c r="I247" s="491">
        <v>-1.2599999999999945</v>
      </c>
      <c r="J247" s="491">
        <v>3.0100000000000016</v>
      </c>
      <c r="K247" s="493">
        <v>29.369999999999983</v>
      </c>
      <c r="L247" s="491"/>
    </row>
    <row r="248" spans="1:12" x14ac:dyDescent="0.25">
      <c r="A248" s="490">
        <v>46224</v>
      </c>
      <c r="B248" s="491" t="s">
        <v>17</v>
      </c>
      <c r="C248" s="492" t="s">
        <v>148</v>
      </c>
      <c r="D248" s="492" t="s">
        <v>146</v>
      </c>
      <c r="E248" s="491">
        <v>3.4617</v>
      </c>
      <c r="F248" s="491">
        <v>7.9200000000000159</v>
      </c>
      <c r="G248" s="491">
        <v>96.17</v>
      </c>
      <c r="H248" s="491">
        <v>3.8468</v>
      </c>
      <c r="I248" s="491">
        <v>-1.2599999999999945</v>
      </c>
      <c r="J248" s="491">
        <v>4.0099999999999802</v>
      </c>
      <c r="K248" s="493" t="s">
        <v>41</v>
      </c>
      <c r="L248" s="491"/>
    </row>
    <row r="249" spans="1:12" x14ac:dyDescent="0.25">
      <c r="A249" s="490">
        <v>46224</v>
      </c>
      <c r="B249" s="491"/>
      <c r="C249" s="492"/>
      <c r="D249" s="492"/>
      <c r="E249" s="491"/>
      <c r="F249" s="491"/>
      <c r="G249" s="491"/>
      <c r="H249" s="491"/>
      <c r="I249" s="491">
        <v>0</v>
      </c>
      <c r="J249" s="491">
        <v>0</v>
      </c>
      <c r="K249" s="493">
        <v>0</v>
      </c>
      <c r="L249" s="491"/>
    </row>
    <row r="250" spans="1:12" x14ac:dyDescent="0.25">
      <c r="A250" s="490">
        <v>46224</v>
      </c>
      <c r="B250" s="491"/>
      <c r="C250" s="492"/>
      <c r="D250" s="492"/>
      <c r="E250" s="491"/>
      <c r="F250" s="491"/>
      <c r="G250" s="491"/>
      <c r="H250" s="491"/>
      <c r="I250" s="491">
        <v>0</v>
      </c>
      <c r="J250" s="491">
        <v>0</v>
      </c>
      <c r="K250" s="493">
        <v>0</v>
      </c>
      <c r="L250" s="491"/>
    </row>
    <row r="251" spans="1:12" x14ac:dyDescent="0.25">
      <c r="A251" s="490">
        <v>46224</v>
      </c>
      <c r="B251" s="491"/>
      <c r="C251" s="492"/>
      <c r="D251" s="492"/>
      <c r="E251" s="491"/>
      <c r="F251" s="491"/>
      <c r="G251" s="491"/>
      <c r="H251" s="491"/>
      <c r="I251" s="491">
        <v>0</v>
      </c>
      <c r="J251" s="491">
        <v>0</v>
      </c>
      <c r="K251" s="493">
        <v>0</v>
      </c>
      <c r="L251" s="491"/>
    </row>
    <row r="252" spans="1:12" x14ac:dyDescent="0.25">
      <c r="A252" s="490">
        <v>46224</v>
      </c>
      <c r="B252" s="491"/>
      <c r="C252" s="492"/>
      <c r="D252" s="492"/>
      <c r="E252" s="491"/>
      <c r="F252" s="491"/>
      <c r="G252" s="491"/>
      <c r="H252" s="491"/>
      <c r="I252" s="491">
        <v>0</v>
      </c>
      <c r="J252" s="491">
        <v>0</v>
      </c>
      <c r="K252" s="493">
        <v>0</v>
      </c>
      <c r="L252" s="491"/>
    </row>
    <row r="253" spans="1:12" x14ac:dyDescent="0.25">
      <c r="A253" s="490">
        <v>46224</v>
      </c>
      <c r="B253" s="491"/>
      <c r="C253" s="492"/>
      <c r="D253" s="492"/>
      <c r="E253" s="491"/>
      <c r="F253" s="491"/>
      <c r="G253" s="491"/>
      <c r="H253" s="491"/>
      <c r="I253" s="491">
        <v>0</v>
      </c>
      <c r="J253" s="491">
        <v>0</v>
      </c>
      <c r="K253" s="493">
        <v>0</v>
      </c>
      <c r="L253" s="491"/>
    </row>
    <row r="254" spans="1:12" x14ac:dyDescent="0.25">
      <c r="A254" s="505">
        <v>46225</v>
      </c>
      <c r="B254" s="506" t="s">
        <v>10</v>
      </c>
      <c r="C254" s="507" t="s">
        <v>115</v>
      </c>
      <c r="D254" s="507" t="s">
        <v>116</v>
      </c>
      <c r="E254" s="506">
        <v>2.7355999999999998</v>
      </c>
      <c r="F254" s="506">
        <v>23.559999999999981</v>
      </c>
      <c r="G254" s="506">
        <v>23.559999999999981</v>
      </c>
      <c r="H254" s="506">
        <v>0.94239999999999924</v>
      </c>
      <c r="I254" s="506">
        <v>0.49999999999998934</v>
      </c>
      <c r="J254" s="506">
        <v>0.99999999999997868</v>
      </c>
      <c r="K254" s="508">
        <v>9.0599999999999792</v>
      </c>
      <c r="L254" s="506"/>
    </row>
    <row r="255" spans="1:12" x14ac:dyDescent="0.25">
      <c r="A255" s="505">
        <v>46225</v>
      </c>
      <c r="B255" s="506" t="s">
        <v>11</v>
      </c>
      <c r="C255" s="507" t="s">
        <v>116</v>
      </c>
      <c r="D255" s="507" t="s">
        <v>117</v>
      </c>
      <c r="E255" s="506">
        <v>2.8896999999999999</v>
      </c>
      <c r="F255" s="506">
        <v>15.410000000000013</v>
      </c>
      <c r="G255" s="506">
        <v>38.969999999999992</v>
      </c>
      <c r="H255" s="506">
        <v>1.5587999999999997</v>
      </c>
      <c r="I255" s="506">
        <v>0</v>
      </c>
      <c r="J255" s="506">
        <v>2.2599999999999731</v>
      </c>
      <c r="K255" s="508">
        <v>16.270000000000007</v>
      </c>
      <c r="L255" s="506"/>
    </row>
    <row r="256" spans="1:12" x14ac:dyDescent="0.25">
      <c r="A256" s="505">
        <v>46225</v>
      </c>
      <c r="B256" s="506" t="s">
        <v>13</v>
      </c>
      <c r="C256" s="507" t="s">
        <v>117</v>
      </c>
      <c r="D256" s="507" t="s">
        <v>124</v>
      </c>
      <c r="E256" s="506">
        <v>3.0981000000000001</v>
      </c>
      <c r="F256" s="506">
        <v>20.840000000000014</v>
      </c>
      <c r="G256" s="506">
        <v>59.810000000000009</v>
      </c>
      <c r="H256" s="506">
        <v>2.3924000000000003</v>
      </c>
      <c r="I256" s="506">
        <v>-0.24999999999999467</v>
      </c>
      <c r="J256" s="506">
        <v>2.0100000000000229</v>
      </c>
      <c r="K256" s="508">
        <v>20.110000000000028</v>
      </c>
      <c r="L256" s="506">
        <v>0.20840000000000014</v>
      </c>
    </row>
    <row r="257" spans="1:12" x14ac:dyDescent="0.25">
      <c r="A257" s="505">
        <v>46225</v>
      </c>
      <c r="B257" s="506" t="s">
        <v>14</v>
      </c>
      <c r="C257" s="507" t="s">
        <v>124</v>
      </c>
      <c r="D257" s="507" t="s">
        <v>123</v>
      </c>
      <c r="E257" s="506">
        <v>3.28</v>
      </c>
      <c r="F257" s="506">
        <v>18.189999999999973</v>
      </c>
      <c r="G257" s="506">
        <v>77.999999999999986</v>
      </c>
      <c r="H257" s="506">
        <v>3.1199999999999992</v>
      </c>
      <c r="I257" s="506">
        <v>0.99999999999997868</v>
      </c>
      <c r="J257" s="506">
        <v>4.2599999999999749</v>
      </c>
      <c r="K257" s="508">
        <v>28.599999999999959</v>
      </c>
      <c r="L257" s="506"/>
    </row>
    <row r="258" spans="1:12" x14ac:dyDescent="0.25">
      <c r="A258" s="505">
        <v>46225</v>
      </c>
      <c r="B258" s="506" t="s">
        <v>15</v>
      </c>
      <c r="C258" s="507" t="s">
        <v>123</v>
      </c>
      <c r="D258" s="507" t="s">
        <v>148</v>
      </c>
      <c r="E258" s="506">
        <v>3.3976000000000002</v>
      </c>
      <c r="F258" s="506">
        <v>11.760000000000037</v>
      </c>
      <c r="G258" s="506">
        <v>89.760000000000019</v>
      </c>
      <c r="H258" s="506">
        <v>3.5904000000000007</v>
      </c>
      <c r="I258" s="506">
        <v>1.5100000000000335</v>
      </c>
      <c r="J258" s="506">
        <v>6.0300000000000242</v>
      </c>
      <c r="K258" s="508">
        <v>31.36000000000001</v>
      </c>
      <c r="L258" s="506"/>
    </row>
    <row r="259" spans="1:12" x14ac:dyDescent="0.25">
      <c r="A259" s="505">
        <v>46225</v>
      </c>
      <c r="B259" s="506" t="s">
        <v>17</v>
      </c>
      <c r="C259" s="507" t="s">
        <v>148</v>
      </c>
      <c r="D259" s="507" t="s">
        <v>146</v>
      </c>
      <c r="E259" s="506">
        <v>3.4792999999999998</v>
      </c>
      <c r="F259" s="506">
        <v>8.1699999999999662</v>
      </c>
      <c r="G259" s="506">
        <v>97.929999999999978</v>
      </c>
      <c r="H259" s="506">
        <v>3.9171999999999993</v>
      </c>
      <c r="I259" s="506">
        <v>1.7599999999999838</v>
      </c>
      <c r="J259" s="506">
        <v>7.2799999999999976</v>
      </c>
      <c r="K259" s="508" t="s">
        <v>41</v>
      </c>
      <c r="L259" s="506"/>
    </row>
    <row r="260" spans="1:12" x14ac:dyDescent="0.25">
      <c r="A260" s="505">
        <v>46225</v>
      </c>
      <c r="B260" s="506"/>
      <c r="C260" s="507"/>
      <c r="D260" s="507"/>
      <c r="E260" s="506"/>
      <c r="F260" s="506"/>
      <c r="G260" s="506"/>
      <c r="H260" s="506"/>
      <c r="I260" s="506">
        <v>0</v>
      </c>
      <c r="J260" s="506">
        <v>0</v>
      </c>
      <c r="K260" s="508">
        <v>0</v>
      </c>
      <c r="L260" s="506"/>
    </row>
    <row r="261" spans="1:12" x14ac:dyDescent="0.25">
      <c r="A261" s="505">
        <v>46225</v>
      </c>
      <c r="B261" s="506"/>
      <c r="C261" s="507"/>
      <c r="D261" s="507"/>
      <c r="E261" s="506"/>
      <c r="F261" s="506"/>
      <c r="G261" s="506"/>
      <c r="H261" s="506"/>
      <c r="I261" s="506">
        <v>0</v>
      </c>
      <c r="J261" s="506">
        <v>0</v>
      </c>
      <c r="K261" s="508">
        <v>0</v>
      </c>
      <c r="L261" s="506"/>
    </row>
    <row r="262" spans="1:12" x14ac:dyDescent="0.25">
      <c r="A262" s="505">
        <v>46225</v>
      </c>
      <c r="B262" s="506"/>
      <c r="C262" s="507"/>
      <c r="D262" s="507"/>
      <c r="E262" s="506"/>
      <c r="F262" s="506"/>
      <c r="G262" s="506"/>
      <c r="H262" s="506"/>
      <c r="I262" s="506">
        <v>0</v>
      </c>
      <c r="J262" s="506">
        <v>0</v>
      </c>
      <c r="K262" s="508">
        <v>0</v>
      </c>
      <c r="L262" s="506"/>
    </row>
    <row r="263" spans="1:12" x14ac:dyDescent="0.25">
      <c r="A263" s="505">
        <v>46225</v>
      </c>
      <c r="B263" s="506"/>
      <c r="C263" s="507"/>
      <c r="D263" s="507"/>
      <c r="E263" s="506"/>
      <c r="F263" s="506"/>
      <c r="G263" s="506"/>
      <c r="H263" s="506"/>
      <c r="I263" s="506">
        <v>0</v>
      </c>
      <c r="J263" s="506">
        <v>0</v>
      </c>
      <c r="K263" s="508">
        <v>0</v>
      </c>
      <c r="L263" s="506"/>
    </row>
    <row r="264" spans="1:12" x14ac:dyDescent="0.25">
      <c r="A264" s="505">
        <v>46225</v>
      </c>
      <c r="B264" s="506"/>
      <c r="C264" s="507"/>
      <c r="D264" s="507"/>
      <c r="E264" s="506"/>
      <c r="F264" s="506"/>
      <c r="G264" s="506"/>
      <c r="H264" s="506"/>
      <c r="I264" s="506">
        <v>0</v>
      </c>
      <c r="J264" s="506">
        <v>0</v>
      </c>
      <c r="K264" s="508">
        <v>0</v>
      </c>
      <c r="L264" s="506"/>
    </row>
    <row r="265" spans="1:12" x14ac:dyDescent="0.25">
      <c r="A265" s="16">
        <v>46226</v>
      </c>
      <c r="B265" s="17" t="s">
        <v>10</v>
      </c>
      <c r="C265" s="122" t="s">
        <v>115</v>
      </c>
      <c r="D265" s="122" t="s">
        <v>116</v>
      </c>
      <c r="E265" s="17">
        <v>2.7381000000000002</v>
      </c>
      <c r="F265" s="17">
        <v>23.81000000000002</v>
      </c>
      <c r="G265" s="17">
        <v>23.81000000000002</v>
      </c>
      <c r="H265" s="17">
        <v>0.9524000000000008</v>
      </c>
      <c r="I265" s="17">
        <v>0.25000000000003908</v>
      </c>
      <c r="J265" s="17">
        <v>1.0000000000000231</v>
      </c>
      <c r="K265" s="18">
        <v>9.5400000000000151</v>
      </c>
      <c r="L265" s="17"/>
    </row>
    <row r="266" spans="1:12" x14ac:dyDescent="0.25">
      <c r="A266" s="16">
        <v>46226</v>
      </c>
      <c r="B266" s="17" t="s">
        <v>11</v>
      </c>
      <c r="C266" s="122" t="s">
        <v>116</v>
      </c>
      <c r="D266" s="122" t="s">
        <v>117</v>
      </c>
      <c r="E266" s="17">
        <v>2.8946999999999998</v>
      </c>
      <c r="F266" s="17">
        <v>15.659999999999963</v>
      </c>
      <c r="G266" s="17">
        <v>39.469999999999985</v>
      </c>
      <c r="H266" s="17">
        <v>1.5787999999999993</v>
      </c>
      <c r="I266" s="17">
        <v>0.49999999999998934</v>
      </c>
      <c r="J266" s="17">
        <v>3.2599999999999962</v>
      </c>
      <c r="K266" s="18">
        <v>17.049999999999965</v>
      </c>
      <c r="L266" s="17"/>
    </row>
    <row r="267" spans="1:12" x14ac:dyDescent="0.25">
      <c r="A267" s="16">
        <v>46226</v>
      </c>
      <c r="B267" s="17" t="s">
        <v>13</v>
      </c>
      <c r="C267" s="122" t="s">
        <v>117</v>
      </c>
      <c r="D267" s="122" t="s">
        <v>124</v>
      </c>
      <c r="E267" s="17">
        <v>3.0981000000000001</v>
      </c>
      <c r="F267" s="17">
        <v>20.340000000000025</v>
      </c>
      <c r="G267" s="17">
        <v>59.810000000000009</v>
      </c>
      <c r="H267" s="17">
        <v>2.3924000000000003</v>
      </c>
      <c r="I267" s="17">
        <v>0</v>
      </c>
      <c r="J267" s="17">
        <v>3.520000000000012</v>
      </c>
      <c r="K267" s="18">
        <v>21.099999999999987</v>
      </c>
      <c r="L267" s="17">
        <v>0.20340000000000025</v>
      </c>
    </row>
    <row r="268" spans="1:12" x14ac:dyDescent="0.25">
      <c r="A268" s="16">
        <v>46226</v>
      </c>
      <c r="B268" s="17" t="s">
        <v>14</v>
      </c>
      <c r="C268" s="122" t="s">
        <v>124</v>
      </c>
      <c r="D268" s="122" t="s">
        <v>123</v>
      </c>
      <c r="E268" s="17">
        <v>3.28</v>
      </c>
      <c r="F268" s="17">
        <v>18.189999999999973</v>
      </c>
      <c r="G268" s="17">
        <v>77.999999999999986</v>
      </c>
      <c r="H268" s="17">
        <v>3.1199999999999992</v>
      </c>
      <c r="I268" s="17">
        <v>0</v>
      </c>
      <c r="J268" s="17">
        <v>6.2699999999999978</v>
      </c>
      <c r="K268" s="18">
        <v>29.589999999999961</v>
      </c>
      <c r="L268" s="17"/>
    </row>
    <row r="269" spans="1:12" x14ac:dyDescent="0.25">
      <c r="A269" s="16">
        <v>46226</v>
      </c>
      <c r="B269" s="17" t="s">
        <v>15</v>
      </c>
      <c r="C269" s="122" t="s">
        <v>123</v>
      </c>
      <c r="D269" s="122" t="s">
        <v>148</v>
      </c>
      <c r="E269" s="17">
        <v>3.4076</v>
      </c>
      <c r="F269" s="17">
        <v>12.760000000000016</v>
      </c>
      <c r="G269" s="17">
        <v>90.759999999999991</v>
      </c>
      <c r="H269" s="17">
        <v>3.6303999999999998</v>
      </c>
      <c r="I269" s="17">
        <v>0.99999999999997868</v>
      </c>
      <c r="J269" s="17">
        <v>8.7899999999999867</v>
      </c>
      <c r="K269" s="18">
        <v>33.389999999999986</v>
      </c>
      <c r="L269" s="17"/>
    </row>
    <row r="270" spans="1:12" x14ac:dyDescent="0.25">
      <c r="A270" s="16">
        <v>46226</v>
      </c>
      <c r="B270" s="17" t="s">
        <v>17</v>
      </c>
      <c r="C270" s="122" t="s">
        <v>148</v>
      </c>
      <c r="D270" s="122" t="s">
        <v>146</v>
      </c>
      <c r="E270" s="17">
        <v>3.4918</v>
      </c>
      <c r="F270" s="17">
        <v>8.4200000000000053</v>
      </c>
      <c r="G270" s="17">
        <v>99.18</v>
      </c>
      <c r="H270" s="17">
        <v>3.9672000000000001</v>
      </c>
      <c r="I270" s="17">
        <v>1.2500000000000178</v>
      </c>
      <c r="J270" s="17">
        <v>9.7799999999999887</v>
      </c>
      <c r="K270" s="18" t="s">
        <v>41</v>
      </c>
      <c r="L270" s="17"/>
    </row>
    <row r="271" spans="1:12" x14ac:dyDescent="0.25">
      <c r="A271" s="16">
        <v>46226</v>
      </c>
      <c r="B271" s="17"/>
      <c r="C271" s="122"/>
      <c r="D271" s="122"/>
      <c r="E271" s="17"/>
      <c r="F271" s="17"/>
      <c r="G271" s="17"/>
      <c r="H271" s="17"/>
      <c r="I271" s="17">
        <v>0</v>
      </c>
      <c r="J271" s="17">
        <v>0</v>
      </c>
      <c r="K271" s="18">
        <v>0</v>
      </c>
      <c r="L271" s="17"/>
    </row>
    <row r="272" spans="1:12" x14ac:dyDescent="0.25">
      <c r="A272" s="16">
        <v>46226</v>
      </c>
      <c r="B272" s="17"/>
      <c r="C272" s="122"/>
      <c r="D272" s="122"/>
      <c r="E272" s="17"/>
      <c r="F272" s="17"/>
      <c r="G272" s="17"/>
      <c r="H272" s="17"/>
      <c r="I272" s="17">
        <v>0</v>
      </c>
      <c r="J272" s="17">
        <v>0</v>
      </c>
      <c r="K272" s="18">
        <v>0</v>
      </c>
      <c r="L272" s="17"/>
    </row>
    <row r="273" spans="1:12" x14ac:dyDescent="0.25">
      <c r="A273" s="16">
        <v>46226</v>
      </c>
      <c r="B273" s="17"/>
      <c r="C273" s="122"/>
      <c r="D273" s="122"/>
      <c r="E273" s="17"/>
      <c r="F273" s="17"/>
      <c r="G273" s="17"/>
      <c r="H273" s="17"/>
      <c r="I273" s="17">
        <v>0</v>
      </c>
      <c r="J273" s="17">
        <v>0</v>
      </c>
      <c r="K273" s="18">
        <v>0</v>
      </c>
      <c r="L273" s="17"/>
    </row>
    <row r="274" spans="1:12" x14ac:dyDescent="0.25">
      <c r="A274" s="16">
        <v>46226</v>
      </c>
      <c r="B274" s="17"/>
      <c r="C274" s="122"/>
      <c r="D274" s="122"/>
      <c r="E274" s="17"/>
      <c r="F274" s="17"/>
      <c r="G274" s="17"/>
      <c r="H274" s="17"/>
      <c r="I274" s="17">
        <v>0</v>
      </c>
      <c r="J274" s="17">
        <v>0</v>
      </c>
      <c r="K274" s="18">
        <v>0</v>
      </c>
      <c r="L274" s="17"/>
    </row>
    <row r="275" spans="1:12" x14ac:dyDescent="0.25">
      <c r="A275" s="16">
        <v>46226</v>
      </c>
      <c r="B275" s="17"/>
      <c r="C275" s="122"/>
      <c r="D275" s="122"/>
      <c r="E275" s="17"/>
      <c r="F275" s="17"/>
      <c r="G275" s="17"/>
      <c r="H275" s="17"/>
      <c r="I275" s="17">
        <v>0</v>
      </c>
      <c r="J275" s="17">
        <v>0</v>
      </c>
      <c r="K275" s="18">
        <v>0</v>
      </c>
      <c r="L275" s="17"/>
    </row>
    <row r="276" spans="1:12" x14ac:dyDescent="0.25">
      <c r="A276" s="520">
        <v>46227</v>
      </c>
      <c r="B276" s="521" t="s">
        <v>10</v>
      </c>
      <c r="C276" s="522" t="s">
        <v>115</v>
      </c>
      <c r="D276" s="522" t="s">
        <v>116</v>
      </c>
      <c r="E276" s="521">
        <v>2.7507000000000001</v>
      </c>
      <c r="F276" s="521">
        <v>25.070000000000014</v>
      </c>
      <c r="G276" s="521">
        <v>25.070000000000014</v>
      </c>
      <c r="H276" s="521">
        <v>1.0028000000000006</v>
      </c>
      <c r="I276" s="521">
        <v>1.2599999999999945</v>
      </c>
      <c r="J276" s="521">
        <v>2.0100000000000229</v>
      </c>
      <c r="K276" s="523">
        <v>12.550000000000017</v>
      </c>
      <c r="L276" s="521"/>
    </row>
    <row r="277" spans="1:12" x14ac:dyDescent="0.25">
      <c r="A277" s="520">
        <v>46227</v>
      </c>
      <c r="B277" s="521" t="s">
        <v>11</v>
      </c>
      <c r="C277" s="522" t="s">
        <v>116</v>
      </c>
      <c r="D277" s="522" t="s">
        <v>117</v>
      </c>
      <c r="E277" s="521">
        <v>2.9247999999999998</v>
      </c>
      <c r="F277" s="521">
        <v>17.409999999999968</v>
      </c>
      <c r="G277" s="521">
        <v>42.479999999999983</v>
      </c>
      <c r="H277" s="521">
        <v>1.6991999999999994</v>
      </c>
      <c r="I277" s="521">
        <v>3.0100000000000016</v>
      </c>
      <c r="J277" s="521">
        <v>6.0200000000000031</v>
      </c>
      <c r="K277" s="523">
        <v>21.819999999999993</v>
      </c>
      <c r="L277" s="521"/>
    </row>
    <row r="278" spans="1:12" x14ac:dyDescent="0.25">
      <c r="A278" s="520">
        <v>46227</v>
      </c>
      <c r="B278" s="521" t="s">
        <v>13</v>
      </c>
      <c r="C278" s="522" t="s">
        <v>117</v>
      </c>
      <c r="D278" s="522" t="s">
        <v>124</v>
      </c>
      <c r="E278" s="521">
        <v>3.1358000000000001</v>
      </c>
      <c r="F278" s="521">
        <v>21.10000000000003</v>
      </c>
      <c r="G278" s="521">
        <v>63.580000000000013</v>
      </c>
      <c r="H278" s="521">
        <v>2.5432000000000006</v>
      </c>
      <c r="I278" s="521">
        <v>3.7700000000000067</v>
      </c>
      <c r="J278" s="521">
        <v>6.7800000000000082</v>
      </c>
      <c r="K278" s="523">
        <v>26.63000000000002</v>
      </c>
      <c r="L278" s="521">
        <v>0.2110000000000003</v>
      </c>
    </row>
    <row r="279" spans="1:12" x14ac:dyDescent="0.25">
      <c r="A279" s="520">
        <v>46227</v>
      </c>
      <c r="B279" s="521" t="s">
        <v>14</v>
      </c>
      <c r="C279" s="522" t="s">
        <v>124</v>
      </c>
      <c r="D279" s="522" t="s">
        <v>123</v>
      </c>
      <c r="E279" s="521">
        <v>3.3226</v>
      </c>
      <c r="F279" s="521">
        <v>18.679999999999986</v>
      </c>
      <c r="G279" s="521">
        <v>82.26</v>
      </c>
      <c r="H279" s="521">
        <v>3.2904</v>
      </c>
      <c r="I279" s="521">
        <v>4.2600000000000193</v>
      </c>
      <c r="J279" s="521">
        <v>10.029999999999983</v>
      </c>
      <c r="K279" s="523">
        <v>35.599999999999987</v>
      </c>
      <c r="L279" s="521"/>
    </row>
    <row r="280" spans="1:12" x14ac:dyDescent="0.25">
      <c r="A280" s="520">
        <v>46227</v>
      </c>
      <c r="B280" s="521" t="s">
        <v>15</v>
      </c>
      <c r="C280" s="522" t="s">
        <v>123</v>
      </c>
      <c r="D280" s="522" t="s">
        <v>148</v>
      </c>
      <c r="E280" s="521">
        <v>3.4704000000000002</v>
      </c>
      <c r="F280" s="521">
        <v>14.780000000000015</v>
      </c>
      <c r="G280" s="521">
        <v>97.04000000000002</v>
      </c>
      <c r="H280" s="521">
        <v>3.8816000000000006</v>
      </c>
      <c r="I280" s="521">
        <v>6.2800000000000189</v>
      </c>
      <c r="J280" s="521">
        <v>14.31</v>
      </c>
      <c r="K280" s="523">
        <v>41.430000000000035</v>
      </c>
      <c r="L280" s="521"/>
    </row>
    <row r="281" spans="1:12" x14ac:dyDescent="0.25">
      <c r="A281" s="520">
        <v>46227</v>
      </c>
      <c r="B281" s="521" t="s">
        <v>17</v>
      </c>
      <c r="C281" s="522" t="s">
        <v>148</v>
      </c>
      <c r="D281" s="522" t="s">
        <v>146</v>
      </c>
      <c r="E281" s="521">
        <v>3.5621</v>
      </c>
      <c r="F281" s="521">
        <v>9.1699999999999893</v>
      </c>
      <c r="G281" s="521">
        <v>106.21000000000001</v>
      </c>
      <c r="H281" s="521">
        <v>4.2484000000000002</v>
      </c>
      <c r="I281" s="521">
        <v>7.0300000000000029</v>
      </c>
      <c r="J281" s="521">
        <v>16.060000000000009</v>
      </c>
      <c r="K281" s="523" t="s">
        <v>41</v>
      </c>
      <c r="L281" s="521"/>
    </row>
    <row r="282" spans="1:12" x14ac:dyDescent="0.25">
      <c r="A282" s="520">
        <v>46227</v>
      </c>
      <c r="B282" s="521"/>
      <c r="C282" s="522"/>
      <c r="D282" s="522"/>
      <c r="E282" s="521"/>
      <c r="F282" s="521"/>
      <c r="G282" s="521"/>
      <c r="H282" s="521"/>
      <c r="I282" s="521">
        <v>0</v>
      </c>
      <c r="J282" s="521">
        <v>0</v>
      </c>
      <c r="K282" s="523">
        <v>0</v>
      </c>
      <c r="L282" s="521"/>
    </row>
    <row r="283" spans="1:12" x14ac:dyDescent="0.25">
      <c r="A283" s="520">
        <v>46227</v>
      </c>
      <c r="B283" s="521"/>
      <c r="C283" s="522"/>
      <c r="D283" s="522"/>
      <c r="E283" s="521"/>
      <c r="F283" s="521"/>
      <c r="G283" s="521"/>
      <c r="H283" s="521"/>
      <c r="I283" s="521">
        <v>0</v>
      </c>
      <c r="J283" s="521">
        <v>0</v>
      </c>
      <c r="K283" s="523">
        <v>0</v>
      </c>
      <c r="L283" s="521"/>
    </row>
    <row r="284" spans="1:12" x14ac:dyDescent="0.25">
      <c r="A284" s="520">
        <v>46227</v>
      </c>
      <c r="B284" s="521"/>
      <c r="C284" s="522"/>
      <c r="D284" s="522"/>
      <c r="E284" s="521"/>
      <c r="F284" s="521"/>
      <c r="G284" s="521"/>
      <c r="H284" s="521"/>
      <c r="I284" s="521">
        <v>0</v>
      </c>
      <c r="J284" s="521">
        <v>0</v>
      </c>
      <c r="K284" s="523">
        <v>0</v>
      </c>
      <c r="L284" s="521"/>
    </row>
    <row r="285" spans="1:12" x14ac:dyDescent="0.25">
      <c r="A285" s="520">
        <v>46227</v>
      </c>
      <c r="B285" s="521"/>
      <c r="C285" s="522"/>
      <c r="D285" s="522"/>
      <c r="E285" s="521"/>
      <c r="F285" s="521"/>
      <c r="G285" s="521"/>
      <c r="H285" s="521"/>
      <c r="I285" s="521">
        <v>0</v>
      </c>
      <c r="J285" s="521">
        <v>0</v>
      </c>
      <c r="K285" s="523">
        <v>0</v>
      </c>
      <c r="L285" s="521"/>
    </row>
    <row r="286" spans="1:12" x14ac:dyDescent="0.25">
      <c r="A286" s="520">
        <v>46227</v>
      </c>
      <c r="B286" s="521"/>
      <c r="C286" s="522"/>
      <c r="D286" s="522"/>
      <c r="E286" s="521"/>
      <c r="F286" s="521"/>
      <c r="G286" s="521"/>
      <c r="H286" s="521"/>
      <c r="I286" s="521">
        <v>0</v>
      </c>
      <c r="J286" s="521">
        <v>0</v>
      </c>
      <c r="K286" s="523">
        <v>0</v>
      </c>
      <c r="L286" s="521"/>
    </row>
    <row r="287" spans="1:12" x14ac:dyDescent="0.25">
      <c r="A287" s="520">
        <v>46230</v>
      </c>
      <c r="B287" s="521" t="s">
        <v>10</v>
      </c>
      <c r="C287" s="522" t="s">
        <v>115</v>
      </c>
      <c r="D287" s="522" t="s">
        <v>116</v>
      </c>
      <c r="E287" s="521">
        <v>2.7406000000000001</v>
      </c>
      <c r="F287" s="521">
        <v>24.060000000000016</v>
      </c>
      <c r="G287" s="521">
        <v>24.060000000000016</v>
      </c>
      <c r="H287" s="521">
        <v>0.9624000000000007</v>
      </c>
      <c r="I287" s="521">
        <v>-1.0099999999999998</v>
      </c>
      <c r="J287" s="521">
        <v>0.50000000000003375</v>
      </c>
      <c r="K287" s="523">
        <v>11.540000000000017</v>
      </c>
      <c r="L287" s="521"/>
    </row>
    <row r="288" spans="1:12" x14ac:dyDescent="0.25">
      <c r="A288" s="520">
        <v>46230</v>
      </c>
      <c r="B288" s="521" t="s">
        <v>11</v>
      </c>
      <c r="C288" s="522" t="s">
        <v>116</v>
      </c>
      <c r="D288" s="522" t="s">
        <v>117</v>
      </c>
      <c r="E288" s="521">
        <v>2.9072</v>
      </c>
      <c r="F288" s="521">
        <v>16.659999999999986</v>
      </c>
      <c r="G288" s="521">
        <v>40.72</v>
      </c>
      <c r="H288" s="521">
        <v>1.6288</v>
      </c>
      <c r="I288" s="521">
        <v>-1.7599999999999838</v>
      </c>
      <c r="J288" s="521">
        <v>1.7500000000000071</v>
      </c>
      <c r="K288" s="523">
        <v>20.060000000000009</v>
      </c>
      <c r="L288" s="521"/>
    </row>
    <row r="289" spans="1:12" x14ac:dyDescent="0.25">
      <c r="A289" s="520">
        <v>46230</v>
      </c>
      <c r="B289" s="521" t="s">
        <v>13</v>
      </c>
      <c r="C289" s="522" t="s">
        <v>117</v>
      </c>
      <c r="D289" s="522" t="s">
        <v>124</v>
      </c>
      <c r="E289" s="521">
        <v>3.1057000000000001</v>
      </c>
      <c r="F289" s="521">
        <v>19.850000000000012</v>
      </c>
      <c r="G289" s="521">
        <v>60.570000000000014</v>
      </c>
      <c r="H289" s="521">
        <v>2.4228000000000005</v>
      </c>
      <c r="I289" s="521">
        <v>-3.0100000000000016</v>
      </c>
      <c r="J289" s="521">
        <v>0.26000000000001577</v>
      </c>
      <c r="K289" s="523">
        <v>23.620000000000019</v>
      </c>
      <c r="L289" s="521">
        <v>0.19850000000000012</v>
      </c>
    </row>
    <row r="290" spans="1:12" x14ac:dyDescent="0.25">
      <c r="A290" s="520">
        <v>46230</v>
      </c>
      <c r="B290" s="521" t="s">
        <v>14</v>
      </c>
      <c r="C290" s="522" t="s">
        <v>124</v>
      </c>
      <c r="D290" s="522" t="s">
        <v>123</v>
      </c>
      <c r="E290" s="521">
        <v>3.2825000000000002</v>
      </c>
      <c r="F290" s="521">
        <v>17.680000000000007</v>
      </c>
      <c r="G290" s="521">
        <v>78.250000000000014</v>
      </c>
      <c r="H290" s="521">
        <v>3.1300000000000008</v>
      </c>
      <c r="I290" s="521">
        <v>-4.0099999999999802</v>
      </c>
      <c r="J290" s="521">
        <v>0.25000000000003908</v>
      </c>
      <c r="K290" s="523">
        <v>31.590000000000007</v>
      </c>
      <c r="L290" s="521"/>
    </row>
    <row r="291" spans="1:12" x14ac:dyDescent="0.25">
      <c r="A291" s="520">
        <v>46230</v>
      </c>
      <c r="B291" s="521" t="s">
        <v>15</v>
      </c>
      <c r="C291" s="522" t="s">
        <v>123</v>
      </c>
      <c r="D291" s="522" t="s">
        <v>148</v>
      </c>
      <c r="E291" s="521">
        <v>3.4150999999999998</v>
      </c>
      <c r="F291" s="521">
        <v>13.259999999999961</v>
      </c>
      <c r="G291" s="521">
        <v>91.509999999999977</v>
      </c>
      <c r="H291" s="521">
        <v>3.6603999999999992</v>
      </c>
      <c r="I291" s="521">
        <v>-5.5300000000000349</v>
      </c>
      <c r="J291" s="521">
        <v>2.0000000000000018</v>
      </c>
      <c r="K291" s="523">
        <v>35.9</v>
      </c>
      <c r="L291" s="521"/>
    </row>
    <row r="292" spans="1:12" x14ac:dyDescent="0.25">
      <c r="A292" s="520">
        <v>46230</v>
      </c>
      <c r="B292" s="521" t="s">
        <v>17</v>
      </c>
      <c r="C292" s="522" t="s">
        <v>148</v>
      </c>
      <c r="D292" s="522" t="s">
        <v>146</v>
      </c>
      <c r="E292" s="521">
        <v>3.5068999999999999</v>
      </c>
      <c r="F292" s="521">
        <v>9.1800000000000104</v>
      </c>
      <c r="G292" s="521">
        <v>100.69</v>
      </c>
      <c r="H292" s="521">
        <v>4.0275999999999996</v>
      </c>
      <c r="I292" s="521">
        <v>-5.5200000000000138</v>
      </c>
      <c r="J292" s="521">
        <v>3.2599999999999962</v>
      </c>
      <c r="K292" s="523" t="s">
        <v>41</v>
      </c>
      <c r="L292" s="521"/>
    </row>
    <row r="293" spans="1:12" x14ac:dyDescent="0.25">
      <c r="A293" s="520">
        <v>46230</v>
      </c>
      <c r="B293" s="521"/>
      <c r="C293" s="522"/>
      <c r="D293" s="522"/>
      <c r="E293" s="521"/>
      <c r="F293" s="521"/>
      <c r="G293" s="521"/>
      <c r="H293" s="521"/>
      <c r="I293" s="521">
        <v>0</v>
      </c>
      <c r="J293" s="521">
        <v>0</v>
      </c>
      <c r="K293" s="523">
        <v>0</v>
      </c>
      <c r="L293" s="521"/>
    </row>
    <row r="294" spans="1:12" x14ac:dyDescent="0.25">
      <c r="A294" s="520">
        <v>46230</v>
      </c>
      <c r="B294" s="521"/>
      <c r="C294" s="522"/>
      <c r="D294" s="522"/>
      <c r="E294" s="521"/>
      <c r="F294" s="521"/>
      <c r="G294" s="521"/>
      <c r="H294" s="521"/>
      <c r="I294" s="521">
        <v>0</v>
      </c>
      <c r="J294" s="521">
        <v>0</v>
      </c>
      <c r="K294" s="523">
        <v>0</v>
      </c>
      <c r="L294" s="521"/>
    </row>
    <row r="295" spans="1:12" x14ac:dyDescent="0.25">
      <c r="A295" s="520">
        <v>46230</v>
      </c>
      <c r="B295" s="521"/>
      <c r="C295" s="522"/>
      <c r="D295" s="522"/>
      <c r="E295" s="521"/>
      <c r="F295" s="521"/>
      <c r="G295" s="521"/>
      <c r="H295" s="521"/>
      <c r="I295" s="521">
        <v>0</v>
      </c>
      <c r="J295" s="521">
        <v>0</v>
      </c>
      <c r="K295" s="523">
        <v>0</v>
      </c>
      <c r="L295" s="521"/>
    </row>
    <row r="296" spans="1:12" x14ac:dyDescent="0.25">
      <c r="A296" s="520">
        <v>46230</v>
      </c>
      <c r="B296" s="521"/>
      <c r="C296" s="522"/>
      <c r="D296" s="522"/>
      <c r="E296" s="521"/>
      <c r="F296" s="521"/>
      <c r="G296" s="521"/>
      <c r="H296" s="521"/>
      <c r="I296" s="521">
        <v>0</v>
      </c>
      <c r="J296" s="521">
        <v>0</v>
      </c>
      <c r="K296" s="523">
        <v>0</v>
      </c>
      <c r="L296" s="521"/>
    </row>
    <row r="297" spans="1:12" x14ac:dyDescent="0.25">
      <c r="A297" s="520">
        <v>46230</v>
      </c>
      <c r="B297" s="521"/>
      <c r="C297" s="522"/>
      <c r="D297" s="522"/>
      <c r="E297" s="521"/>
      <c r="F297" s="521"/>
      <c r="G297" s="521"/>
      <c r="H297" s="521"/>
      <c r="I297" s="521">
        <v>0</v>
      </c>
      <c r="J297" s="521">
        <v>0</v>
      </c>
      <c r="K297" s="523">
        <v>0</v>
      </c>
      <c r="L297" s="521"/>
    </row>
    <row r="298" spans="1:12" x14ac:dyDescent="0.25">
      <c r="A298" s="16">
        <v>46231</v>
      </c>
      <c r="B298" s="17" t="s">
        <v>10</v>
      </c>
      <c r="C298" s="122" t="s">
        <v>115</v>
      </c>
      <c r="D298" s="122" t="s">
        <v>116</v>
      </c>
      <c r="E298" s="17">
        <v>2.7406000000000001</v>
      </c>
      <c r="F298" s="17">
        <v>24.060000000000016</v>
      </c>
      <c r="G298" s="17">
        <v>24.060000000000016</v>
      </c>
      <c r="H298" s="17">
        <v>0.9624000000000007</v>
      </c>
      <c r="I298" s="17">
        <v>0</v>
      </c>
      <c r="J298" s="17">
        <v>1.0000000000000231</v>
      </c>
      <c r="K298" s="18">
        <v>15.560000000000018</v>
      </c>
      <c r="L298" s="17"/>
    </row>
    <row r="299" spans="1:12" x14ac:dyDescent="0.25">
      <c r="A299" s="16">
        <v>46231</v>
      </c>
      <c r="B299" s="17" t="s">
        <v>11</v>
      </c>
      <c r="C299" s="122" t="s">
        <v>116</v>
      </c>
      <c r="D299" s="122" t="s">
        <v>117</v>
      </c>
      <c r="E299" s="17">
        <v>2.9097</v>
      </c>
      <c r="F299" s="17">
        <v>16.909999999999982</v>
      </c>
      <c r="G299" s="17">
        <v>40.97</v>
      </c>
      <c r="H299" s="17">
        <v>1.6388</v>
      </c>
      <c r="I299" s="17">
        <v>0.24999999999999467</v>
      </c>
      <c r="J299" s="17">
        <v>2.0000000000000018</v>
      </c>
      <c r="K299" s="18">
        <v>26.080000000000013</v>
      </c>
      <c r="L299" s="17"/>
    </row>
    <row r="300" spans="1:12" x14ac:dyDescent="0.25">
      <c r="A300" s="16">
        <v>46231</v>
      </c>
      <c r="B300" s="17" t="s">
        <v>13</v>
      </c>
      <c r="C300" s="122" t="s">
        <v>117</v>
      </c>
      <c r="D300" s="122" t="s">
        <v>124</v>
      </c>
      <c r="E300" s="17">
        <v>3.1082000000000001</v>
      </c>
      <c r="F300" s="17">
        <v>19.850000000000012</v>
      </c>
      <c r="G300" s="17">
        <v>60.820000000000007</v>
      </c>
      <c r="H300" s="17">
        <v>2.4328000000000003</v>
      </c>
      <c r="I300" s="17">
        <v>0.24999999999999467</v>
      </c>
      <c r="J300" s="17">
        <v>0.76000000000000512</v>
      </c>
      <c r="K300" s="18">
        <v>29.65</v>
      </c>
      <c r="L300" s="17">
        <v>0.19850000000000012</v>
      </c>
    </row>
    <row r="301" spans="1:12" x14ac:dyDescent="0.25">
      <c r="A301" s="16">
        <v>46231</v>
      </c>
      <c r="B301" s="17" t="s">
        <v>14</v>
      </c>
      <c r="C301" s="122" t="s">
        <v>124</v>
      </c>
      <c r="D301" s="122" t="s">
        <v>123</v>
      </c>
      <c r="E301" s="17">
        <v>3.2850000000000001</v>
      </c>
      <c r="F301" s="17">
        <v>17.680000000000007</v>
      </c>
      <c r="G301" s="17">
        <v>78.500000000000014</v>
      </c>
      <c r="H301" s="17">
        <v>3.1400000000000006</v>
      </c>
      <c r="I301" s="17">
        <v>0.24999999999999467</v>
      </c>
      <c r="J301" s="17">
        <v>1.5000000000000124</v>
      </c>
      <c r="K301" s="18">
        <v>37.110000000000021</v>
      </c>
      <c r="L301" s="17"/>
    </row>
    <row r="302" spans="1:12" x14ac:dyDescent="0.25">
      <c r="A302" s="16">
        <v>46231</v>
      </c>
      <c r="B302" s="17" t="s">
        <v>15</v>
      </c>
      <c r="C302" s="122" t="s">
        <v>123</v>
      </c>
      <c r="D302" s="122" t="s">
        <v>148</v>
      </c>
      <c r="E302" s="17">
        <v>3.4177</v>
      </c>
      <c r="F302" s="17">
        <v>13.269999999999982</v>
      </c>
      <c r="G302" s="17">
        <v>91.77</v>
      </c>
      <c r="H302" s="17">
        <v>3.6707999999999998</v>
      </c>
      <c r="I302" s="17">
        <v>0.26000000000001577</v>
      </c>
      <c r="J302" s="17">
        <v>3.520000000000012</v>
      </c>
      <c r="K302" s="18">
        <v>41.929999999999978</v>
      </c>
      <c r="L302" s="17"/>
    </row>
    <row r="303" spans="1:12" x14ac:dyDescent="0.25">
      <c r="A303" s="16">
        <v>46231</v>
      </c>
      <c r="B303" s="17" t="s">
        <v>17</v>
      </c>
      <c r="C303" s="122" t="s">
        <v>148</v>
      </c>
      <c r="D303" s="122" t="s">
        <v>146</v>
      </c>
      <c r="E303" s="17">
        <v>3.5068999999999999</v>
      </c>
      <c r="F303" s="17">
        <v>8.9199999999999946</v>
      </c>
      <c r="G303" s="17">
        <v>100.69</v>
      </c>
      <c r="H303" s="17">
        <v>4.0275999999999996</v>
      </c>
      <c r="I303" s="17">
        <v>0</v>
      </c>
      <c r="J303" s="17">
        <v>4.5199999999999907</v>
      </c>
      <c r="K303" s="18" t="s">
        <v>41</v>
      </c>
      <c r="L303" s="17"/>
    </row>
    <row r="304" spans="1:12" x14ac:dyDescent="0.25">
      <c r="A304" s="16">
        <v>46231</v>
      </c>
      <c r="B304" s="17"/>
      <c r="C304" s="122"/>
      <c r="D304" s="122"/>
      <c r="E304" s="17"/>
      <c r="F304" s="17"/>
      <c r="G304" s="17"/>
      <c r="H304" s="17"/>
      <c r="I304" s="17">
        <v>0</v>
      </c>
      <c r="J304" s="17">
        <v>0</v>
      </c>
      <c r="K304" s="18">
        <v>0</v>
      </c>
      <c r="L304" s="17"/>
    </row>
    <row r="305" spans="1:12" x14ac:dyDescent="0.25">
      <c r="A305" s="16">
        <v>46231</v>
      </c>
      <c r="B305" s="17"/>
      <c r="C305" s="122"/>
      <c r="D305" s="122"/>
      <c r="E305" s="17"/>
      <c r="F305" s="17"/>
      <c r="G305" s="17"/>
      <c r="H305" s="17"/>
      <c r="I305" s="17">
        <v>0</v>
      </c>
      <c r="J305" s="17">
        <v>0</v>
      </c>
      <c r="K305" s="18">
        <v>0</v>
      </c>
      <c r="L305" s="17"/>
    </row>
    <row r="306" spans="1:12" x14ac:dyDescent="0.25">
      <c r="A306" s="16">
        <v>46231</v>
      </c>
      <c r="B306" s="17"/>
      <c r="C306" s="122"/>
      <c r="D306" s="122"/>
      <c r="E306" s="17"/>
      <c r="F306" s="17"/>
      <c r="G306" s="17"/>
      <c r="H306" s="17"/>
      <c r="I306" s="17">
        <v>0</v>
      </c>
      <c r="J306" s="17">
        <v>0</v>
      </c>
      <c r="K306" s="18">
        <v>0</v>
      </c>
      <c r="L306" s="17"/>
    </row>
    <row r="307" spans="1:12" x14ac:dyDescent="0.25">
      <c r="A307" s="16">
        <v>46231</v>
      </c>
      <c r="B307" s="17"/>
      <c r="C307" s="122"/>
      <c r="D307" s="122"/>
      <c r="E307" s="17"/>
      <c r="F307" s="17"/>
      <c r="G307" s="17"/>
      <c r="H307" s="17"/>
      <c r="I307" s="17">
        <v>0</v>
      </c>
      <c r="J307" s="17">
        <v>0</v>
      </c>
      <c r="K307" s="18">
        <v>0</v>
      </c>
      <c r="L307" s="17"/>
    </row>
    <row r="308" spans="1:12" x14ac:dyDescent="0.25">
      <c r="A308" s="16">
        <v>46231</v>
      </c>
      <c r="B308" s="17"/>
      <c r="C308" s="122"/>
      <c r="D308" s="122"/>
      <c r="E308" s="17"/>
      <c r="F308" s="17"/>
      <c r="G308" s="17"/>
      <c r="H308" s="17"/>
      <c r="I308" s="17">
        <v>0</v>
      </c>
      <c r="J308" s="17">
        <v>0</v>
      </c>
      <c r="K308" s="18">
        <v>0</v>
      </c>
      <c r="L308" s="17"/>
    </row>
    <row r="309" spans="1:12" x14ac:dyDescent="0.25">
      <c r="A309" s="16">
        <v>46232</v>
      </c>
      <c r="B309" s="17" t="s">
        <v>10</v>
      </c>
      <c r="C309" s="122" t="s">
        <v>115</v>
      </c>
      <c r="D309" s="122" t="s">
        <v>116</v>
      </c>
      <c r="E309" s="17">
        <v>2.7406000000000001</v>
      </c>
      <c r="F309" s="17">
        <v>24.060000000000016</v>
      </c>
      <c r="G309" s="17">
        <v>24.060000000000016</v>
      </c>
      <c r="H309" s="17">
        <v>0.9624000000000007</v>
      </c>
      <c r="I309" s="17">
        <v>0</v>
      </c>
      <c r="J309" s="17">
        <v>0.50000000000003375</v>
      </c>
      <c r="K309" s="18">
        <v>13.800000000000034</v>
      </c>
      <c r="L309" s="17"/>
    </row>
    <row r="310" spans="1:12" x14ac:dyDescent="0.25">
      <c r="A310" s="16">
        <v>46232</v>
      </c>
      <c r="B310" s="17" t="s">
        <v>11</v>
      </c>
      <c r="C310" s="122" t="s">
        <v>116</v>
      </c>
      <c r="D310" s="122" t="s">
        <v>117</v>
      </c>
      <c r="E310" s="17">
        <v>2.8946999999999998</v>
      </c>
      <c r="F310" s="17">
        <v>15.409999999999968</v>
      </c>
      <c r="G310" s="17">
        <v>39.469999999999985</v>
      </c>
      <c r="H310" s="17">
        <v>1.5787999999999993</v>
      </c>
      <c r="I310" s="17">
        <v>-1.5000000000000124</v>
      </c>
      <c r="J310" s="17">
        <v>0.49999999999998934</v>
      </c>
      <c r="K310" s="18">
        <v>22.819999999999972</v>
      </c>
      <c r="L310" s="17"/>
    </row>
    <row r="311" spans="1:12" x14ac:dyDescent="0.25">
      <c r="A311" s="16">
        <v>46232</v>
      </c>
      <c r="B311" s="17" t="s">
        <v>13</v>
      </c>
      <c r="C311" s="122" t="s">
        <v>117</v>
      </c>
      <c r="D311" s="122" t="s">
        <v>124</v>
      </c>
      <c r="E311" s="17">
        <v>3.0804999999999998</v>
      </c>
      <c r="F311" s="17">
        <v>18.579999999999998</v>
      </c>
      <c r="G311" s="17">
        <v>58.049999999999983</v>
      </c>
      <c r="H311" s="17">
        <v>2.3219999999999992</v>
      </c>
      <c r="I311" s="17">
        <v>-2.770000000000028</v>
      </c>
      <c r="J311" s="17">
        <v>-1.7600000000000282</v>
      </c>
      <c r="K311" s="18">
        <v>25.119999999999987</v>
      </c>
      <c r="L311" s="17">
        <v>0.18579999999999997</v>
      </c>
    </row>
    <row r="312" spans="1:12" x14ac:dyDescent="0.25">
      <c r="A312" s="16">
        <v>46232</v>
      </c>
      <c r="B312" s="17" t="s">
        <v>14</v>
      </c>
      <c r="C312" s="122" t="s">
        <v>124</v>
      </c>
      <c r="D312" s="122" t="s">
        <v>123</v>
      </c>
      <c r="E312" s="17">
        <v>3.2524000000000002</v>
      </c>
      <c r="F312" s="17">
        <v>17.19000000000004</v>
      </c>
      <c r="G312" s="17">
        <v>75.240000000000023</v>
      </c>
      <c r="H312" s="17">
        <v>3.0096000000000007</v>
      </c>
      <c r="I312" s="17">
        <v>-3.2599999999999962</v>
      </c>
      <c r="J312" s="17">
        <v>-2.7599999999999625</v>
      </c>
      <c r="K312" s="18">
        <v>31.590000000000007</v>
      </c>
      <c r="L312" s="17"/>
    </row>
    <row r="313" spans="1:12" x14ac:dyDescent="0.25">
      <c r="A313" s="16">
        <v>46232</v>
      </c>
      <c r="B313" s="17" t="s">
        <v>15</v>
      </c>
      <c r="C313" s="122" t="s">
        <v>123</v>
      </c>
      <c r="D313" s="122" t="s">
        <v>148</v>
      </c>
      <c r="E313" s="17">
        <v>3.375</v>
      </c>
      <c r="F313" s="17">
        <v>12.259999999999982</v>
      </c>
      <c r="G313" s="17">
        <v>87.5</v>
      </c>
      <c r="H313" s="17">
        <v>3.5</v>
      </c>
      <c r="I313" s="17">
        <v>-4.269999999999996</v>
      </c>
      <c r="J313" s="17">
        <v>-2.2600000000000176</v>
      </c>
      <c r="K313" s="18">
        <v>34.90000000000002</v>
      </c>
      <c r="L313" s="17"/>
    </row>
    <row r="314" spans="1:12" x14ac:dyDescent="0.25">
      <c r="A314" s="16">
        <v>46232</v>
      </c>
      <c r="B314" s="17" t="s">
        <v>17</v>
      </c>
      <c r="C314" s="122" t="s">
        <v>148</v>
      </c>
      <c r="D314" s="122" t="s">
        <v>146</v>
      </c>
      <c r="E314" s="17">
        <v>3.4542000000000002</v>
      </c>
      <c r="F314" s="17">
        <v>7.9200000000000159</v>
      </c>
      <c r="G314" s="17">
        <v>95.420000000000016</v>
      </c>
      <c r="H314" s="17">
        <v>3.8168000000000006</v>
      </c>
      <c r="I314" s="17">
        <v>-5.2699999999999747</v>
      </c>
      <c r="J314" s="17">
        <v>-2.5099999999999678</v>
      </c>
      <c r="K314" s="18" t="s">
        <v>41</v>
      </c>
      <c r="L314" s="17"/>
    </row>
    <row r="315" spans="1:12" x14ac:dyDescent="0.25">
      <c r="A315" s="16">
        <v>46232</v>
      </c>
      <c r="B315" s="17"/>
      <c r="C315" s="122"/>
      <c r="D315" s="122"/>
      <c r="E315" s="17"/>
      <c r="F315" s="17"/>
      <c r="G315" s="17"/>
      <c r="H315" s="17"/>
      <c r="I315" s="17">
        <v>0</v>
      </c>
      <c r="J315" s="17">
        <v>0</v>
      </c>
      <c r="K315" s="18">
        <v>0</v>
      </c>
      <c r="L315" s="17"/>
    </row>
    <row r="316" spans="1:12" x14ac:dyDescent="0.25">
      <c r="A316" s="16">
        <v>46232</v>
      </c>
      <c r="B316" s="17"/>
      <c r="C316" s="122"/>
      <c r="D316" s="122"/>
      <c r="E316" s="17"/>
      <c r="F316" s="17"/>
      <c r="G316" s="17"/>
      <c r="H316" s="17"/>
      <c r="I316" s="17">
        <v>0</v>
      </c>
      <c r="J316" s="17">
        <v>0</v>
      </c>
      <c r="K316" s="18">
        <v>0</v>
      </c>
      <c r="L316" s="17"/>
    </row>
    <row r="317" spans="1:12" x14ac:dyDescent="0.25">
      <c r="A317" s="16">
        <v>46232</v>
      </c>
      <c r="B317" s="17"/>
      <c r="C317" s="122"/>
      <c r="D317" s="122"/>
      <c r="E317" s="17"/>
      <c r="F317" s="17"/>
      <c r="G317" s="17"/>
      <c r="H317" s="17"/>
      <c r="I317" s="17">
        <v>0</v>
      </c>
      <c r="J317" s="17">
        <v>0</v>
      </c>
      <c r="K317" s="18">
        <v>0</v>
      </c>
      <c r="L317" s="17"/>
    </row>
    <row r="318" spans="1:12" x14ac:dyDescent="0.25">
      <c r="A318" s="16">
        <v>46232</v>
      </c>
      <c r="B318" s="17"/>
      <c r="C318" s="122"/>
      <c r="D318" s="122"/>
      <c r="E318" s="17"/>
      <c r="F318" s="17"/>
      <c r="G318" s="17"/>
      <c r="H318" s="17"/>
      <c r="I318" s="17">
        <v>0</v>
      </c>
      <c r="J318" s="17">
        <v>0</v>
      </c>
      <c r="K318" s="18">
        <v>0</v>
      </c>
      <c r="L318" s="17"/>
    </row>
    <row r="319" spans="1:12" x14ac:dyDescent="0.25">
      <c r="A319" s="16">
        <v>46232</v>
      </c>
      <c r="B319" s="17"/>
      <c r="C319" s="122"/>
      <c r="D319" s="122"/>
      <c r="E319" s="17"/>
      <c r="F319" s="17"/>
      <c r="G319" s="17"/>
      <c r="H319" s="17"/>
      <c r="I319" s="17">
        <v>0</v>
      </c>
      <c r="J319" s="17">
        <v>0</v>
      </c>
      <c r="K319" s="18">
        <v>0</v>
      </c>
      <c r="L319" s="17"/>
    </row>
    <row r="320" spans="1:12" x14ac:dyDescent="0.25">
      <c r="A320" s="16">
        <v>46233</v>
      </c>
      <c r="B320" s="17" t="s">
        <v>10</v>
      </c>
      <c r="C320" s="122" t="s">
        <v>115</v>
      </c>
      <c r="D320" s="122" t="s">
        <v>116</v>
      </c>
      <c r="E320" s="17">
        <v>2.7431999999999999</v>
      </c>
      <c r="F320" s="17">
        <v>24.319999999999986</v>
      </c>
      <c r="G320" s="17">
        <v>24.319999999999986</v>
      </c>
      <c r="H320" s="17">
        <v>0.97279999999999944</v>
      </c>
      <c r="I320" s="17">
        <v>0.25999999999997137</v>
      </c>
      <c r="J320" s="17">
        <v>0.50999999999996604</v>
      </c>
      <c r="K320" s="18">
        <v>12.809999999999988</v>
      </c>
      <c r="L320" s="17"/>
    </row>
    <row r="321" spans="1:12" x14ac:dyDescent="0.25">
      <c r="A321" s="16">
        <v>46233</v>
      </c>
      <c r="B321" s="17" t="s">
        <v>11</v>
      </c>
      <c r="C321" s="122" t="s">
        <v>116</v>
      </c>
      <c r="D321" s="122" t="s">
        <v>117</v>
      </c>
      <c r="E321" s="17">
        <v>2.9047000000000001</v>
      </c>
      <c r="F321" s="17">
        <v>16.15000000000002</v>
      </c>
      <c r="G321" s="17">
        <v>40.470000000000006</v>
      </c>
      <c r="H321" s="17">
        <v>1.6188000000000002</v>
      </c>
      <c r="I321" s="17">
        <v>1.0000000000000231</v>
      </c>
      <c r="J321" s="17">
        <v>1.0000000000000231</v>
      </c>
      <c r="K321" s="18">
        <v>22.06999999999999</v>
      </c>
      <c r="L321" s="17"/>
    </row>
    <row r="322" spans="1:12" x14ac:dyDescent="0.25">
      <c r="A322" s="16">
        <v>46233</v>
      </c>
      <c r="B322" s="17" t="s">
        <v>13</v>
      </c>
      <c r="C322" s="122" t="s">
        <v>117</v>
      </c>
      <c r="D322" s="122" t="s">
        <v>124</v>
      </c>
      <c r="E322" s="17">
        <v>3.1006</v>
      </c>
      <c r="F322" s="17">
        <v>19.589999999999996</v>
      </c>
      <c r="G322" s="17">
        <v>60.06</v>
      </c>
      <c r="H322" s="17">
        <v>2.4024000000000001</v>
      </c>
      <c r="I322" s="17">
        <v>2.0100000000000229</v>
      </c>
      <c r="J322" s="17">
        <v>0.24999999999999467</v>
      </c>
      <c r="K322" s="18">
        <v>25.629999999999995</v>
      </c>
      <c r="L322" s="17">
        <v>0.19589999999999996</v>
      </c>
    </row>
    <row r="323" spans="1:12" x14ac:dyDescent="0.25">
      <c r="A323" s="16">
        <v>46233</v>
      </c>
      <c r="B323" s="17" t="s">
        <v>14</v>
      </c>
      <c r="C323" s="122" t="s">
        <v>124</v>
      </c>
      <c r="D323" s="122" t="s">
        <v>123</v>
      </c>
      <c r="E323" s="17">
        <v>3.2725</v>
      </c>
      <c r="F323" s="17">
        <v>17.189999999999994</v>
      </c>
      <c r="G323" s="17">
        <v>77.25</v>
      </c>
      <c r="H323" s="17">
        <v>3.09</v>
      </c>
      <c r="I323" s="17">
        <v>2.0099999999999785</v>
      </c>
      <c r="J323" s="17">
        <v>-0.74999999999998401</v>
      </c>
      <c r="K323" s="18">
        <v>31.340000000000011</v>
      </c>
      <c r="L323" s="17"/>
    </row>
    <row r="324" spans="1:12" x14ac:dyDescent="0.25">
      <c r="A324" s="16">
        <v>46233</v>
      </c>
      <c r="B324" s="17" t="s">
        <v>15</v>
      </c>
      <c r="C324" s="122" t="s">
        <v>123</v>
      </c>
      <c r="D324" s="122" t="s">
        <v>148</v>
      </c>
      <c r="E324" s="17">
        <v>3.4001000000000001</v>
      </c>
      <c r="F324" s="17">
        <v>12.760000000000016</v>
      </c>
      <c r="G324" s="17">
        <v>90.010000000000019</v>
      </c>
      <c r="H324" s="17">
        <v>3.6004000000000009</v>
      </c>
      <c r="I324" s="17">
        <v>2.5100000000000122</v>
      </c>
      <c r="J324" s="17">
        <v>-0.74999999999998401</v>
      </c>
      <c r="K324" s="18">
        <v>34.400000000000034</v>
      </c>
      <c r="L324" s="17"/>
    </row>
    <row r="325" spans="1:12" x14ac:dyDescent="0.25">
      <c r="A325" s="16">
        <v>46233</v>
      </c>
      <c r="B325" s="17" t="s">
        <v>17</v>
      </c>
      <c r="C325" s="122" t="s">
        <v>148</v>
      </c>
      <c r="D325" s="122" t="s">
        <v>146</v>
      </c>
      <c r="E325" s="17">
        <v>3.4792999999999998</v>
      </c>
      <c r="F325" s="17">
        <v>7.9199999999999715</v>
      </c>
      <c r="G325" s="17">
        <v>97.929999999999978</v>
      </c>
      <c r="H325" s="17">
        <v>3.9171999999999993</v>
      </c>
      <c r="I325" s="17">
        <v>2.5099999999999678</v>
      </c>
      <c r="J325" s="17">
        <v>-1.2500000000000178</v>
      </c>
      <c r="K325" s="18" t="s">
        <v>41</v>
      </c>
      <c r="L325" s="17"/>
    </row>
    <row r="326" spans="1:12" x14ac:dyDescent="0.25">
      <c r="A326" s="16">
        <v>46233</v>
      </c>
      <c r="B326" s="17"/>
      <c r="C326" s="122"/>
      <c r="D326" s="122"/>
      <c r="E326" s="17"/>
      <c r="F326" s="17"/>
      <c r="G326" s="17"/>
      <c r="H326" s="17"/>
      <c r="I326" s="17">
        <v>0</v>
      </c>
      <c r="J326" s="17">
        <v>0</v>
      </c>
      <c r="K326" s="18">
        <v>0</v>
      </c>
      <c r="L326" s="17"/>
    </row>
    <row r="327" spans="1:12" x14ac:dyDescent="0.25">
      <c r="A327" s="16">
        <v>46233</v>
      </c>
      <c r="B327" s="17"/>
      <c r="C327" s="122"/>
      <c r="D327" s="122"/>
      <c r="E327" s="17"/>
      <c r="F327" s="17"/>
      <c r="G327" s="17"/>
      <c r="H327" s="17"/>
      <c r="I327" s="17">
        <v>0</v>
      </c>
      <c r="J327" s="17">
        <v>0</v>
      </c>
      <c r="K327" s="18">
        <v>0</v>
      </c>
      <c r="L327" s="17"/>
    </row>
    <row r="328" spans="1:12" x14ac:dyDescent="0.25">
      <c r="A328" s="16">
        <v>46233</v>
      </c>
      <c r="B328" s="17"/>
      <c r="C328" s="122"/>
      <c r="D328" s="122"/>
      <c r="E328" s="17"/>
      <c r="F328" s="17"/>
      <c r="G328" s="17"/>
      <c r="H328" s="17"/>
      <c r="I328" s="17">
        <v>0</v>
      </c>
      <c r="J328" s="17">
        <v>0</v>
      </c>
      <c r="K328" s="18">
        <v>0</v>
      </c>
      <c r="L328" s="17"/>
    </row>
    <row r="329" spans="1:12" x14ac:dyDescent="0.25">
      <c r="A329" s="16">
        <v>46233</v>
      </c>
      <c r="B329" s="17"/>
      <c r="C329" s="122"/>
      <c r="D329" s="122"/>
      <c r="E329" s="17"/>
      <c r="F329" s="17"/>
      <c r="G329" s="17"/>
      <c r="H329" s="17"/>
      <c r="I329" s="17">
        <v>0</v>
      </c>
      <c r="J329" s="17">
        <v>0</v>
      </c>
      <c r="K329" s="18">
        <v>0</v>
      </c>
      <c r="L329" s="17"/>
    </row>
    <row r="330" spans="1:12" x14ac:dyDescent="0.25">
      <c r="A330" s="16">
        <v>46233</v>
      </c>
      <c r="B330" s="17"/>
      <c r="C330" s="122"/>
      <c r="D330" s="122"/>
      <c r="E330" s="17"/>
      <c r="F330" s="17"/>
      <c r="G330" s="17"/>
      <c r="H330" s="17"/>
      <c r="I330" s="17">
        <v>0</v>
      </c>
      <c r="J330" s="17">
        <v>0</v>
      </c>
      <c r="K330" s="18">
        <v>0</v>
      </c>
      <c r="L330" s="17"/>
    </row>
    <row r="331" spans="1:12" x14ac:dyDescent="0.25">
      <c r="A331" s="531">
        <v>46234</v>
      </c>
      <c r="B331" s="532" t="s">
        <v>10</v>
      </c>
      <c r="C331" s="533" t="s">
        <v>115</v>
      </c>
      <c r="D331" s="533" t="s">
        <v>116</v>
      </c>
      <c r="E331" s="532">
        <v>2.7431999999999999</v>
      </c>
      <c r="F331" s="532">
        <v>24.319999999999986</v>
      </c>
      <c r="G331" s="532">
        <v>24.319999999999986</v>
      </c>
      <c r="H331" s="532">
        <v>0.97279999999999944</v>
      </c>
      <c r="I331" s="532">
        <v>0</v>
      </c>
      <c r="J331" s="532">
        <v>-0.75000000000002842</v>
      </c>
      <c r="K331" s="534">
        <v>12.809999999999988</v>
      </c>
      <c r="L331" s="532"/>
    </row>
    <row r="332" spans="1:12" x14ac:dyDescent="0.25">
      <c r="A332" s="531">
        <v>46234</v>
      </c>
      <c r="B332" s="532" t="s">
        <v>11</v>
      </c>
      <c r="C332" s="533" t="s">
        <v>116</v>
      </c>
      <c r="D332" s="533" t="s">
        <v>117</v>
      </c>
      <c r="E332" s="532">
        <v>2.9022000000000001</v>
      </c>
      <c r="F332" s="532">
        <v>15.900000000000025</v>
      </c>
      <c r="G332" s="532">
        <v>40.220000000000013</v>
      </c>
      <c r="H332" s="532">
        <v>1.6088000000000005</v>
      </c>
      <c r="I332" s="532">
        <v>-0.24999999999999467</v>
      </c>
      <c r="J332" s="532">
        <v>-2.2599999999999731</v>
      </c>
      <c r="K332" s="534">
        <v>21.819999999999993</v>
      </c>
      <c r="L332" s="532"/>
    </row>
    <row r="333" spans="1:12" x14ac:dyDescent="0.25">
      <c r="A333" s="531">
        <v>46234</v>
      </c>
      <c r="B333" s="532" t="s">
        <v>13</v>
      </c>
      <c r="C333" s="533" t="s">
        <v>117</v>
      </c>
      <c r="D333" s="533" t="s">
        <v>124</v>
      </c>
      <c r="E333" s="532">
        <v>3.0905999999999998</v>
      </c>
      <c r="F333" s="532">
        <v>18.839999999999968</v>
      </c>
      <c r="G333" s="532">
        <v>59.059999999999981</v>
      </c>
      <c r="H333" s="532">
        <v>2.3623999999999992</v>
      </c>
      <c r="I333" s="532">
        <v>-1.0000000000000231</v>
      </c>
      <c r="J333" s="532">
        <v>-4.5200000000000351</v>
      </c>
      <c r="K333" s="534">
        <v>24.629999999999974</v>
      </c>
      <c r="L333" s="532">
        <v>0.18839999999999968</v>
      </c>
    </row>
    <row r="334" spans="1:12" x14ac:dyDescent="0.25">
      <c r="A334" s="531">
        <v>46234</v>
      </c>
      <c r="B334" s="532" t="s">
        <v>14</v>
      </c>
      <c r="C334" s="533" t="s">
        <v>124</v>
      </c>
      <c r="D334" s="533" t="s">
        <v>123</v>
      </c>
      <c r="E334" s="532">
        <v>3.2599</v>
      </c>
      <c r="F334" s="532">
        <v>16.930000000000021</v>
      </c>
      <c r="G334" s="532">
        <v>75.990000000000009</v>
      </c>
      <c r="H334" s="532">
        <v>3.0396000000000005</v>
      </c>
      <c r="I334" s="532">
        <v>-1.2599999999999945</v>
      </c>
      <c r="J334" s="532">
        <v>-6.2699999999999978</v>
      </c>
      <c r="K334" s="534">
        <v>30.08000000000002</v>
      </c>
      <c r="L334" s="532"/>
    </row>
    <row r="335" spans="1:12" x14ac:dyDescent="0.25">
      <c r="A335" s="531">
        <v>46234</v>
      </c>
      <c r="B335" s="532" t="s">
        <v>15</v>
      </c>
      <c r="C335" s="533" t="s">
        <v>123</v>
      </c>
      <c r="D335" s="533" t="s">
        <v>148</v>
      </c>
      <c r="E335" s="532">
        <v>3.3849999999999998</v>
      </c>
      <c r="F335" s="532">
        <v>12.509999999999977</v>
      </c>
      <c r="G335" s="532">
        <v>88.499999999999972</v>
      </c>
      <c r="H335" s="532">
        <v>3.5399999999999987</v>
      </c>
      <c r="I335" s="532">
        <v>-1.5100000000000335</v>
      </c>
      <c r="J335" s="532">
        <v>-8.5400000000000365</v>
      </c>
      <c r="K335" s="534">
        <v>32.89</v>
      </c>
      <c r="L335" s="532"/>
    </row>
    <row r="336" spans="1:12" x14ac:dyDescent="0.25">
      <c r="A336" s="531">
        <v>46234</v>
      </c>
      <c r="B336" s="532" t="s">
        <v>17</v>
      </c>
      <c r="C336" s="533" t="s">
        <v>148</v>
      </c>
      <c r="D336" s="533" t="s">
        <v>146</v>
      </c>
      <c r="E336" s="532">
        <v>3.4641999999999999</v>
      </c>
      <c r="F336" s="532">
        <v>7.9200000000000159</v>
      </c>
      <c r="G336" s="532">
        <v>96.419999999999987</v>
      </c>
      <c r="H336" s="532">
        <v>3.8567999999999993</v>
      </c>
      <c r="I336" s="532">
        <v>-1.5099999999999891</v>
      </c>
      <c r="J336" s="532">
        <v>-9.7900000000000098</v>
      </c>
      <c r="K336" s="534" t="s">
        <v>41</v>
      </c>
      <c r="L336" s="532"/>
    </row>
    <row r="337" spans="1:12" x14ac:dyDescent="0.25">
      <c r="A337" s="531">
        <v>46234</v>
      </c>
      <c r="B337" s="532"/>
      <c r="C337" s="533"/>
      <c r="D337" s="533"/>
      <c r="E337" s="532"/>
      <c r="F337" s="532"/>
      <c r="G337" s="532"/>
      <c r="H337" s="532"/>
      <c r="I337" s="532">
        <v>0</v>
      </c>
      <c r="J337" s="532">
        <v>0</v>
      </c>
      <c r="K337" s="534">
        <v>0</v>
      </c>
      <c r="L337" s="532"/>
    </row>
    <row r="338" spans="1:12" x14ac:dyDescent="0.25">
      <c r="A338" s="531">
        <v>46234</v>
      </c>
      <c r="B338" s="532"/>
      <c r="C338" s="533"/>
      <c r="D338" s="533"/>
      <c r="E338" s="532"/>
      <c r="F338" s="532"/>
      <c r="G338" s="532"/>
      <c r="H338" s="532"/>
      <c r="I338" s="532">
        <v>0</v>
      </c>
      <c r="J338" s="532">
        <v>0</v>
      </c>
      <c r="K338" s="534">
        <v>0</v>
      </c>
      <c r="L338" s="532"/>
    </row>
    <row r="339" spans="1:12" x14ac:dyDescent="0.25">
      <c r="A339" s="531">
        <v>46234</v>
      </c>
      <c r="B339" s="532"/>
      <c r="C339" s="533"/>
      <c r="D339" s="533"/>
      <c r="E339" s="532"/>
      <c r="F339" s="532"/>
      <c r="G339" s="532"/>
      <c r="H339" s="532"/>
      <c r="I339" s="532">
        <v>0</v>
      </c>
      <c r="J339" s="532">
        <v>0</v>
      </c>
      <c r="K339" s="534">
        <v>0</v>
      </c>
      <c r="L339" s="532"/>
    </row>
    <row r="340" spans="1:12" x14ac:dyDescent="0.25">
      <c r="A340" s="531">
        <v>46234</v>
      </c>
      <c r="B340" s="532"/>
      <c r="C340" s="533"/>
      <c r="D340" s="533"/>
      <c r="E340" s="532"/>
      <c r="F340" s="532"/>
      <c r="G340" s="532"/>
      <c r="H340" s="532"/>
      <c r="I340" s="532">
        <v>0</v>
      </c>
      <c r="J340" s="532">
        <v>0</v>
      </c>
      <c r="K340" s="534">
        <v>0</v>
      </c>
      <c r="L340" s="532"/>
    </row>
    <row r="341" spans="1:12" x14ac:dyDescent="0.25">
      <c r="A341" s="531">
        <v>46234</v>
      </c>
      <c r="B341" s="532"/>
      <c r="C341" s="533"/>
      <c r="D341" s="533"/>
      <c r="E341" s="532"/>
      <c r="F341" s="532"/>
      <c r="G341" s="532"/>
      <c r="H341" s="532"/>
      <c r="I341" s="532">
        <v>0</v>
      </c>
      <c r="J341" s="532">
        <v>0</v>
      </c>
      <c r="K341" s="534">
        <v>0</v>
      </c>
      <c r="L341" s="532"/>
    </row>
    <row r="342" spans="1:12" x14ac:dyDescent="0.25">
      <c r="A342" s="531">
        <v>46237</v>
      </c>
      <c r="B342" s="532" t="s">
        <v>10</v>
      </c>
      <c r="C342" s="533" t="s">
        <v>115</v>
      </c>
      <c r="D342" s="533" t="s">
        <v>116</v>
      </c>
      <c r="E342" s="532">
        <v>2.7431999999999999</v>
      </c>
      <c r="F342" s="532">
        <v>24.319999999999986</v>
      </c>
      <c r="G342" s="532">
        <v>24.319999999999986</v>
      </c>
      <c r="H342" s="532">
        <v>0.97279999999999944</v>
      </c>
      <c r="I342" s="532">
        <v>0</v>
      </c>
      <c r="J342" s="532">
        <v>0.25999999999997137</v>
      </c>
      <c r="K342" s="534">
        <v>11.299999999999999</v>
      </c>
      <c r="L342" s="532"/>
    </row>
    <row r="343" spans="1:12" x14ac:dyDescent="0.25">
      <c r="A343" s="531">
        <v>46237</v>
      </c>
      <c r="B343" s="532" t="s">
        <v>11</v>
      </c>
      <c r="C343" s="533" t="s">
        <v>116</v>
      </c>
      <c r="D343" s="533" t="s">
        <v>117</v>
      </c>
      <c r="E343" s="532">
        <v>2.9022000000000001</v>
      </c>
      <c r="F343" s="532">
        <v>15.900000000000025</v>
      </c>
      <c r="G343" s="532">
        <v>40.220000000000013</v>
      </c>
      <c r="H343" s="532">
        <v>1.6088000000000005</v>
      </c>
      <c r="I343" s="532">
        <v>0</v>
      </c>
      <c r="J343" s="532">
        <v>-0.49999999999998934</v>
      </c>
      <c r="K343" s="534">
        <v>20.060000000000009</v>
      </c>
      <c r="L343" s="532"/>
    </row>
    <row r="344" spans="1:12" x14ac:dyDescent="0.25">
      <c r="A344" s="531">
        <v>46237</v>
      </c>
      <c r="B344" s="532" t="s">
        <v>13</v>
      </c>
      <c r="C344" s="533" t="s">
        <v>117</v>
      </c>
      <c r="D344" s="533" t="s">
        <v>124</v>
      </c>
      <c r="E344" s="532">
        <v>3.0905999999999998</v>
      </c>
      <c r="F344" s="532">
        <v>18.839999999999968</v>
      </c>
      <c r="G344" s="532">
        <v>59.059999999999981</v>
      </c>
      <c r="H344" s="532">
        <v>2.3623999999999992</v>
      </c>
      <c r="I344" s="532">
        <v>0</v>
      </c>
      <c r="J344" s="532">
        <v>-1.5100000000000335</v>
      </c>
      <c r="K344" s="534">
        <v>22.86999999999999</v>
      </c>
      <c r="L344" s="532">
        <v>0.18839999999999968</v>
      </c>
    </row>
    <row r="345" spans="1:12" x14ac:dyDescent="0.25">
      <c r="A345" s="531">
        <v>46237</v>
      </c>
      <c r="B345" s="532" t="s">
        <v>14</v>
      </c>
      <c r="C345" s="533" t="s">
        <v>124</v>
      </c>
      <c r="D345" s="533" t="s">
        <v>123</v>
      </c>
      <c r="E345" s="532">
        <v>3.2599</v>
      </c>
      <c r="F345" s="532">
        <v>16.930000000000021</v>
      </c>
      <c r="G345" s="532">
        <v>75.990000000000009</v>
      </c>
      <c r="H345" s="532">
        <v>3.0396000000000005</v>
      </c>
      <c r="I345" s="532">
        <v>0</v>
      </c>
      <c r="J345" s="532">
        <v>-2.2600000000000176</v>
      </c>
      <c r="K345" s="534">
        <v>27.070000000000014</v>
      </c>
      <c r="L345" s="532"/>
    </row>
    <row r="346" spans="1:12" x14ac:dyDescent="0.25">
      <c r="A346" s="531">
        <v>46237</v>
      </c>
      <c r="B346" s="532" t="s">
        <v>15</v>
      </c>
      <c r="C346" s="533" t="s">
        <v>123</v>
      </c>
      <c r="D346" s="533" t="s">
        <v>148</v>
      </c>
      <c r="E346" s="532">
        <v>3.3849999999999998</v>
      </c>
      <c r="F346" s="532">
        <v>12.509999999999977</v>
      </c>
      <c r="G346" s="532">
        <v>88.499999999999972</v>
      </c>
      <c r="H346" s="532">
        <v>3.5399999999999987</v>
      </c>
      <c r="I346" s="532">
        <v>0</v>
      </c>
      <c r="J346" s="532">
        <v>-3.0100000000000016</v>
      </c>
      <c r="K346" s="534">
        <v>29.369999999999983</v>
      </c>
      <c r="L346" s="532"/>
    </row>
    <row r="347" spans="1:12" x14ac:dyDescent="0.25">
      <c r="A347" s="531">
        <v>46237</v>
      </c>
      <c r="B347" s="532" t="s">
        <v>17</v>
      </c>
      <c r="C347" s="533" t="s">
        <v>148</v>
      </c>
      <c r="D347" s="533" t="s">
        <v>146</v>
      </c>
      <c r="E347" s="532">
        <v>3.4641999999999999</v>
      </c>
      <c r="F347" s="532">
        <v>7.9200000000000159</v>
      </c>
      <c r="G347" s="532">
        <v>96.419999999999987</v>
      </c>
      <c r="H347" s="532">
        <v>3.8567999999999993</v>
      </c>
      <c r="I347" s="532">
        <v>0</v>
      </c>
      <c r="J347" s="532">
        <v>-4.269999999999996</v>
      </c>
      <c r="K347" s="534" t="s">
        <v>41</v>
      </c>
      <c r="L347" s="532"/>
    </row>
    <row r="348" spans="1:12" x14ac:dyDescent="0.25">
      <c r="A348" s="531">
        <v>46237</v>
      </c>
      <c r="B348" s="532"/>
      <c r="C348" s="533"/>
      <c r="D348" s="533"/>
      <c r="E348" s="532"/>
      <c r="F348" s="532"/>
      <c r="G348" s="532"/>
      <c r="H348" s="532"/>
      <c r="I348" s="532">
        <v>0</v>
      </c>
      <c r="J348" s="532">
        <v>0</v>
      </c>
      <c r="K348" s="534">
        <v>0</v>
      </c>
      <c r="L348" s="532"/>
    </row>
    <row r="349" spans="1:12" x14ac:dyDescent="0.25">
      <c r="A349" s="531">
        <v>46237</v>
      </c>
      <c r="B349" s="532"/>
      <c r="C349" s="533"/>
      <c r="D349" s="533"/>
      <c r="E349" s="532"/>
      <c r="F349" s="532"/>
      <c r="G349" s="532"/>
      <c r="H349" s="532"/>
      <c r="I349" s="532">
        <v>0</v>
      </c>
      <c r="J349" s="532">
        <v>0</v>
      </c>
      <c r="K349" s="534">
        <v>0</v>
      </c>
      <c r="L349" s="532"/>
    </row>
    <row r="350" spans="1:12" x14ac:dyDescent="0.25">
      <c r="A350" s="531">
        <v>46237</v>
      </c>
      <c r="B350" s="532"/>
      <c r="C350" s="533"/>
      <c r="D350" s="533"/>
      <c r="E350" s="532"/>
      <c r="F350" s="532"/>
      <c r="G350" s="532"/>
      <c r="H350" s="532"/>
      <c r="I350" s="532">
        <v>0</v>
      </c>
      <c r="J350" s="532">
        <v>0</v>
      </c>
      <c r="K350" s="534">
        <v>0</v>
      </c>
      <c r="L350" s="532"/>
    </row>
    <row r="351" spans="1:12" x14ac:dyDescent="0.25">
      <c r="A351" s="531">
        <v>46237</v>
      </c>
      <c r="B351" s="532"/>
      <c r="C351" s="533"/>
      <c r="D351" s="533"/>
      <c r="E351" s="532"/>
      <c r="F351" s="532"/>
      <c r="G351" s="532"/>
      <c r="H351" s="532"/>
      <c r="I351" s="532">
        <v>0</v>
      </c>
      <c r="J351" s="532">
        <v>0</v>
      </c>
      <c r="K351" s="534">
        <v>0</v>
      </c>
      <c r="L351" s="532"/>
    </row>
    <row r="352" spans="1:12" x14ac:dyDescent="0.25">
      <c r="A352" s="531">
        <v>46237</v>
      </c>
      <c r="B352" s="532"/>
      <c r="C352" s="533"/>
      <c r="D352" s="533"/>
      <c r="E352" s="532"/>
      <c r="F352" s="532"/>
      <c r="G352" s="532"/>
      <c r="H352" s="532"/>
      <c r="I352" s="532">
        <v>0</v>
      </c>
      <c r="J352" s="532">
        <v>0</v>
      </c>
      <c r="K352" s="534">
        <v>0</v>
      </c>
      <c r="L352" s="532"/>
    </row>
    <row r="353" spans="1:12" x14ac:dyDescent="0.25">
      <c r="A353" s="16">
        <v>46238</v>
      </c>
      <c r="B353" s="17" t="s">
        <v>10</v>
      </c>
      <c r="C353" s="122" t="s">
        <v>115</v>
      </c>
      <c r="D353" s="122" t="s">
        <v>116</v>
      </c>
      <c r="E353" s="17">
        <v>2.7431999999999999</v>
      </c>
      <c r="F353" s="17">
        <v>24.319999999999986</v>
      </c>
      <c r="G353" s="17">
        <v>24.319999999999986</v>
      </c>
      <c r="H353" s="17">
        <v>0.97279999999999944</v>
      </c>
      <c r="I353" s="17">
        <v>0</v>
      </c>
      <c r="J353" s="17">
        <v>0.25999999999997137</v>
      </c>
      <c r="K353" s="18">
        <v>11.799999999999988</v>
      </c>
      <c r="L353" s="17"/>
    </row>
    <row r="354" spans="1:12" x14ac:dyDescent="0.25">
      <c r="A354" s="16">
        <v>46238</v>
      </c>
      <c r="B354" s="17" t="s">
        <v>11</v>
      </c>
      <c r="C354" s="122" t="s">
        <v>116</v>
      </c>
      <c r="D354" s="122" t="s">
        <v>117</v>
      </c>
      <c r="E354" s="17">
        <v>2.8997000000000002</v>
      </c>
      <c r="F354" s="17">
        <v>15.650000000000031</v>
      </c>
      <c r="G354" s="17">
        <v>39.970000000000013</v>
      </c>
      <c r="H354" s="17">
        <v>1.5988000000000004</v>
      </c>
      <c r="I354" s="17">
        <v>-0.24999999999999467</v>
      </c>
      <c r="J354" s="17">
        <v>-0.99999999999997868</v>
      </c>
      <c r="K354" s="18">
        <v>20.310000000000006</v>
      </c>
      <c r="L354" s="17"/>
    </row>
    <row r="355" spans="1:12" x14ac:dyDescent="0.25">
      <c r="A355" s="16">
        <v>46238</v>
      </c>
      <c r="B355" s="17" t="s">
        <v>13</v>
      </c>
      <c r="C355" s="122" t="s">
        <v>117</v>
      </c>
      <c r="D355" s="122" t="s">
        <v>124</v>
      </c>
      <c r="E355" s="17">
        <v>3.0880999999999998</v>
      </c>
      <c r="F355" s="17">
        <v>18.839999999999968</v>
      </c>
      <c r="G355" s="17">
        <v>58.809999999999988</v>
      </c>
      <c r="H355" s="17">
        <v>2.3523999999999994</v>
      </c>
      <c r="I355" s="17">
        <v>-0.24999999999999467</v>
      </c>
      <c r="J355" s="17">
        <v>-2.0100000000000229</v>
      </c>
      <c r="K355" s="18">
        <v>22.86999999999999</v>
      </c>
      <c r="L355" s="17">
        <v>0.18839999999999968</v>
      </c>
    </row>
    <row r="356" spans="1:12" x14ac:dyDescent="0.25">
      <c r="A356" s="16">
        <v>46238</v>
      </c>
      <c r="B356" s="17" t="s">
        <v>14</v>
      </c>
      <c r="C356" s="122" t="s">
        <v>124</v>
      </c>
      <c r="D356" s="122" t="s">
        <v>123</v>
      </c>
      <c r="E356" s="17">
        <v>3.2498999999999998</v>
      </c>
      <c r="F356" s="17">
        <v>16.179999999999993</v>
      </c>
      <c r="G356" s="17">
        <v>74.989999999999981</v>
      </c>
      <c r="H356" s="17">
        <v>2.9995999999999992</v>
      </c>
      <c r="I356" s="17">
        <v>-1.0000000000000231</v>
      </c>
      <c r="J356" s="17">
        <v>-3.5100000000000353</v>
      </c>
      <c r="K356" s="18">
        <v>27.079999999999991</v>
      </c>
      <c r="L356" s="17"/>
    </row>
    <row r="357" spans="1:12" x14ac:dyDescent="0.25">
      <c r="A357" s="16">
        <v>46238</v>
      </c>
      <c r="B357" s="17" t="s">
        <v>15</v>
      </c>
      <c r="C357" s="122" t="s">
        <v>123</v>
      </c>
      <c r="D357" s="122" t="s">
        <v>148</v>
      </c>
      <c r="E357" s="17">
        <v>3.375</v>
      </c>
      <c r="F357" s="17">
        <v>12.510000000000021</v>
      </c>
      <c r="G357" s="17">
        <v>87.5</v>
      </c>
      <c r="H357" s="17">
        <v>3.5</v>
      </c>
      <c r="I357" s="17">
        <v>-0.99999999999997868</v>
      </c>
      <c r="J357" s="17">
        <v>-4.269999999999996</v>
      </c>
      <c r="K357" s="18">
        <v>29.879999999999995</v>
      </c>
      <c r="L357" s="17"/>
    </row>
    <row r="358" spans="1:12" x14ac:dyDescent="0.25">
      <c r="A358" s="16">
        <v>46238</v>
      </c>
      <c r="B358" s="17" t="s">
        <v>17</v>
      </c>
      <c r="C358" s="122" t="s">
        <v>148</v>
      </c>
      <c r="D358" s="122" t="s">
        <v>146</v>
      </c>
      <c r="E358" s="17">
        <v>3.4542000000000002</v>
      </c>
      <c r="F358" s="17">
        <v>7.9200000000000159</v>
      </c>
      <c r="G358" s="17">
        <v>95.420000000000016</v>
      </c>
      <c r="H358" s="17">
        <v>3.8168000000000006</v>
      </c>
      <c r="I358" s="17">
        <v>-0.99999999999997868</v>
      </c>
      <c r="J358" s="17">
        <v>-5.2699999999999747</v>
      </c>
      <c r="K358" s="18" t="s">
        <v>41</v>
      </c>
      <c r="L358" s="17"/>
    </row>
    <row r="359" spans="1:12" x14ac:dyDescent="0.25">
      <c r="A359" s="16">
        <v>46238</v>
      </c>
      <c r="B359" s="17"/>
      <c r="C359" s="122"/>
      <c r="D359" s="122"/>
      <c r="E359" s="17"/>
      <c r="F359" s="17"/>
      <c r="G359" s="17"/>
      <c r="H359" s="17"/>
      <c r="I359" s="17">
        <v>0</v>
      </c>
      <c r="J359" s="17">
        <v>0</v>
      </c>
      <c r="K359" s="18">
        <v>0</v>
      </c>
      <c r="L359" s="17"/>
    </row>
    <row r="360" spans="1:12" x14ac:dyDescent="0.25">
      <c r="A360" s="16">
        <v>46238</v>
      </c>
      <c r="B360" s="17"/>
      <c r="C360" s="122"/>
      <c r="D360" s="122"/>
      <c r="E360" s="17"/>
      <c r="F360" s="17"/>
      <c r="G360" s="17"/>
      <c r="H360" s="17"/>
      <c r="I360" s="17">
        <v>0</v>
      </c>
      <c r="J360" s="17">
        <v>0</v>
      </c>
      <c r="K360" s="18">
        <v>0</v>
      </c>
      <c r="L360" s="17"/>
    </row>
    <row r="361" spans="1:12" x14ac:dyDescent="0.25">
      <c r="A361" s="16">
        <v>46238</v>
      </c>
      <c r="B361" s="17"/>
      <c r="C361" s="122"/>
      <c r="D361" s="122"/>
      <c r="E361" s="17"/>
      <c r="F361" s="17"/>
      <c r="G361" s="17"/>
      <c r="H361" s="17"/>
      <c r="I361" s="17">
        <v>0</v>
      </c>
      <c r="J361" s="17">
        <v>0</v>
      </c>
      <c r="K361" s="18">
        <v>0</v>
      </c>
      <c r="L361" s="17"/>
    </row>
    <row r="362" spans="1:12" x14ac:dyDescent="0.25">
      <c r="A362" s="16">
        <v>46238</v>
      </c>
      <c r="B362" s="17"/>
      <c r="C362" s="122"/>
      <c r="D362" s="122"/>
      <c r="E362" s="17"/>
      <c r="F362" s="17"/>
      <c r="G362" s="17"/>
      <c r="H362" s="17"/>
      <c r="I362" s="17">
        <v>0</v>
      </c>
      <c r="J362" s="17">
        <v>0</v>
      </c>
      <c r="K362" s="18">
        <v>0</v>
      </c>
      <c r="L362" s="17"/>
    </row>
    <row r="363" spans="1:12" x14ac:dyDescent="0.25">
      <c r="A363" s="16">
        <v>46238</v>
      </c>
      <c r="B363" s="17"/>
      <c r="C363" s="122"/>
      <c r="D363" s="122"/>
      <c r="E363" s="17"/>
      <c r="F363" s="17"/>
      <c r="G363" s="17"/>
      <c r="H363" s="17"/>
      <c r="I363" s="17">
        <v>0</v>
      </c>
      <c r="J363" s="17">
        <v>0</v>
      </c>
      <c r="K363" s="18">
        <v>0</v>
      </c>
      <c r="L363" s="17"/>
    </row>
    <row r="364" spans="1:12" x14ac:dyDescent="0.25">
      <c r="A364" s="550">
        <v>46239</v>
      </c>
      <c r="B364" s="551" t="s">
        <v>10</v>
      </c>
      <c r="C364" s="552" t="s">
        <v>115</v>
      </c>
      <c r="D364" s="552" t="s">
        <v>116</v>
      </c>
      <c r="E364" s="551">
        <v>2.7330999999999999</v>
      </c>
      <c r="F364" s="551">
        <v>23.309999999999988</v>
      </c>
      <c r="G364" s="551">
        <v>23.309999999999988</v>
      </c>
      <c r="H364" s="551">
        <v>0.93239999999999956</v>
      </c>
      <c r="I364" s="551">
        <v>-1.0099999999999998</v>
      </c>
      <c r="J364" s="551">
        <v>-0.75000000000002842</v>
      </c>
      <c r="K364" s="553">
        <v>10.29</v>
      </c>
      <c r="L364" s="551"/>
    </row>
    <row r="365" spans="1:12" x14ac:dyDescent="0.25">
      <c r="A365" s="550">
        <v>46239</v>
      </c>
      <c r="B365" s="551" t="s">
        <v>11</v>
      </c>
      <c r="C365" s="552" t="s">
        <v>116</v>
      </c>
      <c r="D365" s="552" t="s">
        <v>117</v>
      </c>
      <c r="E365" s="551">
        <v>2.8595999999999999</v>
      </c>
      <c r="F365" s="551">
        <v>12.650000000000006</v>
      </c>
      <c r="G365" s="551">
        <v>35.959999999999994</v>
      </c>
      <c r="H365" s="551">
        <v>1.4383999999999997</v>
      </c>
      <c r="I365" s="551">
        <v>-4.0100000000000247</v>
      </c>
      <c r="J365" s="551">
        <v>-3.5099999999999909</v>
      </c>
      <c r="K365" s="553">
        <v>15.799999999999992</v>
      </c>
      <c r="L365" s="551"/>
    </row>
    <row r="366" spans="1:12" x14ac:dyDescent="0.25">
      <c r="A366" s="550">
        <v>46239</v>
      </c>
      <c r="B366" s="551" t="s">
        <v>13</v>
      </c>
      <c r="C366" s="552" t="s">
        <v>117</v>
      </c>
      <c r="D366" s="552" t="s">
        <v>124</v>
      </c>
      <c r="E366" s="551">
        <v>3.0226999999999999</v>
      </c>
      <c r="F366" s="551">
        <v>16.310000000000002</v>
      </c>
      <c r="G366" s="551">
        <v>52.269999999999996</v>
      </c>
      <c r="H366" s="551">
        <v>2.0907999999999998</v>
      </c>
      <c r="I366" s="551">
        <v>-6.5399999999999903</v>
      </c>
      <c r="J366" s="551">
        <v>-5.7799999999999851</v>
      </c>
      <c r="K366" s="553">
        <v>16.080000000000005</v>
      </c>
      <c r="L366" s="551">
        <v>0.16310000000000002</v>
      </c>
    </row>
    <row r="367" spans="1:12" x14ac:dyDescent="0.25">
      <c r="A367" s="550">
        <v>46239</v>
      </c>
      <c r="B367" s="551" t="s">
        <v>14</v>
      </c>
      <c r="C367" s="552" t="s">
        <v>124</v>
      </c>
      <c r="D367" s="552" t="s">
        <v>123</v>
      </c>
      <c r="E367" s="551">
        <v>3.1697000000000002</v>
      </c>
      <c r="F367" s="551">
        <v>14.700000000000024</v>
      </c>
      <c r="G367" s="551">
        <v>66.970000000000013</v>
      </c>
      <c r="H367" s="551">
        <v>2.6788000000000007</v>
      </c>
      <c r="I367" s="551">
        <v>-8.0199999999999605</v>
      </c>
      <c r="J367" s="551">
        <v>-8.27</v>
      </c>
      <c r="K367" s="553">
        <v>18.050000000000033</v>
      </c>
      <c r="L367" s="551"/>
    </row>
    <row r="368" spans="1:12" x14ac:dyDescent="0.25">
      <c r="A368" s="550">
        <v>46239</v>
      </c>
      <c r="B368" s="551" t="s">
        <v>15</v>
      </c>
      <c r="C368" s="552" t="s">
        <v>123</v>
      </c>
      <c r="D368" s="552" t="s">
        <v>148</v>
      </c>
      <c r="E368" s="551">
        <v>3.2896000000000001</v>
      </c>
      <c r="F368" s="551">
        <v>11.98999999999999</v>
      </c>
      <c r="G368" s="551">
        <v>78.960000000000008</v>
      </c>
      <c r="H368" s="551">
        <v>3.1584000000000003</v>
      </c>
      <c r="I368" s="551">
        <v>-8.539999999999992</v>
      </c>
      <c r="J368" s="551">
        <v>-8.539999999999992</v>
      </c>
      <c r="K368" s="553">
        <v>19.830000000000013</v>
      </c>
      <c r="L368" s="551"/>
    </row>
    <row r="369" spans="1:12" x14ac:dyDescent="0.25">
      <c r="A369" s="550">
        <v>46239</v>
      </c>
      <c r="B369" s="551" t="s">
        <v>17</v>
      </c>
      <c r="C369" s="552" t="s">
        <v>148</v>
      </c>
      <c r="D369" s="552" t="s">
        <v>146</v>
      </c>
      <c r="E369" s="551">
        <v>3.3689</v>
      </c>
      <c r="F369" s="551">
        <v>7.9299999999999926</v>
      </c>
      <c r="G369" s="551">
        <v>86.89</v>
      </c>
      <c r="H369" s="551">
        <v>3.4756</v>
      </c>
      <c r="I369" s="551">
        <v>-8.5300000000000153</v>
      </c>
      <c r="J369" s="551">
        <v>-8.5300000000000153</v>
      </c>
      <c r="K369" s="553" t="s">
        <v>41</v>
      </c>
      <c r="L369" s="551"/>
    </row>
    <row r="370" spans="1:12" x14ac:dyDescent="0.25">
      <c r="A370" s="550">
        <v>46239</v>
      </c>
      <c r="B370" s="551" t="s">
        <v>18</v>
      </c>
      <c r="C370" s="552" t="s">
        <v>146</v>
      </c>
      <c r="D370" s="552" t="s">
        <v>203</v>
      </c>
      <c r="E370" s="551">
        <v>3.4403000000000001</v>
      </c>
      <c r="F370" s="551">
        <v>7.140000000000013</v>
      </c>
      <c r="G370" s="551">
        <v>94.030000000000015</v>
      </c>
      <c r="H370" s="551">
        <v>3.7612000000000005</v>
      </c>
      <c r="I370" s="551" t="s">
        <v>41</v>
      </c>
      <c r="J370" s="551" t="s">
        <v>41</v>
      </c>
      <c r="K370" s="553" t="s">
        <v>41</v>
      </c>
      <c r="L370" s="551"/>
    </row>
    <row r="371" spans="1:12" x14ac:dyDescent="0.25">
      <c r="A371" s="550">
        <v>46239</v>
      </c>
      <c r="B371" s="551"/>
      <c r="C371" s="552"/>
      <c r="D371" s="552"/>
      <c r="E371" s="551"/>
      <c r="F371" s="551"/>
      <c r="G371" s="551"/>
      <c r="H371" s="551"/>
      <c r="I371" s="551">
        <v>0</v>
      </c>
      <c r="J371" s="551">
        <v>0</v>
      </c>
      <c r="K371" s="553">
        <v>0</v>
      </c>
      <c r="L371" s="551"/>
    </row>
    <row r="372" spans="1:12" x14ac:dyDescent="0.25">
      <c r="A372" s="550">
        <v>46239</v>
      </c>
      <c r="B372" s="551"/>
      <c r="C372" s="552"/>
      <c r="D372" s="552"/>
      <c r="E372" s="551"/>
      <c r="F372" s="551"/>
      <c r="G372" s="551"/>
      <c r="H372" s="551"/>
      <c r="I372" s="551">
        <v>0</v>
      </c>
      <c r="J372" s="551">
        <v>0</v>
      </c>
      <c r="K372" s="553">
        <v>0</v>
      </c>
      <c r="L372" s="551"/>
    </row>
    <row r="373" spans="1:12" x14ac:dyDescent="0.25">
      <c r="A373" s="550">
        <v>46239</v>
      </c>
      <c r="B373" s="551"/>
      <c r="C373" s="552"/>
      <c r="D373" s="552"/>
      <c r="E373" s="551"/>
      <c r="F373" s="551"/>
      <c r="G373" s="551"/>
      <c r="H373" s="551"/>
      <c r="I373" s="551">
        <v>0</v>
      </c>
      <c r="J373" s="551">
        <v>0</v>
      </c>
      <c r="K373" s="553">
        <v>0</v>
      </c>
      <c r="L373" s="551"/>
    </row>
    <row r="374" spans="1:12" x14ac:dyDescent="0.25">
      <c r="A374" s="550">
        <v>46239</v>
      </c>
      <c r="B374" s="551"/>
      <c r="C374" s="552"/>
      <c r="D374" s="552"/>
      <c r="E374" s="551"/>
      <c r="F374" s="551"/>
      <c r="G374" s="551"/>
      <c r="H374" s="551"/>
      <c r="I374" s="551">
        <v>0</v>
      </c>
      <c r="J374" s="551">
        <v>0</v>
      </c>
      <c r="K374" s="553">
        <v>0</v>
      </c>
      <c r="L374" s="551"/>
    </row>
    <row r="375" spans="1:12" x14ac:dyDescent="0.25">
      <c r="A375" s="550">
        <v>46240</v>
      </c>
      <c r="B375" s="551" t="s">
        <v>10</v>
      </c>
      <c r="C375" s="552" t="s">
        <v>115</v>
      </c>
      <c r="D375" s="552" t="s">
        <v>116</v>
      </c>
      <c r="E375" s="551">
        <v>2.7330999999999999</v>
      </c>
      <c r="F375" s="551">
        <v>23.309999999999988</v>
      </c>
      <c r="G375" s="551">
        <v>23.309999999999988</v>
      </c>
      <c r="H375" s="551">
        <v>0.93239999999999956</v>
      </c>
      <c r="I375" s="551">
        <v>0</v>
      </c>
      <c r="J375" s="551">
        <v>-1.0099999999999998</v>
      </c>
      <c r="K375" s="553">
        <v>12.799999999999967</v>
      </c>
      <c r="L375" s="551"/>
    </row>
    <row r="376" spans="1:12" x14ac:dyDescent="0.25">
      <c r="A376" s="550">
        <v>46240</v>
      </c>
      <c r="B376" s="551" t="s">
        <v>11</v>
      </c>
      <c r="C376" s="552" t="s">
        <v>116</v>
      </c>
      <c r="D376" s="552" t="s">
        <v>117</v>
      </c>
      <c r="E376" s="551">
        <v>2.8571</v>
      </c>
      <c r="F376" s="551">
        <v>12.400000000000011</v>
      </c>
      <c r="G376" s="551">
        <v>35.709999999999994</v>
      </c>
      <c r="H376" s="551">
        <v>1.4283999999999997</v>
      </c>
      <c r="I376" s="551">
        <v>-0.24999999999999467</v>
      </c>
      <c r="J376" s="551">
        <v>-4.7600000000000087</v>
      </c>
      <c r="K376" s="553">
        <v>17.309999999999981</v>
      </c>
      <c r="L376" s="551"/>
    </row>
    <row r="377" spans="1:12" x14ac:dyDescent="0.25">
      <c r="A377" s="550">
        <v>46240</v>
      </c>
      <c r="B377" s="551" t="s">
        <v>13</v>
      </c>
      <c r="C377" s="552" t="s">
        <v>117</v>
      </c>
      <c r="D377" s="552" t="s">
        <v>124</v>
      </c>
      <c r="E377" s="551">
        <v>3.0251999999999999</v>
      </c>
      <c r="F377" s="551">
        <v>16.809999999999992</v>
      </c>
      <c r="G377" s="551">
        <v>52.519999999999989</v>
      </c>
      <c r="H377" s="551">
        <v>2.1007999999999996</v>
      </c>
      <c r="I377" s="551">
        <v>0.24999999999999467</v>
      </c>
      <c r="J377" s="551">
        <v>-7.5400000000000134</v>
      </c>
      <c r="K377" s="553">
        <v>18.589999999999975</v>
      </c>
      <c r="L377" s="551">
        <v>0.16809999999999992</v>
      </c>
    </row>
    <row r="378" spans="1:12" x14ac:dyDescent="0.25">
      <c r="A378" s="550">
        <v>46240</v>
      </c>
      <c r="B378" s="551" t="s">
        <v>14</v>
      </c>
      <c r="C378" s="552" t="s">
        <v>124</v>
      </c>
      <c r="D378" s="552" t="s">
        <v>123</v>
      </c>
      <c r="E378" s="551">
        <v>3.1722000000000001</v>
      </c>
      <c r="F378" s="551">
        <v>14.700000000000024</v>
      </c>
      <c r="G378" s="551">
        <v>67.220000000000013</v>
      </c>
      <c r="H378" s="551">
        <v>2.6888000000000005</v>
      </c>
      <c r="I378" s="551">
        <v>0.24999999999999467</v>
      </c>
      <c r="J378" s="551">
        <v>-10.029999999999983</v>
      </c>
      <c r="K378" s="553">
        <v>20.809999999999995</v>
      </c>
      <c r="L378" s="551"/>
    </row>
    <row r="379" spans="1:12" x14ac:dyDescent="0.25">
      <c r="A379" s="550">
        <v>46240</v>
      </c>
      <c r="B379" s="551" t="s">
        <v>15</v>
      </c>
      <c r="C379" s="552" t="s">
        <v>123</v>
      </c>
      <c r="D379" s="552" t="s">
        <v>148</v>
      </c>
      <c r="E379" s="551">
        <v>3.2921</v>
      </c>
      <c r="F379" s="551">
        <v>11.98999999999999</v>
      </c>
      <c r="G379" s="551">
        <v>79.210000000000008</v>
      </c>
      <c r="H379" s="551">
        <v>3.1684000000000001</v>
      </c>
      <c r="I379" s="551">
        <v>0.24999999999999467</v>
      </c>
      <c r="J379" s="551">
        <v>-10.80000000000001</v>
      </c>
      <c r="K379" s="553">
        <v>22.590000000000021</v>
      </c>
      <c r="L379" s="551"/>
    </row>
    <row r="380" spans="1:12" x14ac:dyDescent="0.25">
      <c r="A380" s="550">
        <v>46240</v>
      </c>
      <c r="B380" s="551" t="s">
        <v>17</v>
      </c>
      <c r="C380" s="552" t="s">
        <v>148</v>
      </c>
      <c r="D380" s="552" t="s">
        <v>146</v>
      </c>
      <c r="E380" s="551">
        <v>3.3714</v>
      </c>
      <c r="F380" s="551">
        <v>7.9299999999999926</v>
      </c>
      <c r="G380" s="551">
        <v>87.14</v>
      </c>
      <c r="H380" s="551">
        <v>3.4855999999999998</v>
      </c>
      <c r="I380" s="551">
        <v>0.24999999999999467</v>
      </c>
      <c r="J380" s="551">
        <v>-10.789999999999988</v>
      </c>
      <c r="K380" s="553" t="s">
        <v>41</v>
      </c>
      <c r="L380" s="551"/>
    </row>
    <row r="381" spans="1:12" x14ac:dyDescent="0.25">
      <c r="A381" s="550">
        <v>46240</v>
      </c>
      <c r="B381" s="551" t="s">
        <v>18</v>
      </c>
      <c r="C381" s="552" t="s">
        <v>146</v>
      </c>
      <c r="D381" s="552" t="s">
        <v>203</v>
      </c>
      <c r="E381" s="551">
        <v>3.4428000000000001</v>
      </c>
      <c r="F381" s="551">
        <v>7.140000000000013</v>
      </c>
      <c r="G381" s="551">
        <v>94.28</v>
      </c>
      <c r="H381" s="551">
        <v>3.7711999999999999</v>
      </c>
      <c r="I381" s="551">
        <v>0.24999999999999467</v>
      </c>
      <c r="J381" s="551" t="s">
        <v>41</v>
      </c>
      <c r="K381" s="553" t="s">
        <v>41</v>
      </c>
      <c r="L381" s="551"/>
    </row>
    <row r="382" spans="1:12" x14ac:dyDescent="0.25">
      <c r="A382" s="550">
        <v>46240</v>
      </c>
      <c r="B382" s="551"/>
      <c r="C382" s="552"/>
      <c r="D382" s="552"/>
      <c r="E382" s="551"/>
      <c r="F382" s="551"/>
      <c r="G382" s="551"/>
      <c r="H382" s="551"/>
      <c r="I382" s="551">
        <v>0</v>
      </c>
      <c r="J382" s="551">
        <v>0</v>
      </c>
      <c r="K382" s="553">
        <v>0</v>
      </c>
      <c r="L382" s="551"/>
    </row>
    <row r="383" spans="1:12" x14ac:dyDescent="0.25">
      <c r="A383" s="550">
        <v>46240</v>
      </c>
      <c r="B383" s="551"/>
      <c r="C383" s="552"/>
      <c r="D383" s="552"/>
      <c r="E383" s="551"/>
      <c r="F383" s="551"/>
      <c r="G383" s="551"/>
      <c r="H383" s="551"/>
      <c r="I383" s="551">
        <v>0</v>
      </c>
      <c r="J383" s="551">
        <v>0</v>
      </c>
      <c r="K383" s="553">
        <v>0</v>
      </c>
      <c r="L383" s="551"/>
    </row>
    <row r="384" spans="1:12" x14ac:dyDescent="0.25">
      <c r="A384" s="550">
        <v>46240</v>
      </c>
      <c r="B384" s="551"/>
      <c r="C384" s="552"/>
      <c r="D384" s="552"/>
      <c r="E384" s="551"/>
      <c r="F384" s="551"/>
      <c r="G384" s="551"/>
      <c r="H384" s="551"/>
      <c r="I384" s="551">
        <v>0</v>
      </c>
      <c r="J384" s="551">
        <v>0</v>
      </c>
      <c r="K384" s="553">
        <v>0</v>
      </c>
      <c r="L384" s="551"/>
    </row>
    <row r="385" spans="1:12" x14ac:dyDescent="0.25">
      <c r="A385" s="550">
        <v>46240</v>
      </c>
      <c r="B385" s="551"/>
      <c r="C385" s="552"/>
      <c r="D385" s="552"/>
      <c r="E385" s="551"/>
      <c r="F385" s="551"/>
      <c r="G385" s="551"/>
      <c r="H385" s="551"/>
      <c r="I385" s="551">
        <v>0</v>
      </c>
      <c r="J385" s="551">
        <v>0</v>
      </c>
      <c r="K385" s="553">
        <v>0</v>
      </c>
      <c r="L385" s="551"/>
    </row>
    <row r="386" spans="1:12" x14ac:dyDescent="0.25">
      <c r="A386" s="16">
        <v>46241</v>
      </c>
      <c r="B386" s="17" t="s">
        <v>10</v>
      </c>
      <c r="C386" s="122" t="s">
        <v>115</v>
      </c>
      <c r="D386" s="122" t="s">
        <v>116</v>
      </c>
      <c r="E386" s="17">
        <v>2.7381000000000002</v>
      </c>
      <c r="F386" s="17">
        <v>23.81000000000002</v>
      </c>
      <c r="G386" s="17">
        <v>23.81000000000002</v>
      </c>
      <c r="H386" s="17">
        <v>0.9524000000000008</v>
      </c>
      <c r="I386" s="17">
        <v>0.50000000000003375</v>
      </c>
      <c r="J386" s="17">
        <v>-0.50999999999996604</v>
      </c>
      <c r="K386" s="18">
        <v>13.500000000000023</v>
      </c>
      <c r="L386" s="17"/>
    </row>
    <row r="387" spans="1:12" x14ac:dyDescent="0.25">
      <c r="A387" s="16">
        <v>46241</v>
      </c>
      <c r="B387" s="17" t="s">
        <v>11</v>
      </c>
      <c r="C387" s="122" t="s">
        <v>116</v>
      </c>
      <c r="D387" s="122" t="s">
        <v>117</v>
      </c>
      <c r="E387" s="17">
        <v>2.8671000000000002</v>
      </c>
      <c r="F387" s="17">
        <v>12.9</v>
      </c>
      <c r="G387" s="17">
        <v>36.710000000000022</v>
      </c>
      <c r="H387" s="17">
        <v>1.4684000000000008</v>
      </c>
      <c r="I387" s="17">
        <v>1.0000000000000231</v>
      </c>
      <c r="J387" s="17">
        <v>-3.5099999999999909</v>
      </c>
      <c r="K387" s="18">
        <v>18.510000000000026</v>
      </c>
      <c r="L387" s="17"/>
    </row>
    <row r="388" spans="1:12" x14ac:dyDescent="0.25">
      <c r="A388" s="16">
        <v>46241</v>
      </c>
      <c r="B388" s="17" t="s">
        <v>13</v>
      </c>
      <c r="C388" s="122" t="s">
        <v>117</v>
      </c>
      <c r="D388" s="122" t="s">
        <v>124</v>
      </c>
      <c r="E388" s="17">
        <v>3.0377999999999998</v>
      </c>
      <c r="F388" s="17">
        <v>17.069999999999965</v>
      </c>
      <c r="G388" s="17">
        <v>53.779999999999987</v>
      </c>
      <c r="H388" s="17">
        <v>2.1511999999999993</v>
      </c>
      <c r="I388" s="17">
        <v>1.2599999999999945</v>
      </c>
      <c r="J388" s="17">
        <v>-5.2799999999999958</v>
      </c>
      <c r="K388" s="18">
        <v>20.04999999999999</v>
      </c>
      <c r="L388" s="17">
        <v>0.17069999999999963</v>
      </c>
    </row>
    <row r="389" spans="1:12" x14ac:dyDescent="0.25">
      <c r="A389" s="16">
        <v>46241</v>
      </c>
      <c r="B389" s="17" t="s">
        <v>14</v>
      </c>
      <c r="C389" s="122" t="s">
        <v>124</v>
      </c>
      <c r="D389" s="122" t="s">
        <v>123</v>
      </c>
      <c r="E389" s="17">
        <v>3.1846999999999999</v>
      </c>
      <c r="F389" s="17">
        <v>14.690000000000003</v>
      </c>
      <c r="G389" s="17">
        <v>68.469999999999985</v>
      </c>
      <c r="H389" s="17">
        <v>2.7387999999999995</v>
      </c>
      <c r="I389" s="17">
        <v>1.2499999999999734</v>
      </c>
      <c r="J389" s="17">
        <v>-7.5200000000000156</v>
      </c>
      <c r="K389" s="18">
        <v>22.009999999999998</v>
      </c>
      <c r="L389" s="17"/>
    </row>
    <row r="390" spans="1:12" x14ac:dyDescent="0.25">
      <c r="A390" s="16">
        <v>46241</v>
      </c>
      <c r="B390" s="17" t="s">
        <v>15</v>
      </c>
      <c r="C390" s="122" t="s">
        <v>123</v>
      </c>
      <c r="D390" s="122" t="s">
        <v>148</v>
      </c>
      <c r="E390" s="17">
        <v>3.3121999999999998</v>
      </c>
      <c r="F390" s="17">
        <v>12.749999999999995</v>
      </c>
      <c r="G390" s="17">
        <v>81.219999999999985</v>
      </c>
      <c r="H390" s="17">
        <v>3.2487999999999992</v>
      </c>
      <c r="I390" s="17">
        <v>2.0099999999999785</v>
      </c>
      <c r="J390" s="17">
        <v>-7.2799999999999976</v>
      </c>
      <c r="K390" s="18">
        <v>25.059999999999995</v>
      </c>
      <c r="L390" s="17"/>
    </row>
    <row r="391" spans="1:12" x14ac:dyDescent="0.25">
      <c r="A391" s="16">
        <v>46241</v>
      </c>
      <c r="B391" s="17" t="s">
        <v>17</v>
      </c>
      <c r="C391" s="122" t="s">
        <v>148</v>
      </c>
      <c r="D391" s="122" t="s">
        <v>146</v>
      </c>
      <c r="E391" s="17">
        <v>3.3914</v>
      </c>
      <c r="F391" s="17">
        <v>7.9200000000000159</v>
      </c>
      <c r="G391" s="17">
        <v>89.14</v>
      </c>
      <c r="H391" s="17">
        <v>3.5655999999999999</v>
      </c>
      <c r="I391" s="17">
        <v>2.0000000000000018</v>
      </c>
      <c r="J391" s="17">
        <v>-7.2799999999999976</v>
      </c>
      <c r="K391" s="18" t="s">
        <v>41</v>
      </c>
      <c r="L391" s="17"/>
    </row>
    <row r="392" spans="1:12" x14ac:dyDescent="0.25">
      <c r="A392" s="16">
        <v>46241</v>
      </c>
      <c r="B392" s="17" t="s">
        <v>18</v>
      </c>
      <c r="C392" s="122" t="s">
        <v>146</v>
      </c>
      <c r="D392" s="122" t="s">
        <v>203</v>
      </c>
      <c r="E392" s="17">
        <v>3.4628999999999999</v>
      </c>
      <c r="F392" s="17">
        <v>7.1499999999999897</v>
      </c>
      <c r="G392" s="17">
        <v>96.289999999999992</v>
      </c>
      <c r="H392" s="17">
        <v>3.8515999999999995</v>
      </c>
      <c r="I392" s="17">
        <v>2.0099999999999785</v>
      </c>
      <c r="J392" s="17" t="s">
        <v>41</v>
      </c>
      <c r="K392" s="18" t="s">
        <v>41</v>
      </c>
      <c r="L392" s="17"/>
    </row>
    <row r="393" spans="1:12" x14ac:dyDescent="0.25">
      <c r="A393" s="16">
        <v>46241</v>
      </c>
      <c r="B393" s="17"/>
      <c r="C393" s="122"/>
      <c r="D393" s="122"/>
      <c r="E393" s="17"/>
      <c r="F393" s="17"/>
      <c r="G393" s="17"/>
      <c r="H393" s="17"/>
      <c r="I393" s="17">
        <v>0</v>
      </c>
      <c r="J393" s="17">
        <v>0</v>
      </c>
      <c r="K393" s="18">
        <v>0</v>
      </c>
      <c r="L393" s="17"/>
    </row>
    <row r="394" spans="1:12" x14ac:dyDescent="0.25">
      <c r="A394" s="16">
        <v>46241</v>
      </c>
      <c r="B394" s="17"/>
      <c r="C394" s="122"/>
      <c r="D394" s="122"/>
      <c r="E394" s="17"/>
      <c r="F394" s="17"/>
      <c r="G394" s="17"/>
      <c r="H394" s="17"/>
      <c r="I394" s="17">
        <v>0</v>
      </c>
      <c r="J394" s="17">
        <v>0</v>
      </c>
      <c r="K394" s="18">
        <v>0</v>
      </c>
      <c r="L394" s="17"/>
    </row>
    <row r="395" spans="1:12" x14ac:dyDescent="0.25">
      <c r="A395" s="16">
        <v>46241</v>
      </c>
      <c r="B395" s="17"/>
      <c r="C395" s="122"/>
      <c r="D395" s="122"/>
      <c r="E395" s="17"/>
      <c r="F395" s="17"/>
      <c r="G395" s="17"/>
      <c r="H395" s="17"/>
      <c r="I395" s="17">
        <v>0</v>
      </c>
      <c r="J395" s="17">
        <v>0</v>
      </c>
      <c r="K395" s="18">
        <v>0</v>
      </c>
      <c r="L395" s="17"/>
    </row>
    <row r="396" spans="1:12" x14ac:dyDescent="0.25">
      <c r="A396" s="16">
        <v>46241</v>
      </c>
      <c r="B396" s="17"/>
      <c r="C396" s="122"/>
      <c r="D396" s="122"/>
      <c r="E396" s="17"/>
      <c r="F396" s="17"/>
      <c r="G396" s="17"/>
      <c r="H396" s="17"/>
      <c r="I396" s="17">
        <v>0</v>
      </c>
      <c r="J396" s="17">
        <v>0</v>
      </c>
      <c r="K396" s="18">
        <v>0</v>
      </c>
      <c r="L396" s="17"/>
    </row>
    <row r="397" spans="1:12" x14ac:dyDescent="0.25">
      <c r="A397" s="16">
        <v>46244</v>
      </c>
      <c r="B397" s="17" t="s">
        <v>10</v>
      </c>
      <c r="C397" s="122" t="s">
        <v>115</v>
      </c>
      <c r="D397" s="122" t="s">
        <v>116</v>
      </c>
      <c r="E397" s="17">
        <v>2.7381000000000002</v>
      </c>
      <c r="F397" s="17">
        <v>23.81000000000002</v>
      </c>
      <c r="G397" s="17">
        <v>23.81000000000002</v>
      </c>
      <c r="H397" s="17">
        <v>0.9524000000000008</v>
      </c>
      <c r="I397" s="17">
        <v>0</v>
      </c>
      <c r="J397" s="17">
        <v>-0.50999999999996604</v>
      </c>
      <c r="K397" s="18">
        <v>2.0000000000000018</v>
      </c>
      <c r="L397" s="17"/>
    </row>
    <row r="398" spans="1:12" x14ac:dyDescent="0.25">
      <c r="A398" s="16">
        <v>46244</v>
      </c>
      <c r="B398" s="17" t="s">
        <v>11</v>
      </c>
      <c r="C398" s="122" t="s">
        <v>116</v>
      </c>
      <c r="D398" s="122" t="s">
        <v>117</v>
      </c>
      <c r="E398" s="17">
        <v>2.8620999999999999</v>
      </c>
      <c r="F398" s="17">
        <v>12.399999999999967</v>
      </c>
      <c r="G398" s="17">
        <v>36.209999999999987</v>
      </c>
      <c r="H398" s="17">
        <v>1.4483999999999995</v>
      </c>
      <c r="I398" s="17">
        <v>-0.50000000000003375</v>
      </c>
      <c r="J398" s="17">
        <v>-4.0100000000000247</v>
      </c>
      <c r="K398" s="18">
        <v>3.7599999999999856</v>
      </c>
      <c r="L398" s="17"/>
    </row>
    <row r="399" spans="1:12" x14ac:dyDescent="0.25">
      <c r="A399" s="16">
        <v>46244</v>
      </c>
      <c r="B399" s="17" t="s">
        <v>13</v>
      </c>
      <c r="C399" s="122" t="s">
        <v>117</v>
      </c>
      <c r="D399" s="122" t="s">
        <v>124</v>
      </c>
      <c r="E399" s="17">
        <v>3.0303</v>
      </c>
      <c r="F399" s="17">
        <v>16.820000000000014</v>
      </c>
      <c r="G399" s="17">
        <v>53.03</v>
      </c>
      <c r="H399" s="17">
        <v>2.1212</v>
      </c>
      <c r="I399" s="17">
        <v>-0.74999999999998401</v>
      </c>
      <c r="J399" s="17">
        <v>-6.0299999999999798</v>
      </c>
      <c r="K399" s="18">
        <v>3.2700000000000173</v>
      </c>
      <c r="L399" s="17">
        <v>0.16820000000000013</v>
      </c>
    </row>
    <row r="400" spans="1:12" x14ac:dyDescent="0.25">
      <c r="A400" s="16">
        <v>46244</v>
      </c>
      <c r="B400" s="17" t="s">
        <v>14</v>
      </c>
      <c r="C400" s="122" t="s">
        <v>124</v>
      </c>
      <c r="D400" s="122" t="s">
        <v>123</v>
      </c>
      <c r="E400" s="17">
        <v>3.1772</v>
      </c>
      <c r="F400" s="17">
        <v>14.690000000000003</v>
      </c>
      <c r="G400" s="17">
        <v>67.72</v>
      </c>
      <c r="H400" s="17">
        <v>2.7088000000000001</v>
      </c>
      <c r="I400" s="17">
        <v>-0.74999999999998401</v>
      </c>
      <c r="J400" s="17">
        <v>-8.27</v>
      </c>
      <c r="K400" s="18">
        <v>5.5200000000000138</v>
      </c>
      <c r="L400" s="17"/>
    </row>
    <row r="401" spans="1:12" x14ac:dyDescent="0.25">
      <c r="A401" s="16">
        <v>46244</v>
      </c>
      <c r="B401" s="17" t="s">
        <v>15</v>
      </c>
      <c r="C401" s="122" t="s">
        <v>123</v>
      </c>
      <c r="D401" s="122" t="s">
        <v>148</v>
      </c>
      <c r="E401" s="17">
        <v>3.3047</v>
      </c>
      <c r="F401" s="17">
        <v>12.749999999999995</v>
      </c>
      <c r="G401" s="17">
        <v>80.47</v>
      </c>
      <c r="H401" s="17">
        <v>3.2187999999999999</v>
      </c>
      <c r="I401" s="17">
        <v>-0.74999999999998401</v>
      </c>
      <c r="J401" s="17">
        <v>-8.0299999999999816</v>
      </c>
      <c r="K401" s="18">
        <v>8.2899999999999974</v>
      </c>
      <c r="L401" s="17"/>
    </row>
    <row r="402" spans="1:12" x14ac:dyDescent="0.25">
      <c r="A402" s="16">
        <v>46244</v>
      </c>
      <c r="B402" s="17" t="s">
        <v>17</v>
      </c>
      <c r="C402" s="122" t="s">
        <v>148</v>
      </c>
      <c r="D402" s="122" t="s">
        <v>146</v>
      </c>
      <c r="E402" s="17">
        <v>3.3839000000000001</v>
      </c>
      <c r="F402" s="17">
        <v>7.9200000000000159</v>
      </c>
      <c r="G402" s="17">
        <v>88.390000000000015</v>
      </c>
      <c r="H402" s="17">
        <v>3.5356000000000005</v>
      </c>
      <c r="I402" s="17">
        <v>-0.74999999999998401</v>
      </c>
      <c r="J402" s="17">
        <v>-8.0299999999999816</v>
      </c>
      <c r="K402" s="18">
        <v>9.7900000000000098</v>
      </c>
      <c r="L402" s="17"/>
    </row>
    <row r="403" spans="1:12" x14ac:dyDescent="0.25">
      <c r="A403" s="16">
        <v>46244</v>
      </c>
      <c r="B403" s="17" t="s">
        <v>18</v>
      </c>
      <c r="C403" s="122" t="s">
        <v>146</v>
      </c>
      <c r="D403" s="122" t="s">
        <v>203</v>
      </c>
      <c r="E403" s="17">
        <v>3.4552999999999998</v>
      </c>
      <c r="F403" s="17">
        <v>7.1399999999999686</v>
      </c>
      <c r="G403" s="17">
        <v>95.529999999999987</v>
      </c>
      <c r="H403" s="17">
        <v>3.8211999999999993</v>
      </c>
      <c r="I403" s="17">
        <v>-0.76000000000000512</v>
      </c>
      <c r="J403" s="17" t="s">
        <v>41</v>
      </c>
      <c r="K403" s="18" t="s">
        <v>41</v>
      </c>
      <c r="L403" s="17"/>
    </row>
    <row r="404" spans="1:12" x14ac:dyDescent="0.25">
      <c r="A404" s="16">
        <v>46244</v>
      </c>
      <c r="B404" s="17"/>
      <c r="C404" s="122"/>
      <c r="D404" s="122"/>
      <c r="E404" s="17"/>
      <c r="F404" s="17"/>
      <c r="G404" s="17"/>
      <c r="H404" s="17"/>
      <c r="I404" s="17">
        <v>0</v>
      </c>
      <c r="J404" s="17">
        <v>0</v>
      </c>
      <c r="K404" s="18">
        <v>0</v>
      </c>
      <c r="L404" s="17"/>
    </row>
    <row r="405" spans="1:12" x14ac:dyDescent="0.25">
      <c r="A405" s="16">
        <v>46244</v>
      </c>
      <c r="B405" s="17"/>
      <c r="C405" s="122"/>
      <c r="D405" s="122"/>
      <c r="E405" s="17"/>
      <c r="F405" s="17"/>
      <c r="G405" s="17"/>
      <c r="H405" s="17"/>
      <c r="I405" s="17">
        <v>0</v>
      </c>
      <c r="J405" s="17">
        <v>0</v>
      </c>
      <c r="K405" s="18">
        <v>0</v>
      </c>
      <c r="L405" s="17"/>
    </row>
    <row r="406" spans="1:12" x14ac:dyDescent="0.25">
      <c r="A406" s="16">
        <v>46244</v>
      </c>
      <c r="B406" s="17"/>
      <c r="C406" s="122"/>
      <c r="D406" s="122"/>
      <c r="E406" s="17"/>
      <c r="F406" s="17"/>
      <c r="G406" s="17"/>
      <c r="H406" s="17"/>
      <c r="I406" s="17">
        <v>0</v>
      </c>
      <c r="J406" s="17">
        <v>0</v>
      </c>
      <c r="K406" s="18">
        <v>0</v>
      </c>
      <c r="L406" s="17"/>
    </row>
    <row r="407" spans="1:12" x14ac:dyDescent="0.25">
      <c r="A407" s="16">
        <v>46244</v>
      </c>
      <c r="B407" s="17"/>
      <c r="C407" s="122"/>
      <c r="D407" s="122"/>
      <c r="E407" s="17"/>
      <c r="F407" s="17"/>
      <c r="G407" s="17"/>
      <c r="H407" s="17"/>
      <c r="I407" s="17">
        <v>0</v>
      </c>
      <c r="J407" s="17">
        <v>0</v>
      </c>
      <c r="K407" s="18">
        <v>0</v>
      </c>
      <c r="L407" s="17"/>
    </row>
    <row r="408" spans="1:12" x14ac:dyDescent="0.25">
      <c r="A408" s="16">
        <v>46245</v>
      </c>
      <c r="B408" s="17" t="s">
        <v>10</v>
      </c>
      <c r="C408" s="122" t="s">
        <v>115</v>
      </c>
      <c r="D408" s="122" t="s">
        <v>116</v>
      </c>
      <c r="E408" s="17">
        <v>2.7355999999999998</v>
      </c>
      <c r="F408" s="17">
        <v>23.559999999999981</v>
      </c>
      <c r="G408" s="17">
        <v>23.559999999999981</v>
      </c>
      <c r="H408" s="17">
        <v>0.94239999999999924</v>
      </c>
      <c r="I408" s="17">
        <v>-0.25000000000003908</v>
      </c>
      <c r="J408" s="17">
        <v>-0.76000000000000512</v>
      </c>
      <c r="K408" s="18">
        <v>2.7599999999999625</v>
      </c>
      <c r="L408" s="17"/>
    </row>
    <row r="409" spans="1:12" x14ac:dyDescent="0.25">
      <c r="A409" s="16">
        <v>46245</v>
      </c>
      <c r="B409" s="17" t="s">
        <v>11</v>
      </c>
      <c r="C409" s="122" t="s">
        <v>116</v>
      </c>
      <c r="D409" s="122" t="s">
        <v>117</v>
      </c>
      <c r="E409" s="17">
        <v>2.8595999999999999</v>
      </c>
      <c r="F409" s="17">
        <v>12.400000000000011</v>
      </c>
      <c r="G409" s="17">
        <v>35.959999999999994</v>
      </c>
      <c r="H409" s="17">
        <v>1.4383999999999997</v>
      </c>
      <c r="I409" s="17">
        <v>-0.24999999999999467</v>
      </c>
      <c r="J409" s="17">
        <v>-4.0100000000000247</v>
      </c>
      <c r="K409" s="18">
        <v>7.5299999999999923</v>
      </c>
      <c r="L409" s="17"/>
    </row>
    <row r="410" spans="1:12" x14ac:dyDescent="0.25">
      <c r="A410" s="16">
        <v>46245</v>
      </c>
      <c r="B410" s="17" t="s">
        <v>13</v>
      </c>
      <c r="C410" s="122" t="s">
        <v>117</v>
      </c>
      <c r="D410" s="122" t="s">
        <v>124</v>
      </c>
      <c r="E410" s="17">
        <v>3.0278</v>
      </c>
      <c r="F410" s="17">
        <v>16.820000000000014</v>
      </c>
      <c r="G410" s="17">
        <v>52.78</v>
      </c>
      <c r="H410" s="17">
        <v>2.1112000000000002</v>
      </c>
      <c r="I410" s="17">
        <v>-0.24999999999999467</v>
      </c>
      <c r="J410" s="17">
        <v>-6.0299999999999798</v>
      </c>
      <c r="K410" s="18">
        <v>10.309999999999997</v>
      </c>
      <c r="L410" s="17">
        <v>0.16820000000000013</v>
      </c>
    </row>
    <row r="411" spans="1:12" x14ac:dyDescent="0.25">
      <c r="A411" s="16">
        <v>46245</v>
      </c>
      <c r="B411" s="17" t="s">
        <v>14</v>
      </c>
      <c r="C411" s="122" t="s">
        <v>124</v>
      </c>
      <c r="D411" s="122" t="s">
        <v>123</v>
      </c>
      <c r="E411" s="17">
        <v>3.1747000000000001</v>
      </c>
      <c r="F411" s="17">
        <v>14.690000000000003</v>
      </c>
      <c r="G411" s="17">
        <v>67.470000000000013</v>
      </c>
      <c r="H411" s="17">
        <v>2.6988000000000003</v>
      </c>
      <c r="I411" s="17">
        <v>-0.24999999999999467</v>
      </c>
      <c r="J411" s="17">
        <v>-7.5199999999999712</v>
      </c>
      <c r="K411" s="18">
        <v>14.290000000000003</v>
      </c>
      <c r="L411" s="17"/>
    </row>
    <row r="412" spans="1:12" x14ac:dyDescent="0.25">
      <c r="A412" s="16">
        <v>46245</v>
      </c>
      <c r="B412" s="17" t="s">
        <v>15</v>
      </c>
      <c r="C412" s="122" t="s">
        <v>123</v>
      </c>
      <c r="D412" s="122" t="s">
        <v>148</v>
      </c>
      <c r="E412" s="17">
        <v>3.3020999999999998</v>
      </c>
      <c r="F412" s="17">
        <v>12.739999999999974</v>
      </c>
      <c r="G412" s="17">
        <v>80.20999999999998</v>
      </c>
      <c r="H412" s="17">
        <v>3.2083999999999993</v>
      </c>
      <c r="I412" s="17">
        <v>-0.26000000000001577</v>
      </c>
      <c r="J412" s="17">
        <v>-7.2900000000000187</v>
      </c>
      <c r="K412" s="18">
        <v>17.569999999999997</v>
      </c>
      <c r="L412" s="17"/>
    </row>
    <row r="413" spans="1:12" x14ac:dyDescent="0.25">
      <c r="A413" s="16">
        <v>46245</v>
      </c>
      <c r="B413" s="17" t="s">
        <v>17</v>
      </c>
      <c r="C413" s="122" t="s">
        <v>148</v>
      </c>
      <c r="D413" s="122" t="s">
        <v>146</v>
      </c>
      <c r="E413" s="17">
        <v>3.3814000000000002</v>
      </c>
      <c r="F413" s="17">
        <v>7.930000000000037</v>
      </c>
      <c r="G413" s="17">
        <v>88.140000000000015</v>
      </c>
      <c r="H413" s="17">
        <v>3.5256000000000007</v>
      </c>
      <c r="I413" s="17">
        <v>-0.24999999999999467</v>
      </c>
      <c r="J413" s="17">
        <v>-7.2799999999999976</v>
      </c>
      <c r="K413" s="18" t="s">
        <v>41</v>
      </c>
      <c r="L413" s="17"/>
    </row>
    <row r="414" spans="1:12" x14ac:dyDescent="0.25">
      <c r="A414" s="16">
        <v>46245</v>
      </c>
      <c r="B414" s="17" t="s">
        <v>18</v>
      </c>
      <c r="C414" s="122" t="s">
        <v>146</v>
      </c>
      <c r="D414" s="122" t="s">
        <v>203</v>
      </c>
      <c r="E414" s="17">
        <v>3.4527999999999999</v>
      </c>
      <c r="F414" s="17">
        <v>7.1399999999999686</v>
      </c>
      <c r="G414" s="17">
        <v>95.279999999999987</v>
      </c>
      <c r="H414" s="17">
        <v>3.8111999999999995</v>
      </c>
      <c r="I414" s="17">
        <v>-0.24999999999999467</v>
      </c>
      <c r="J414" s="17" t="s">
        <v>41</v>
      </c>
      <c r="K414" s="18" t="s">
        <v>41</v>
      </c>
      <c r="L414" s="17"/>
    </row>
    <row r="415" spans="1:12" x14ac:dyDescent="0.25">
      <c r="A415" s="16">
        <v>46245</v>
      </c>
      <c r="B415" s="17"/>
      <c r="C415" s="122"/>
      <c r="D415" s="122"/>
      <c r="E415" s="17"/>
      <c r="F415" s="17"/>
      <c r="G415" s="17"/>
      <c r="H415" s="17"/>
      <c r="I415" s="17">
        <v>0</v>
      </c>
      <c r="J415" s="17">
        <v>0</v>
      </c>
      <c r="K415" s="18" t="s">
        <v>41</v>
      </c>
      <c r="L415" s="17"/>
    </row>
    <row r="416" spans="1:12" x14ac:dyDescent="0.25">
      <c r="A416" s="16">
        <v>46245</v>
      </c>
      <c r="B416" s="17"/>
      <c r="C416" s="122"/>
      <c r="D416" s="122"/>
      <c r="E416" s="17"/>
      <c r="F416" s="17"/>
      <c r="G416" s="17"/>
      <c r="H416" s="17"/>
      <c r="I416" s="17">
        <v>0</v>
      </c>
      <c r="J416" s="17">
        <v>0</v>
      </c>
      <c r="K416" s="18" t="s">
        <v>41</v>
      </c>
      <c r="L416" s="17"/>
    </row>
    <row r="417" spans="1:12" x14ac:dyDescent="0.25">
      <c r="A417" s="16">
        <v>46245</v>
      </c>
      <c r="B417" s="17"/>
      <c r="C417" s="122"/>
      <c r="D417" s="122"/>
      <c r="E417" s="17"/>
      <c r="F417" s="17"/>
      <c r="G417" s="17"/>
      <c r="H417" s="17"/>
      <c r="I417" s="17">
        <v>0</v>
      </c>
      <c r="J417" s="17">
        <v>0</v>
      </c>
      <c r="K417" s="18" t="s">
        <v>41</v>
      </c>
      <c r="L417" s="17"/>
    </row>
    <row r="418" spans="1:12" x14ac:dyDescent="0.25">
      <c r="A418" s="16">
        <v>46245</v>
      </c>
      <c r="B418" s="17"/>
      <c r="C418" s="122"/>
      <c r="D418" s="122"/>
      <c r="E418" s="17"/>
      <c r="F418" s="17"/>
      <c r="G418" s="17"/>
      <c r="H418" s="17"/>
      <c r="I418" s="17">
        <v>0</v>
      </c>
      <c r="J418" s="17">
        <v>0</v>
      </c>
      <c r="K418" s="18" t="s">
        <v>41</v>
      </c>
      <c r="L418" s="17"/>
    </row>
    <row r="419" spans="1:12" x14ac:dyDescent="0.25">
      <c r="A419" s="16">
        <v>46246</v>
      </c>
      <c r="B419" s="17" t="s">
        <v>10</v>
      </c>
      <c r="C419" s="122" t="s">
        <v>115</v>
      </c>
      <c r="D419" s="122" t="s">
        <v>116</v>
      </c>
      <c r="E419" s="17">
        <v>2.7355999999999998</v>
      </c>
      <c r="F419" s="17">
        <v>23.559999999999981</v>
      </c>
      <c r="G419" s="17">
        <v>23.559999999999981</v>
      </c>
      <c r="H419" s="17">
        <v>0.94239999999999924</v>
      </c>
      <c r="I419" s="17">
        <v>0</v>
      </c>
      <c r="J419" s="17">
        <v>0.24999999999999467</v>
      </c>
      <c r="K419" s="18">
        <v>1.7499999999999627</v>
      </c>
      <c r="L419" s="17"/>
    </row>
    <row r="420" spans="1:12" x14ac:dyDescent="0.25">
      <c r="A420" s="16">
        <v>46246</v>
      </c>
      <c r="B420" s="17" t="s">
        <v>11</v>
      </c>
      <c r="C420" s="122" t="s">
        <v>116</v>
      </c>
      <c r="D420" s="122" t="s">
        <v>117</v>
      </c>
      <c r="E420" s="17">
        <v>2.8546</v>
      </c>
      <c r="F420" s="17">
        <v>11.900000000000022</v>
      </c>
      <c r="G420" s="17">
        <v>35.46</v>
      </c>
      <c r="H420" s="17">
        <v>1.4184000000000001</v>
      </c>
      <c r="I420" s="17">
        <v>-0.49999999999998934</v>
      </c>
      <c r="J420" s="17">
        <v>-0.49999999999998934</v>
      </c>
      <c r="K420" s="18">
        <v>3.0100000000000016</v>
      </c>
      <c r="L420" s="17"/>
    </row>
    <row r="421" spans="1:12" x14ac:dyDescent="0.25">
      <c r="A421" s="16">
        <v>46246</v>
      </c>
      <c r="B421" s="17" t="s">
        <v>13</v>
      </c>
      <c r="C421" s="122" t="s">
        <v>117</v>
      </c>
      <c r="D421" s="122" t="s">
        <v>124</v>
      </c>
      <c r="E421" s="17">
        <v>3.0226999999999999</v>
      </c>
      <c r="F421" s="17">
        <v>16.809999999999992</v>
      </c>
      <c r="G421" s="17">
        <v>52.269999999999996</v>
      </c>
      <c r="H421" s="17">
        <v>2.0907999999999998</v>
      </c>
      <c r="I421" s="17">
        <v>-0.51000000000001044</v>
      </c>
      <c r="J421" s="17">
        <v>0</v>
      </c>
      <c r="K421" s="18">
        <v>2.5100000000000122</v>
      </c>
      <c r="L421" s="17">
        <v>0.16809999999999992</v>
      </c>
    </row>
    <row r="422" spans="1:12" x14ac:dyDescent="0.25">
      <c r="A422" s="16">
        <v>46246</v>
      </c>
      <c r="B422" s="17" t="s">
        <v>14</v>
      </c>
      <c r="C422" s="122" t="s">
        <v>124</v>
      </c>
      <c r="D422" s="122" t="s">
        <v>123</v>
      </c>
      <c r="E422" s="17">
        <v>3.1671999999999998</v>
      </c>
      <c r="F422" s="17">
        <v>14.449999999999985</v>
      </c>
      <c r="G422" s="17">
        <v>66.719999999999985</v>
      </c>
      <c r="H422" s="17">
        <v>2.6687999999999992</v>
      </c>
      <c r="I422" s="17">
        <v>-0.75000000000002842</v>
      </c>
      <c r="J422" s="17">
        <v>-0.25000000000003908</v>
      </c>
      <c r="K422" s="18">
        <v>4.5199999999999907</v>
      </c>
      <c r="L422" s="17"/>
    </row>
    <row r="423" spans="1:12" x14ac:dyDescent="0.25">
      <c r="A423" s="16">
        <v>46246</v>
      </c>
      <c r="B423" s="17" t="s">
        <v>15</v>
      </c>
      <c r="C423" s="122" t="s">
        <v>123</v>
      </c>
      <c r="D423" s="122" t="s">
        <v>148</v>
      </c>
      <c r="E423" s="17">
        <v>3.2921</v>
      </c>
      <c r="F423" s="17">
        <v>12.490000000000023</v>
      </c>
      <c r="G423" s="17">
        <v>79.210000000000008</v>
      </c>
      <c r="H423" s="17">
        <v>3.1684000000000001</v>
      </c>
      <c r="I423" s="17">
        <v>-0.99999999999997868</v>
      </c>
      <c r="J423" s="17">
        <v>0.24999999999999467</v>
      </c>
      <c r="K423" s="18">
        <v>7.0300000000000029</v>
      </c>
      <c r="L423" s="17"/>
    </row>
    <row r="424" spans="1:12" x14ac:dyDescent="0.25">
      <c r="A424" s="16">
        <v>46246</v>
      </c>
      <c r="B424" s="17" t="s">
        <v>17</v>
      </c>
      <c r="C424" s="122" t="s">
        <v>148</v>
      </c>
      <c r="D424" s="122" t="s">
        <v>146</v>
      </c>
      <c r="E424" s="17">
        <v>3.3714</v>
      </c>
      <c r="F424" s="17">
        <v>7.9299999999999926</v>
      </c>
      <c r="G424" s="17">
        <v>87.14</v>
      </c>
      <c r="H424" s="17">
        <v>3.4855999999999998</v>
      </c>
      <c r="I424" s="17">
        <v>-1.0000000000000231</v>
      </c>
      <c r="J424" s="17">
        <v>0.24999999999999467</v>
      </c>
      <c r="K424" s="18">
        <v>8.539999999999992</v>
      </c>
      <c r="L424" s="17"/>
    </row>
    <row r="425" spans="1:12" x14ac:dyDescent="0.25">
      <c r="A425" s="16">
        <v>46246</v>
      </c>
      <c r="B425" s="17" t="s">
        <v>18</v>
      </c>
      <c r="C425" s="122" t="s">
        <v>146</v>
      </c>
      <c r="D425" s="122" t="s">
        <v>203</v>
      </c>
      <c r="E425" s="17">
        <v>3.4428000000000001</v>
      </c>
      <c r="F425" s="17">
        <v>7.140000000000013</v>
      </c>
      <c r="G425" s="17">
        <v>94.28</v>
      </c>
      <c r="H425" s="17">
        <v>3.7711999999999999</v>
      </c>
      <c r="I425" s="17">
        <v>-0.99999999999997868</v>
      </c>
      <c r="J425" s="17">
        <v>0.24999999999999467</v>
      </c>
      <c r="K425" s="18" t="s">
        <v>41</v>
      </c>
      <c r="L425" s="17"/>
    </row>
    <row r="426" spans="1:12" x14ac:dyDescent="0.25">
      <c r="A426" s="16">
        <v>46246</v>
      </c>
      <c r="B426" s="17"/>
      <c r="C426" s="122"/>
      <c r="D426" s="122"/>
      <c r="E426" s="17"/>
      <c r="F426" s="17"/>
      <c r="G426" s="17"/>
      <c r="H426" s="17"/>
      <c r="I426" s="17">
        <v>0</v>
      </c>
      <c r="J426" s="17">
        <v>0</v>
      </c>
      <c r="K426" s="18">
        <v>0</v>
      </c>
      <c r="L426" s="17"/>
    </row>
    <row r="427" spans="1:12" x14ac:dyDescent="0.25">
      <c r="A427" s="16">
        <v>46246</v>
      </c>
      <c r="B427" s="17"/>
      <c r="C427" s="122"/>
      <c r="D427" s="122"/>
      <c r="E427" s="17"/>
      <c r="F427" s="17"/>
      <c r="G427" s="17"/>
      <c r="H427" s="17"/>
      <c r="I427" s="17">
        <v>0</v>
      </c>
      <c r="J427" s="17">
        <v>0</v>
      </c>
      <c r="K427" s="18">
        <v>0</v>
      </c>
      <c r="L427" s="17"/>
    </row>
    <row r="428" spans="1:12" x14ac:dyDescent="0.25">
      <c r="A428" s="16">
        <v>46246</v>
      </c>
      <c r="B428" s="17"/>
      <c r="C428" s="122"/>
      <c r="D428" s="122"/>
      <c r="E428" s="17"/>
      <c r="F428" s="17"/>
      <c r="G428" s="17"/>
      <c r="H428" s="17"/>
      <c r="I428" s="17">
        <v>0</v>
      </c>
      <c r="J428" s="17">
        <v>0</v>
      </c>
      <c r="K428" s="18">
        <v>0</v>
      </c>
      <c r="L428" s="17"/>
    </row>
    <row r="429" spans="1:12" x14ac:dyDescent="0.25">
      <c r="A429" s="16">
        <v>46246</v>
      </c>
      <c r="B429" s="17"/>
      <c r="C429" s="122"/>
      <c r="D429" s="122"/>
      <c r="E429" s="17"/>
      <c r="F429" s="17"/>
      <c r="G429" s="17"/>
      <c r="H429" s="17"/>
      <c r="I429" s="17">
        <v>0</v>
      </c>
      <c r="J429" s="17">
        <v>0</v>
      </c>
      <c r="K429" s="18">
        <v>0</v>
      </c>
      <c r="L429" s="17"/>
    </row>
    <row r="430" spans="1:12" x14ac:dyDescent="0.25">
      <c r="A430" s="16">
        <v>46247</v>
      </c>
      <c r="B430" s="17" t="s">
        <v>10</v>
      </c>
      <c r="C430" s="122" t="s">
        <v>115</v>
      </c>
      <c r="D430" s="122" t="s">
        <v>116</v>
      </c>
      <c r="E430" s="17">
        <v>2.7305999999999999</v>
      </c>
      <c r="F430" s="17">
        <v>23.059999999999992</v>
      </c>
      <c r="G430" s="17">
        <v>23.059999999999992</v>
      </c>
      <c r="H430" s="17">
        <v>0.92239999999999966</v>
      </c>
      <c r="I430" s="17">
        <v>-0.49999999999998934</v>
      </c>
      <c r="J430" s="17">
        <v>-0.24999999999999467</v>
      </c>
      <c r="K430" s="18">
        <v>1.5099999999999891</v>
      </c>
      <c r="L430" s="17"/>
    </row>
    <row r="431" spans="1:12" x14ac:dyDescent="0.25">
      <c r="A431" s="16">
        <v>46247</v>
      </c>
      <c r="B431" s="17" t="s">
        <v>11</v>
      </c>
      <c r="C431" s="122" t="s">
        <v>116</v>
      </c>
      <c r="D431" s="122" t="s">
        <v>117</v>
      </c>
      <c r="E431" s="17">
        <v>2.8395000000000001</v>
      </c>
      <c r="F431" s="17">
        <v>10.890000000000022</v>
      </c>
      <c r="G431" s="17">
        <v>33.950000000000017</v>
      </c>
      <c r="H431" s="17">
        <v>1.3580000000000008</v>
      </c>
      <c r="I431" s="17">
        <v>-1.5099999999999891</v>
      </c>
      <c r="J431" s="17">
        <v>-1.7599999999999838</v>
      </c>
      <c r="K431" s="18">
        <v>-0.49999999999998934</v>
      </c>
      <c r="L431" s="17"/>
    </row>
    <row r="432" spans="1:12" x14ac:dyDescent="0.25">
      <c r="A432" s="16">
        <v>46247</v>
      </c>
      <c r="B432" s="17" t="s">
        <v>13</v>
      </c>
      <c r="C432" s="122" t="s">
        <v>117</v>
      </c>
      <c r="D432" s="122" t="s">
        <v>124</v>
      </c>
      <c r="E432" s="17">
        <v>3.0001000000000002</v>
      </c>
      <c r="F432" s="17">
        <v>16.060000000000009</v>
      </c>
      <c r="G432" s="17">
        <v>50.010000000000019</v>
      </c>
      <c r="H432" s="17">
        <v>2.0004000000000008</v>
      </c>
      <c r="I432" s="17">
        <v>-2.2599999999999731</v>
      </c>
      <c r="J432" s="17">
        <v>-2.5099999999999678</v>
      </c>
      <c r="K432" s="18">
        <v>-3.0199999999999783</v>
      </c>
      <c r="L432" s="17">
        <v>0.16060000000000008</v>
      </c>
    </row>
    <row r="433" spans="1:12" x14ac:dyDescent="0.25">
      <c r="A433" s="16">
        <v>46247</v>
      </c>
      <c r="B433" s="17" t="s">
        <v>14</v>
      </c>
      <c r="C433" s="122" t="s">
        <v>124</v>
      </c>
      <c r="D433" s="122" t="s">
        <v>123</v>
      </c>
      <c r="E433" s="17">
        <v>3.1371000000000002</v>
      </c>
      <c r="F433" s="17">
        <v>13.700000000000001</v>
      </c>
      <c r="G433" s="17">
        <v>63.710000000000022</v>
      </c>
      <c r="H433" s="17">
        <v>2.5484000000000009</v>
      </c>
      <c r="I433" s="17">
        <v>-3.0099999999999572</v>
      </c>
      <c r="J433" s="17">
        <v>-3.5099999999999909</v>
      </c>
      <c r="K433" s="18">
        <v>-3.5099999999999909</v>
      </c>
      <c r="L433" s="17"/>
    </row>
    <row r="434" spans="1:12" x14ac:dyDescent="0.25">
      <c r="A434" s="16">
        <v>46247</v>
      </c>
      <c r="B434" s="17" t="s">
        <v>15</v>
      </c>
      <c r="C434" s="122" t="s">
        <v>123</v>
      </c>
      <c r="D434" s="122" t="s">
        <v>148</v>
      </c>
      <c r="E434" s="17">
        <v>3.2544</v>
      </c>
      <c r="F434" s="17">
        <v>11.729999999999974</v>
      </c>
      <c r="G434" s="17">
        <v>75.44</v>
      </c>
      <c r="H434" s="17">
        <v>3.0175999999999998</v>
      </c>
      <c r="I434" s="17">
        <v>-3.7700000000000067</v>
      </c>
      <c r="J434" s="17">
        <v>-3.7700000000000067</v>
      </c>
      <c r="K434" s="18">
        <v>-2.0100000000000229</v>
      </c>
      <c r="L434" s="17"/>
    </row>
    <row r="435" spans="1:12" x14ac:dyDescent="0.25">
      <c r="A435" s="16">
        <v>46247</v>
      </c>
      <c r="B435" s="17" t="s">
        <v>17</v>
      </c>
      <c r="C435" s="122" t="s">
        <v>148</v>
      </c>
      <c r="D435" s="122" t="s">
        <v>146</v>
      </c>
      <c r="E435" s="17">
        <v>3.3336999999999999</v>
      </c>
      <c r="F435" s="17">
        <v>7.9299999999999926</v>
      </c>
      <c r="G435" s="17">
        <v>83.36999999999999</v>
      </c>
      <c r="H435" s="17">
        <v>3.3347999999999995</v>
      </c>
      <c r="I435" s="17">
        <v>-3.7700000000000067</v>
      </c>
      <c r="J435" s="17">
        <v>-3.7700000000000067</v>
      </c>
      <c r="K435" s="18">
        <v>-0.49999999999998934</v>
      </c>
      <c r="L435" s="17"/>
    </row>
    <row r="436" spans="1:12" x14ac:dyDescent="0.25">
      <c r="A436" s="16">
        <v>46247</v>
      </c>
      <c r="B436" s="17" t="s">
        <v>18</v>
      </c>
      <c r="C436" s="122" t="s">
        <v>146</v>
      </c>
      <c r="D436" s="122" t="s">
        <v>203</v>
      </c>
      <c r="E436" s="17">
        <v>3.4051</v>
      </c>
      <c r="F436" s="17">
        <v>7.140000000000013</v>
      </c>
      <c r="G436" s="17">
        <v>90.51</v>
      </c>
      <c r="H436" s="17">
        <v>3.6204000000000001</v>
      </c>
      <c r="I436" s="17">
        <v>-3.7700000000000067</v>
      </c>
      <c r="J436" s="17">
        <v>-3.7700000000000067</v>
      </c>
      <c r="K436" s="18" t="s">
        <v>41</v>
      </c>
      <c r="L436" s="17"/>
    </row>
    <row r="437" spans="1:12" x14ac:dyDescent="0.25">
      <c r="A437" s="16">
        <v>46247</v>
      </c>
      <c r="B437" s="17"/>
      <c r="C437" s="122"/>
      <c r="D437" s="122"/>
      <c r="E437" s="17"/>
      <c r="F437" s="17"/>
      <c r="G437" s="17"/>
      <c r="H437" s="17"/>
      <c r="I437" s="17">
        <v>0</v>
      </c>
      <c r="J437" s="17">
        <v>0</v>
      </c>
      <c r="K437" s="18">
        <v>0</v>
      </c>
      <c r="L437" s="17"/>
    </row>
    <row r="438" spans="1:12" x14ac:dyDescent="0.25">
      <c r="A438" s="16">
        <v>46247</v>
      </c>
      <c r="B438" s="17"/>
      <c r="C438" s="122"/>
      <c r="D438" s="122"/>
      <c r="E438" s="17"/>
      <c r="F438" s="17"/>
      <c r="G438" s="17"/>
      <c r="H438" s="17"/>
      <c r="I438" s="17">
        <v>0</v>
      </c>
      <c r="J438" s="17">
        <v>0</v>
      </c>
      <c r="K438" s="18">
        <v>0</v>
      </c>
      <c r="L438" s="17"/>
    </row>
    <row r="439" spans="1:12" x14ac:dyDescent="0.25">
      <c r="A439" s="16">
        <v>46247</v>
      </c>
      <c r="B439" s="17"/>
      <c r="C439" s="122"/>
      <c r="D439" s="122"/>
      <c r="E439" s="17"/>
      <c r="F439" s="17"/>
      <c r="G439" s="17"/>
      <c r="H439" s="17"/>
      <c r="I439" s="17">
        <v>0</v>
      </c>
      <c r="J439" s="17">
        <v>0</v>
      </c>
      <c r="K439" s="18">
        <v>0</v>
      </c>
      <c r="L439" s="17"/>
    </row>
    <row r="440" spans="1:12" x14ac:dyDescent="0.25">
      <c r="A440" s="16">
        <v>46247</v>
      </c>
      <c r="B440" s="17"/>
      <c r="C440" s="122"/>
      <c r="D440" s="122"/>
      <c r="E440" s="17"/>
      <c r="F440" s="17"/>
      <c r="G440" s="17"/>
      <c r="H440" s="17"/>
      <c r="I440" s="17">
        <v>0</v>
      </c>
      <c r="J440" s="17">
        <v>0</v>
      </c>
      <c r="K440" s="18">
        <v>0</v>
      </c>
      <c r="L440" s="17"/>
    </row>
    <row r="441" spans="1:12" x14ac:dyDescent="0.25">
      <c r="A441" s="16">
        <v>46248</v>
      </c>
      <c r="B441" s="17" t="s">
        <v>10</v>
      </c>
      <c r="C441" s="122" t="s">
        <v>115</v>
      </c>
      <c r="D441" s="122" t="s">
        <v>116</v>
      </c>
      <c r="E441" s="17">
        <v>2.7305999999999999</v>
      </c>
      <c r="F441" s="17">
        <v>23.059999999999992</v>
      </c>
      <c r="G441" s="17">
        <v>23.059999999999992</v>
      </c>
      <c r="H441" s="17">
        <v>0.92239999999999966</v>
      </c>
      <c r="I441" s="17">
        <v>0</v>
      </c>
      <c r="J441" s="17">
        <v>-0.75000000000002842</v>
      </c>
      <c r="K441" s="18">
        <v>-0.49999999999998934</v>
      </c>
      <c r="L441" s="17"/>
    </row>
    <row r="442" spans="1:12" x14ac:dyDescent="0.25">
      <c r="A442" s="16">
        <v>46248</v>
      </c>
      <c r="B442" s="17" t="s">
        <v>11</v>
      </c>
      <c r="C442" s="122" t="s">
        <v>116</v>
      </c>
      <c r="D442" s="122" t="s">
        <v>117</v>
      </c>
      <c r="E442" s="17">
        <v>2.8445</v>
      </c>
      <c r="F442" s="17">
        <v>11.390000000000011</v>
      </c>
      <c r="G442" s="17">
        <v>34.450000000000003</v>
      </c>
      <c r="H442" s="17">
        <v>1.3780000000000001</v>
      </c>
      <c r="I442" s="17">
        <v>0.49999999999998934</v>
      </c>
      <c r="J442" s="17">
        <v>-2.2600000000000176</v>
      </c>
      <c r="K442" s="18">
        <v>-4.0200000000000014</v>
      </c>
      <c r="L442" s="17"/>
    </row>
    <row r="443" spans="1:12" x14ac:dyDescent="0.25">
      <c r="A443" s="16">
        <v>46248</v>
      </c>
      <c r="B443" s="17" t="s">
        <v>13</v>
      </c>
      <c r="C443" s="122" t="s">
        <v>117</v>
      </c>
      <c r="D443" s="122" t="s">
        <v>124</v>
      </c>
      <c r="E443" s="17">
        <v>3.0076999999999998</v>
      </c>
      <c r="F443" s="17">
        <v>16.319999999999979</v>
      </c>
      <c r="G443" s="17">
        <v>50.769999999999982</v>
      </c>
      <c r="H443" s="17">
        <v>2.0307999999999993</v>
      </c>
      <c r="I443" s="17">
        <v>0.75999999999996071</v>
      </c>
      <c r="J443" s="17">
        <v>-3.0100000000000016</v>
      </c>
      <c r="K443" s="18">
        <v>-8.5400000000000365</v>
      </c>
      <c r="L443" s="17">
        <v>0.16319999999999979</v>
      </c>
    </row>
    <row r="444" spans="1:12" x14ac:dyDescent="0.25">
      <c r="A444" s="16">
        <v>46248</v>
      </c>
      <c r="B444" s="17" t="s">
        <v>14</v>
      </c>
      <c r="C444" s="122" t="s">
        <v>124</v>
      </c>
      <c r="D444" s="122" t="s">
        <v>123</v>
      </c>
      <c r="E444" s="17">
        <v>3.1446000000000001</v>
      </c>
      <c r="F444" s="17">
        <v>13.690000000000024</v>
      </c>
      <c r="G444" s="17">
        <v>64.460000000000008</v>
      </c>
      <c r="H444" s="17">
        <v>2.5784000000000002</v>
      </c>
      <c r="I444" s="17">
        <v>0.74999999999998401</v>
      </c>
      <c r="J444" s="17">
        <v>-4.0099999999999802</v>
      </c>
      <c r="K444" s="18">
        <v>-10.529999999999973</v>
      </c>
      <c r="L444" s="17"/>
    </row>
    <row r="445" spans="1:12" x14ac:dyDescent="0.25">
      <c r="A445" s="16">
        <v>46248</v>
      </c>
      <c r="B445" s="17" t="s">
        <v>15</v>
      </c>
      <c r="C445" s="122" t="s">
        <v>123</v>
      </c>
      <c r="D445" s="122" t="s">
        <v>148</v>
      </c>
      <c r="E445" s="17">
        <v>3.262</v>
      </c>
      <c r="F445" s="17">
        <v>11.739999999999995</v>
      </c>
      <c r="G445" s="17">
        <v>76.2</v>
      </c>
      <c r="H445" s="17">
        <v>3.048</v>
      </c>
      <c r="I445" s="17">
        <v>0.76000000000000512</v>
      </c>
      <c r="J445" s="17">
        <v>-5.01999999999998</v>
      </c>
      <c r="K445" s="18">
        <v>-9.0399999999999814</v>
      </c>
      <c r="L445" s="17"/>
    </row>
    <row r="446" spans="1:12" x14ac:dyDescent="0.25">
      <c r="A446" s="16">
        <v>46248</v>
      </c>
      <c r="B446" s="17" t="s">
        <v>17</v>
      </c>
      <c r="C446" s="122" t="s">
        <v>148</v>
      </c>
      <c r="D446" s="122" t="s">
        <v>146</v>
      </c>
      <c r="E446" s="17">
        <v>3.3412999999999999</v>
      </c>
      <c r="F446" s="17">
        <v>7.9299999999999926</v>
      </c>
      <c r="G446" s="17">
        <v>84.13</v>
      </c>
      <c r="H446" s="17">
        <v>3.3651999999999997</v>
      </c>
      <c r="I446" s="17">
        <v>0.76000000000000512</v>
      </c>
      <c r="J446" s="17">
        <v>-5.0100000000000033</v>
      </c>
      <c r="K446" s="18">
        <v>-8.030000000000026</v>
      </c>
      <c r="L446" s="17"/>
    </row>
    <row r="447" spans="1:12" x14ac:dyDescent="0.25">
      <c r="A447" s="16">
        <v>46248</v>
      </c>
      <c r="B447" s="17" t="s">
        <v>18</v>
      </c>
      <c r="C447" s="122" t="s">
        <v>146</v>
      </c>
      <c r="D447" s="122" t="s">
        <v>203</v>
      </c>
      <c r="E447" s="17">
        <v>3.4125999999999999</v>
      </c>
      <c r="F447" s="17">
        <v>7.1299999999999919</v>
      </c>
      <c r="G447" s="17">
        <v>91.259999999999991</v>
      </c>
      <c r="H447" s="17">
        <v>3.6503999999999994</v>
      </c>
      <c r="I447" s="17">
        <v>0.74999999999998401</v>
      </c>
      <c r="J447" s="17">
        <v>-5.0300000000000011</v>
      </c>
      <c r="K447" s="18" t="s">
        <v>41</v>
      </c>
      <c r="L447" s="17"/>
    </row>
    <row r="448" spans="1:12" x14ac:dyDescent="0.25">
      <c r="A448" s="16">
        <v>46248</v>
      </c>
      <c r="B448" s="17"/>
      <c r="C448" s="122"/>
      <c r="D448" s="122"/>
      <c r="E448" s="17"/>
      <c r="F448" s="17"/>
      <c r="G448" s="17"/>
      <c r="H448" s="17"/>
      <c r="I448" s="17">
        <v>0</v>
      </c>
      <c r="J448" s="17">
        <v>0</v>
      </c>
      <c r="K448" s="18">
        <v>0</v>
      </c>
      <c r="L448" s="17"/>
    </row>
    <row r="449" spans="1:12" x14ac:dyDescent="0.25">
      <c r="A449" s="16">
        <v>46248</v>
      </c>
      <c r="B449" s="17"/>
      <c r="C449" s="122"/>
      <c r="D449" s="122"/>
      <c r="E449" s="17"/>
      <c r="F449" s="17"/>
      <c r="G449" s="17"/>
      <c r="H449" s="17"/>
      <c r="I449" s="17">
        <v>0</v>
      </c>
      <c r="J449" s="17">
        <v>0</v>
      </c>
      <c r="K449" s="18">
        <v>0</v>
      </c>
      <c r="L449" s="17"/>
    </row>
    <row r="450" spans="1:12" x14ac:dyDescent="0.25">
      <c r="A450" s="16">
        <v>46248</v>
      </c>
      <c r="B450" s="17"/>
      <c r="C450" s="122"/>
      <c r="D450" s="122"/>
      <c r="E450" s="17"/>
      <c r="F450" s="17"/>
      <c r="G450" s="17"/>
      <c r="H450" s="17"/>
      <c r="I450" s="17">
        <v>0</v>
      </c>
      <c r="J450" s="17">
        <v>0</v>
      </c>
      <c r="K450" s="18">
        <v>0</v>
      </c>
      <c r="L450" s="17"/>
    </row>
    <row r="451" spans="1:12" x14ac:dyDescent="0.25">
      <c r="A451" s="16">
        <v>46248</v>
      </c>
      <c r="B451" s="17"/>
      <c r="C451" s="122"/>
      <c r="D451" s="122"/>
      <c r="E451" s="17"/>
      <c r="F451" s="17"/>
      <c r="G451" s="17"/>
      <c r="H451" s="17"/>
      <c r="I451" s="17">
        <v>0</v>
      </c>
      <c r="J451" s="17">
        <v>0</v>
      </c>
      <c r="K451" s="18">
        <v>0</v>
      </c>
      <c r="L451" s="17"/>
    </row>
    <row r="452" spans="1:12" x14ac:dyDescent="0.25">
      <c r="A452" s="565">
        <v>46251</v>
      </c>
      <c r="B452" s="566" t="s">
        <v>10</v>
      </c>
      <c r="C452" s="567" t="s">
        <v>115</v>
      </c>
      <c r="D452" s="567" t="s">
        <v>116</v>
      </c>
      <c r="E452" s="566">
        <v>2.7330999999999999</v>
      </c>
      <c r="F452" s="566">
        <v>23.309999999999988</v>
      </c>
      <c r="G452" s="566">
        <v>23.309999999999988</v>
      </c>
      <c r="H452" s="566">
        <v>0.93239999999999956</v>
      </c>
      <c r="I452" s="566">
        <v>0.24999999999999467</v>
      </c>
      <c r="J452" s="566">
        <v>-0.50000000000003375</v>
      </c>
      <c r="K452" s="568">
        <v>0.24999999999999467</v>
      </c>
      <c r="L452" s="566"/>
    </row>
    <row r="453" spans="1:12" x14ac:dyDescent="0.25">
      <c r="A453" s="565">
        <v>46251</v>
      </c>
      <c r="B453" s="566" t="s">
        <v>11</v>
      </c>
      <c r="C453" s="567" t="s">
        <v>116</v>
      </c>
      <c r="D453" s="567" t="s">
        <v>117</v>
      </c>
      <c r="E453" s="566">
        <v>2.847</v>
      </c>
      <c r="F453" s="566">
        <v>11.390000000000011</v>
      </c>
      <c r="G453" s="566">
        <v>34.699999999999996</v>
      </c>
      <c r="H453" s="566">
        <v>1.3879999999999999</v>
      </c>
      <c r="I453" s="566">
        <v>0.24999999999999467</v>
      </c>
      <c r="J453" s="566">
        <v>-1.5099999999999891</v>
      </c>
      <c r="K453" s="568">
        <v>-1.7599999999999838</v>
      </c>
      <c r="L453" s="566"/>
    </row>
    <row r="454" spans="1:12" x14ac:dyDescent="0.25">
      <c r="A454" s="565">
        <v>46251</v>
      </c>
      <c r="B454" s="566" t="s">
        <v>13</v>
      </c>
      <c r="C454" s="567" t="s">
        <v>117</v>
      </c>
      <c r="D454" s="567" t="s">
        <v>124</v>
      </c>
      <c r="E454" s="566">
        <v>3.0051000000000001</v>
      </c>
      <c r="F454" s="566">
        <v>15.810000000000013</v>
      </c>
      <c r="G454" s="566">
        <v>50.510000000000012</v>
      </c>
      <c r="H454" s="566">
        <v>2.0204000000000004</v>
      </c>
      <c r="I454" s="566">
        <v>-0.25999999999997137</v>
      </c>
      <c r="J454" s="566">
        <v>-2.5199999999999889</v>
      </c>
      <c r="K454" s="568">
        <v>-6.2899999999999956</v>
      </c>
      <c r="L454" s="566">
        <v>0.15810000000000013</v>
      </c>
    </row>
    <row r="455" spans="1:12" x14ac:dyDescent="0.25">
      <c r="A455" s="565">
        <v>46251</v>
      </c>
      <c r="B455" s="566" t="s">
        <v>14</v>
      </c>
      <c r="C455" s="567" t="s">
        <v>124</v>
      </c>
      <c r="D455" s="567" t="s">
        <v>123</v>
      </c>
      <c r="E455" s="566">
        <v>3.1371000000000002</v>
      </c>
      <c r="F455" s="566">
        <v>13.200000000000012</v>
      </c>
      <c r="G455" s="566">
        <v>63.710000000000022</v>
      </c>
      <c r="H455" s="566">
        <v>2.5484000000000009</v>
      </c>
      <c r="I455" s="566">
        <v>-0.74999999999998401</v>
      </c>
      <c r="J455" s="566">
        <v>-4.0099999999999802</v>
      </c>
      <c r="K455" s="568">
        <v>-8.5199999999999942</v>
      </c>
      <c r="L455" s="566"/>
    </row>
    <row r="456" spans="1:12" x14ac:dyDescent="0.25">
      <c r="A456" s="565">
        <v>46251</v>
      </c>
      <c r="B456" s="566" t="s">
        <v>15</v>
      </c>
      <c r="C456" s="567" t="s">
        <v>123</v>
      </c>
      <c r="D456" s="567" t="s">
        <v>148</v>
      </c>
      <c r="E456" s="566">
        <v>3.2544</v>
      </c>
      <c r="F456" s="566">
        <v>11.729999999999974</v>
      </c>
      <c r="G456" s="566">
        <v>75.44</v>
      </c>
      <c r="H456" s="566">
        <v>3.0175999999999998</v>
      </c>
      <c r="I456" s="566">
        <v>-0.76000000000000512</v>
      </c>
      <c r="J456" s="566">
        <v>-5.0300000000000011</v>
      </c>
      <c r="K456" s="568">
        <v>-7.2900000000000187</v>
      </c>
      <c r="L456" s="566"/>
    </row>
    <row r="457" spans="1:12" x14ac:dyDescent="0.25">
      <c r="A457" s="565">
        <v>46251</v>
      </c>
      <c r="B457" s="566" t="s">
        <v>17</v>
      </c>
      <c r="C457" s="567" t="s">
        <v>148</v>
      </c>
      <c r="D457" s="567" t="s">
        <v>146</v>
      </c>
      <c r="E457" s="566">
        <v>3.3336999999999999</v>
      </c>
      <c r="F457" s="566">
        <v>7.9299999999999926</v>
      </c>
      <c r="G457" s="566">
        <v>83.36999999999999</v>
      </c>
      <c r="H457" s="566">
        <v>3.3347999999999995</v>
      </c>
      <c r="I457" s="566">
        <v>-0.76000000000000512</v>
      </c>
      <c r="J457" s="566">
        <v>-5.0200000000000244</v>
      </c>
      <c r="K457" s="568">
        <v>-6.7800000000000082</v>
      </c>
      <c r="L457" s="566"/>
    </row>
    <row r="458" spans="1:12" x14ac:dyDescent="0.25">
      <c r="A458" s="565">
        <v>46251</v>
      </c>
      <c r="B458" s="566" t="s">
        <v>18</v>
      </c>
      <c r="C458" s="567" t="s">
        <v>146</v>
      </c>
      <c r="D458" s="567" t="s">
        <v>203</v>
      </c>
      <c r="E458" s="566">
        <v>3.4051</v>
      </c>
      <c r="F458" s="566">
        <v>7.140000000000013</v>
      </c>
      <c r="G458" s="566">
        <v>90.51</v>
      </c>
      <c r="H458" s="566">
        <v>3.6204000000000001</v>
      </c>
      <c r="I458" s="566">
        <v>-0.74999999999998401</v>
      </c>
      <c r="J458" s="566">
        <v>-5.01999999999998</v>
      </c>
      <c r="K458" s="568" t="s">
        <v>41</v>
      </c>
      <c r="L458" s="566"/>
    </row>
    <row r="459" spans="1:12" x14ac:dyDescent="0.25">
      <c r="A459" s="565">
        <v>46251</v>
      </c>
      <c r="B459" s="566"/>
      <c r="C459" s="567"/>
      <c r="D459" s="567"/>
      <c r="E459" s="566"/>
      <c r="F459" s="566"/>
      <c r="G459" s="566"/>
      <c r="H459" s="566"/>
      <c r="I459" s="566">
        <v>0</v>
      </c>
      <c r="J459" s="566">
        <v>0</v>
      </c>
      <c r="K459" s="568">
        <v>0</v>
      </c>
      <c r="L459" s="566"/>
    </row>
    <row r="460" spans="1:12" x14ac:dyDescent="0.25">
      <c r="A460" s="565">
        <v>46251</v>
      </c>
      <c r="B460" s="566"/>
      <c r="C460" s="567"/>
      <c r="D460" s="567"/>
      <c r="E460" s="566"/>
      <c r="F460" s="566"/>
      <c r="G460" s="566"/>
      <c r="H460" s="566"/>
      <c r="I460" s="566">
        <v>0</v>
      </c>
      <c r="J460" s="566">
        <v>0</v>
      </c>
      <c r="K460" s="568">
        <v>0</v>
      </c>
      <c r="L460" s="566"/>
    </row>
    <row r="461" spans="1:12" x14ac:dyDescent="0.25">
      <c r="A461" s="565">
        <v>46251</v>
      </c>
      <c r="B461" s="566"/>
      <c r="C461" s="567"/>
      <c r="D461" s="567"/>
      <c r="E461" s="566"/>
      <c r="F461" s="566"/>
      <c r="G461" s="566"/>
      <c r="H461" s="566"/>
      <c r="I461" s="566">
        <v>0</v>
      </c>
      <c r="J461" s="566">
        <v>0</v>
      </c>
      <c r="K461" s="568">
        <v>0</v>
      </c>
      <c r="L461" s="566"/>
    </row>
    <row r="462" spans="1:12" x14ac:dyDescent="0.25">
      <c r="A462" s="565">
        <v>46251</v>
      </c>
      <c r="B462" s="566"/>
      <c r="C462" s="567"/>
      <c r="D462" s="567"/>
      <c r="E462" s="566"/>
      <c r="F462" s="566"/>
      <c r="G462" s="566"/>
      <c r="H462" s="566"/>
      <c r="I462" s="566">
        <v>0</v>
      </c>
      <c r="J462" s="566">
        <v>0</v>
      </c>
      <c r="K462" s="568">
        <v>0</v>
      </c>
      <c r="L462" s="566"/>
    </row>
    <row r="463" spans="1:12" x14ac:dyDescent="0.25">
      <c r="A463" s="565">
        <v>46252</v>
      </c>
      <c r="B463" s="566" t="s">
        <v>10</v>
      </c>
      <c r="C463" s="567" t="s">
        <v>115</v>
      </c>
      <c r="D463" s="567" t="s">
        <v>116</v>
      </c>
      <c r="E463" s="566">
        <v>2.7355999999999998</v>
      </c>
      <c r="F463" s="566">
        <v>23.559999999999981</v>
      </c>
      <c r="G463" s="566">
        <v>23.559999999999981</v>
      </c>
      <c r="H463" s="566">
        <v>0.94239999999999924</v>
      </c>
      <c r="I463" s="566">
        <v>0.24999999999999467</v>
      </c>
      <c r="J463" s="566">
        <v>0</v>
      </c>
      <c r="K463" s="568">
        <v>0.99999999999997868</v>
      </c>
      <c r="L463" s="566"/>
    </row>
    <row r="464" spans="1:12" x14ac:dyDescent="0.25">
      <c r="A464" s="565">
        <v>46252</v>
      </c>
      <c r="B464" s="566" t="s">
        <v>11</v>
      </c>
      <c r="C464" s="567" t="s">
        <v>116</v>
      </c>
      <c r="D464" s="567" t="s">
        <v>117</v>
      </c>
      <c r="E464" s="566">
        <v>2.8521000000000001</v>
      </c>
      <c r="F464" s="566">
        <v>11.650000000000027</v>
      </c>
      <c r="G464" s="566">
        <v>35.210000000000008</v>
      </c>
      <c r="H464" s="566">
        <v>1.4084000000000003</v>
      </c>
      <c r="I464" s="566">
        <v>0.51000000000001044</v>
      </c>
      <c r="J464" s="566">
        <v>-0.74999999999998401</v>
      </c>
      <c r="K464" s="568">
        <v>-1.5000000000000124</v>
      </c>
      <c r="L464" s="566"/>
    </row>
    <row r="465" spans="1:12" x14ac:dyDescent="0.25">
      <c r="A465" s="565">
        <v>46252</v>
      </c>
      <c r="B465" s="566" t="s">
        <v>13</v>
      </c>
      <c r="C465" s="567" t="s">
        <v>117</v>
      </c>
      <c r="D465" s="567" t="s">
        <v>124</v>
      </c>
      <c r="E465" s="566">
        <v>3.0076999999999998</v>
      </c>
      <c r="F465" s="566">
        <v>15.559999999999974</v>
      </c>
      <c r="G465" s="566">
        <v>50.769999999999982</v>
      </c>
      <c r="H465" s="566">
        <v>2.0307999999999993</v>
      </c>
      <c r="I465" s="566">
        <v>0.25999999999997137</v>
      </c>
      <c r="J465" s="566">
        <v>-2.0100000000000229</v>
      </c>
      <c r="K465" s="568">
        <v>-7.0300000000000029</v>
      </c>
      <c r="L465" s="566">
        <v>0.15559999999999974</v>
      </c>
    </row>
    <row r="466" spans="1:12" x14ac:dyDescent="0.25">
      <c r="A466" s="565">
        <v>46252</v>
      </c>
      <c r="B466" s="566" t="s">
        <v>14</v>
      </c>
      <c r="C466" s="567" t="s">
        <v>124</v>
      </c>
      <c r="D466" s="567" t="s">
        <v>123</v>
      </c>
      <c r="E466" s="566">
        <v>3.1345999999999998</v>
      </c>
      <c r="F466" s="566">
        <v>12.690000000000001</v>
      </c>
      <c r="G466" s="566">
        <v>63.45999999999998</v>
      </c>
      <c r="H466" s="566">
        <v>2.5383999999999993</v>
      </c>
      <c r="I466" s="566">
        <v>-0.25000000000003908</v>
      </c>
      <c r="J466" s="566">
        <v>-4.0100000000000247</v>
      </c>
      <c r="K466" s="568">
        <v>-10.280000000000022</v>
      </c>
      <c r="L466" s="566"/>
    </row>
    <row r="467" spans="1:12" x14ac:dyDescent="0.25">
      <c r="A467" s="565">
        <v>46252</v>
      </c>
      <c r="B467" s="566" t="s">
        <v>15</v>
      </c>
      <c r="C467" s="567" t="s">
        <v>123</v>
      </c>
      <c r="D467" s="567" t="s">
        <v>148</v>
      </c>
      <c r="E467" s="566">
        <v>3.2494000000000001</v>
      </c>
      <c r="F467" s="566">
        <v>11.480000000000024</v>
      </c>
      <c r="G467" s="566">
        <v>74.940000000000012</v>
      </c>
      <c r="H467" s="566">
        <v>2.9976000000000003</v>
      </c>
      <c r="I467" s="566">
        <v>-0.49999999999998934</v>
      </c>
      <c r="J467" s="566">
        <v>-5.2699999999999747</v>
      </c>
      <c r="K467" s="568">
        <v>-8.7899999999999867</v>
      </c>
      <c r="L467" s="566"/>
    </row>
    <row r="468" spans="1:12" x14ac:dyDescent="0.25">
      <c r="A468" s="565">
        <v>46252</v>
      </c>
      <c r="B468" s="566" t="s">
        <v>17</v>
      </c>
      <c r="C468" s="567" t="s">
        <v>148</v>
      </c>
      <c r="D468" s="567" t="s">
        <v>146</v>
      </c>
      <c r="E468" s="566">
        <v>3.3287</v>
      </c>
      <c r="F468" s="566">
        <v>7.9299999999999926</v>
      </c>
      <c r="G468" s="566">
        <v>82.87</v>
      </c>
      <c r="H468" s="566">
        <v>3.3148</v>
      </c>
      <c r="I468" s="566">
        <v>-0.49999999999998934</v>
      </c>
      <c r="J468" s="566">
        <v>-5.2700000000000191</v>
      </c>
      <c r="K468" s="568">
        <v>-7.7799999999999869</v>
      </c>
      <c r="L468" s="566"/>
    </row>
    <row r="469" spans="1:12" x14ac:dyDescent="0.25">
      <c r="A469" s="565">
        <v>46252</v>
      </c>
      <c r="B469" s="566" t="s">
        <v>18</v>
      </c>
      <c r="C469" s="567" t="s">
        <v>146</v>
      </c>
      <c r="D469" s="567" t="s">
        <v>203</v>
      </c>
      <c r="E469" s="566">
        <v>3.4001000000000001</v>
      </c>
      <c r="F469" s="566">
        <v>7.140000000000013</v>
      </c>
      <c r="G469" s="566">
        <v>90.010000000000019</v>
      </c>
      <c r="H469" s="566">
        <v>3.6004000000000009</v>
      </c>
      <c r="I469" s="566">
        <v>-0.49999999999998934</v>
      </c>
      <c r="J469" s="566">
        <v>-5.2699999999999747</v>
      </c>
      <c r="K469" s="568" t="s">
        <v>41</v>
      </c>
      <c r="L469" s="566"/>
    </row>
    <row r="470" spans="1:12" x14ac:dyDescent="0.25">
      <c r="A470" s="565">
        <v>46252</v>
      </c>
      <c r="B470" s="566"/>
      <c r="C470" s="567"/>
      <c r="D470" s="567"/>
      <c r="E470" s="566"/>
      <c r="F470" s="566"/>
      <c r="G470" s="566"/>
      <c r="H470" s="566"/>
      <c r="I470" s="566">
        <v>0</v>
      </c>
      <c r="J470" s="566">
        <v>0</v>
      </c>
      <c r="K470" s="568">
        <v>0</v>
      </c>
      <c r="L470" s="566"/>
    </row>
    <row r="471" spans="1:12" x14ac:dyDescent="0.25">
      <c r="A471" s="565">
        <v>46252</v>
      </c>
      <c r="B471" s="566"/>
      <c r="C471" s="567"/>
      <c r="D471" s="567"/>
      <c r="E471" s="566"/>
      <c r="F471" s="566"/>
      <c r="G471" s="566"/>
      <c r="H471" s="566"/>
      <c r="I471" s="566">
        <v>0</v>
      </c>
      <c r="J471" s="566">
        <v>0</v>
      </c>
      <c r="K471" s="568">
        <v>0</v>
      </c>
      <c r="L471" s="566"/>
    </row>
    <row r="472" spans="1:12" x14ac:dyDescent="0.25">
      <c r="A472" s="565">
        <v>46252</v>
      </c>
      <c r="B472" s="566"/>
      <c r="C472" s="567"/>
      <c r="D472" s="567"/>
      <c r="E472" s="566"/>
      <c r="F472" s="566"/>
      <c r="G472" s="566"/>
      <c r="H472" s="566"/>
      <c r="I472" s="566">
        <v>0</v>
      </c>
      <c r="J472" s="566">
        <v>0</v>
      </c>
      <c r="K472" s="568">
        <v>0</v>
      </c>
      <c r="L472" s="566"/>
    </row>
    <row r="473" spans="1:12" x14ac:dyDescent="0.25">
      <c r="A473" s="565">
        <v>46252</v>
      </c>
      <c r="B473" s="566"/>
      <c r="C473" s="567"/>
      <c r="D473" s="567"/>
      <c r="E473" s="566"/>
      <c r="F473" s="566"/>
      <c r="G473" s="566"/>
      <c r="H473" s="566"/>
      <c r="I473" s="566">
        <v>0</v>
      </c>
      <c r="J473" s="566">
        <v>0</v>
      </c>
      <c r="K473" s="568">
        <v>0</v>
      </c>
      <c r="L473" s="566"/>
    </row>
    <row r="474" spans="1:12" x14ac:dyDescent="0.25">
      <c r="A474" s="16">
        <v>46253</v>
      </c>
      <c r="B474" s="17" t="s">
        <v>10</v>
      </c>
      <c r="C474" s="122" t="s">
        <v>115</v>
      </c>
      <c r="D474" s="122" t="s">
        <v>116</v>
      </c>
      <c r="E474" s="17">
        <v>2.7381000000000002</v>
      </c>
      <c r="F474" s="17">
        <v>23.81000000000002</v>
      </c>
      <c r="G474" s="17">
        <v>23.81000000000002</v>
      </c>
      <c r="H474" s="17">
        <v>0.9524000000000008</v>
      </c>
      <c r="I474" s="17">
        <v>0.25000000000003908</v>
      </c>
      <c r="J474" s="17">
        <v>0.25000000000003908</v>
      </c>
      <c r="K474" s="18">
        <v>0.75000000000002842</v>
      </c>
      <c r="L474" s="17"/>
    </row>
    <row r="475" spans="1:12" x14ac:dyDescent="0.25">
      <c r="A475" s="16">
        <v>46253</v>
      </c>
      <c r="B475" s="17" t="s">
        <v>11</v>
      </c>
      <c r="C475" s="122" t="s">
        <v>116</v>
      </c>
      <c r="D475" s="122" t="s">
        <v>117</v>
      </c>
      <c r="E475" s="17">
        <v>2.8571</v>
      </c>
      <c r="F475" s="17">
        <v>11.899999999999977</v>
      </c>
      <c r="G475" s="17">
        <v>35.709999999999994</v>
      </c>
      <c r="H475" s="17">
        <v>1.4283999999999997</v>
      </c>
      <c r="I475" s="17">
        <v>0.49999999999998934</v>
      </c>
      <c r="J475" s="17">
        <v>0.24999999999999467</v>
      </c>
      <c r="K475" s="18">
        <v>-0.74999999999998401</v>
      </c>
      <c r="L475" s="17"/>
    </row>
    <row r="476" spans="1:12" x14ac:dyDescent="0.25">
      <c r="A476" s="16">
        <v>46253</v>
      </c>
      <c r="B476" s="17" t="s">
        <v>13</v>
      </c>
      <c r="C476" s="122" t="s">
        <v>117</v>
      </c>
      <c r="D476" s="122" t="s">
        <v>124</v>
      </c>
      <c r="E476" s="17">
        <v>3.0102000000000002</v>
      </c>
      <c r="F476" s="17">
        <v>15.310000000000024</v>
      </c>
      <c r="G476" s="17">
        <v>51.020000000000024</v>
      </c>
      <c r="H476" s="17">
        <v>2.0408000000000008</v>
      </c>
      <c r="I476" s="17">
        <v>0.25000000000003908</v>
      </c>
      <c r="J476" s="17">
        <v>-1.2499999999999734</v>
      </c>
      <c r="K476" s="18">
        <v>-5.7799999999999851</v>
      </c>
      <c r="L476" s="17">
        <v>0.15310000000000024</v>
      </c>
    </row>
    <row r="477" spans="1:12" x14ac:dyDescent="0.25">
      <c r="A477" s="16">
        <v>46253</v>
      </c>
      <c r="B477" s="17" t="s">
        <v>14</v>
      </c>
      <c r="C477" s="122" t="s">
        <v>124</v>
      </c>
      <c r="D477" s="122" t="s">
        <v>123</v>
      </c>
      <c r="E477" s="17">
        <v>3.1320999999999999</v>
      </c>
      <c r="F477" s="17">
        <v>12.189999999999968</v>
      </c>
      <c r="G477" s="17">
        <v>63.209999999999987</v>
      </c>
      <c r="H477" s="17">
        <v>2.5283999999999995</v>
      </c>
      <c r="I477" s="17">
        <v>-0.24999999999999467</v>
      </c>
      <c r="J477" s="17">
        <v>-3.5099999999999909</v>
      </c>
      <c r="K477" s="18">
        <v>-9.020000000000028</v>
      </c>
      <c r="L477" s="17"/>
    </row>
    <row r="478" spans="1:12" x14ac:dyDescent="0.25">
      <c r="A478" s="16">
        <v>46253</v>
      </c>
      <c r="B478" s="17" t="s">
        <v>15</v>
      </c>
      <c r="C478" s="122" t="s">
        <v>123</v>
      </c>
      <c r="D478" s="122" t="s">
        <v>148</v>
      </c>
      <c r="E478" s="17">
        <v>3.2418999999999998</v>
      </c>
      <c r="F478" s="17">
        <v>10.97999999999999</v>
      </c>
      <c r="G478" s="17">
        <v>74.189999999999984</v>
      </c>
      <c r="H478" s="17">
        <v>2.9675999999999991</v>
      </c>
      <c r="I478" s="17">
        <v>-0.75000000000002842</v>
      </c>
      <c r="J478" s="17">
        <v>-5.0200000000000244</v>
      </c>
      <c r="K478" s="18">
        <v>-8.5400000000000365</v>
      </c>
      <c r="L478" s="17"/>
    </row>
    <row r="479" spans="1:12" x14ac:dyDescent="0.25">
      <c r="A479" s="16">
        <v>46253</v>
      </c>
      <c r="B479" s="17" t="s">
        <v>17</v>
      </c>
      <c r="C479" s="122" t="s">
        <v>148</v>
      </c>
      <c r="D479" s="122" t="s">
        <v>146</v>
      </c>
      <c r="E479" s="17">
        <v>3.3161999999999998</v>
      </c>
      <c r="F479" s="17">
        <v>7.4300000000000033</v>
      </c>
      <c r="G479" s="17">
        <v>81.619999999999976</v>
      </c>
      <c r="H479" s="17">
        <v>3.2647999999999993</v>
      </c>
      <c r="I479" s="17">
        <v>-1.2500000000000178</v>
      </c>
      <c r="J479" s="17">
        <v>-5.5200000000000138</v>
      </c>
      <c r="K479" s="18">
        <v>-8.5300000000000153</v>
      </c>
      <c r="L479" s="17"/>
    </row>
    <row r="480" spans="1:12" x14ac:dyDescent="0.25">
      <c r="A480" s="16">
        <v>46253</v>
      </c>
      <c r="B480" s="17" t="s">
        <v>18</v>
      </c>
      <c r="C480" s="122" t="s">
        <v>146</v>
      </c>
      <c r="D480" s="122" t="s">
        <v>203</v>
      </c>
      <c r="E480" s="17">
        <v>3.3774999999999999</v>
      </c>
      <c r="F480" s="17">
        <v>6.1300000000000132</v>
      </c>
      <c r="G480" s="17">
        <v>87.75</v>
      </c>
      <c r="H480" s="17">
        <v>3.51</v>
      </c>
      <c r="I480" s="17">
        <v>-2.2600000000000176</v>
      </c>
      <c r="J480" s="17">
        <v>-6.5300000000000136</v>
      </c>
      <c r="K480" s="18" t="s">
        <v>41</v>
      </c>
      <c r="L480" s="17"/>
    </row>
    <row r="481" spans="1:12" x14ac:dyDescent="0.25">
      <c r="A481" s="16">
        <v>46253</v>
      </c>
      <c r="B481" s="17"/>
      <c r="C481" s="122"/>
      <c r="D481" s="122"/>
      <c r="E481" s="17"/>
      <c r="F481" s="17"/>
      <c r="G481" s="17"/>
      <c r="H481" s="17"/>
      <c r="I481" s="17">
        <v>0</v>
      </c>
      <c r="J481" s="17">
        <v>0</v>
      </c>
      <c r="K481" s="18">
        <v>0</v>
      </c>
      <c r="L481" s="17"/>
    </row>
    <row r="482" spans="1:12" x14ac:dyDescent="0.25">
      <c r="A482" s="16">
        <v>46253</v>
      </c>
      <c r="B482" s="17"/>
      <c r="C482" s="122"/>
      <c r="D482" s="122"/>
      <c r="E482" s="17"/>
      <c r="F482" s="17"/>
      <c r="G482" s="17"/>
      <c r="H482" s="17"/>
      <c r="I482" s="17">
        <v>0</v>
      </c>
      <c r="J482" s="17">
        <v>0</v>
      </c>
      <c r="K482" s="18">
        <v>0</v>
      </c>
      <c r="L482" s="17"/>
    </row>
    <row r="483" spans="1:12" x14ac:dyDescent="0.25">
      <c r="A483" s="16">
        <v>46253</v>
      </c>
      <c r="B483" s="17"/>
      <c r="C483" s="122"/>
      <c r="D483" s="122"/>
      <c r="E483" s="17"/>
      <c r="F483" s="17"/>
      <c r="G483" s="17"/>
      <c r="H483" s="17"/>
      <c r="I483" s="17">
        <v>0</v>
      </c>
      <c r="J483" s="17">
        <v>0</v>
      </c>
      <c r="K483" s="18">
        <v>0</v>
      </c>
      <c r="L483" s="17"/>
    </row>
    <row r="484" spans="1:12" x14ac:dyDescent="0.25">
      <c r="A484" s="16">
        <v>46253</v>
      </c>
      <c r="B484" s="17"/>
      <c r="C484" s="122"/>
      <c r="D484" s="122"/>
      <c r="E484" s="17"/>
      <c r="F484" s="17"/>
      <c r="G484" s="17"/>
      <c r="H484" s="17"/>
      <c r="I484" s="17">
        <v>0</v>
      </c>
      <c r="J484" s="17">
        <v>0</v>
      </c>
      <c r="K484" s="18">
        <v>0</v>
      </c>
      <c r="L484" s="17"/>
    </row>
  </sheetData>
  <phoneticPr fontId="6" type="noConversion"/>
  <hyperlinks>
    <hyperlink ref="I1" r:id="rId1" display="https://www.worldsport.ge/ge/page/186696_realma-pogbas-damatebistvis-fexburteli-unda-gayidos?fbclid=IwAR1Q8_AuVjfuFyEqRQbAPIWQl1LwCJxT8yrAB4_5wAq_JUjGwmGboJ4jIZo" xr:uid="{00000000-0004-0000-0200-000000000000}"/>
  </hyperlinks>
  <pageMargins left="0.7" right="0.7" top="0.75" bottom="0.75" header="0.3" footer="0.3"/>
  <pageSetup paperSize="9"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546"/>
  <sheetViews>
    <sheetView topLeftCell="A520" zoomScale="85" zoomScaleNormal="85" workbookViewId="0">
      <selection activeCell="A535" sqref="A535:K546"/>
    </sheetView>
  </sheetViews>
  <sheetFormatPr defaultColWidth="8.85546875" defaultRowHeight="18.75" x14ac:dyDescent="0.3"/>
  <cols>
    <col min="1" max="1" width="17.85546875" style="12" bestFit="1" customWidth="1"/>
    <col min="2" max="2" width="13.28515625" style="5" bestFit="1" customWidth="1"/>
    <col min="3" max="4" width="14.85546875" style="5" bestFit="1" customWidth="1"/>
    <col min="5" max="5" width="9.2851562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3" width="8.85546875" style="5"/>
    <col min="14" max="15" width="10.28515625" style="5" bestFit="1" customWidth="1"/>
    <col min="16"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9" t="s">
        <v>43</v>
      </c>
      <c r="B2" s="10" t="s">
        <v>17</v>
      </c>
      <c r="C2" s="121">
        <v>43987</v>
      </c>
      <c r="D2" s="121">
        <v>44110</v>
      </c>
      <c r="E2" s="10">
        <v>-0.46300000000000002</v>
      </c>
      <c r="F2" s="10">
        <v>1.4</v>
      </c>
      <c r="G2" s="10">
        <v>4.8</v>
      </c>
      <c r="H2" s="10">
        <v>6.6</v>
      </c>
      <c r="I2" s="10" t="s">
        <v>41</v>
      </c>
      <c r="J2" s="10" t="s">
        <v>41</v>
      </c>
      <c r="K2" s="11" t="s">
        <v>41</v>
      </c>
    </row>
    <row r="3" spans="1:11" x14ac:dyDescent="0.3">
      <c r="A3" s="9" t="s">
        <v>43</v>
      </c>
      <c r="B3" s="10" t="s">
        <v>18</v>
      </c>
      <c r="C3" s="121">
        <v>44110</v>
      </c>
      <c r="D3" s="121" t="s">
        <v>44</v>
      </c>
      <c r="E3" s="10">
        <v>-0.48099999999999998</v>
      </c>
      <c r="F3" s="10">
        <v>1.2</v>
      </c>
      <c r="G3" s="10">
        <v>4.3</v>
      </c>
      <c r="H3" s="10">
        <v>7.6</v>
      </c>
      <c r="I3" s="10" t="s">
        <v>41</v>
      </c>
      <c r="J3" s="10" t="s">
        <v>41</v>
      </c>
      <c r="K3" s="11" t="s">
        <v>41</v>
      </c>
    </row>
    <row r="4" spans="1:11" x14ac:dyDescent="0.3">
      <c r="A4" s="9" t="s">
        <v>43</v>
      </c>
      <c r="B4" s="10" t="s">
        <v>27</v>
      </c>
      <c r="C4" s="121" t="s">
        <v>44</v>
      </c>
      <c r="D4" s="121" t="s">
        <v>45</v>
      </c>
      <c r="E4" s="10">
        <v>-0.48699999999999999</v>
      </c>
      <c r="F4" s="10">
        <v>0.9</v>
      </c>
      <c r="G4" s="10">
        <v>4.0999999999999996</v>
      </c>
      <c r="H4" s="10">
        <v>8.1999999999999993</v>
      </c>
      <c r="I4" s="10" t="s">
        <v>41</v>
      </c>
      <c r="J4" s="10" t="s">
        <v>41</v>
      </c>
      <c r="K4" s="11" t="s">
        <v>41</v>
      </c>
    </row>
    <row r="5" spans="1:11" x14ac:dyDescent="0.3">
      <c r="A5" s="9" t="s">
        <v>43</v>
      </c>
      <c r="B5" s="10" t="s">
        <v>10</v>
      </c>
      <c r="C5" s="121" t="s">
        <v>45</v>
      </c>
      <c r="D5" s="121">
        <v>43932</v>
      </c>
      <c r="E5" s="10">
        <v>-0.51500000000000001</v>
      </c>
      <c r="F5" s="10">
        <v>0.3</v>
      </c>
      <c r="G5" s="10">
        <v>0.6</v>
      </c>
      <c r="H5" s="10">
        <v>7.3</v>
      </c>
      <c r="I5" s="10" t="s">
        <v>41</v>
      </c>
      <c r="J5" s="10" t="s">
        <v>41</v>
      </c>
      <c r="K5" s="11" t="s">
        <v>41</v>
      </c>
    </row>
    <row r="6" spans="1:11" x14ac:dyDescent="0.3">
      <c r="A6" s="9" t="s">
        <v>43</v>
      </c>
      <c r="B6" s="10" t="s">
        <v>12</v>
      </c>
      <c r="C6" s="121">
        <v>43932</v>
      </c>
      <c r="D6" s="121" t="s">
        <v>46</v>
      </c>
      <c r="E6" s="10">
        <v>-0.51600000000000001</v>
      </c>
      <c r="F6" s="10">
        <v>0.7</v>
      </c>
      <c r="G6" s="10">
        <v>-0.1</v>
      </c>
      <c r="H6" s="10">
        <v>7.7</v>
      </c>
      <c r="I6" s="10" t="s">
        <v>41</v>
      </c>
      <c r="J6" s="10" t="s">
        <v>41</v>
      </c>
      <c r="K6" s="11" t="s">
        <v>41</v>
      </c>
    </row>
    <row r="7" spans="1:11" x14ac:dyDescent="0.3">
      <c r="A7" s="9" t="s">
        <v>43</v>
      </c>
      <c r="B7" s="10" t="s">
        <v>13</v>
      </c>
      <c r="C7" s="121" t="s">
        <v>46</v>
      </c>
      <c r="D7" s="121">
        <v>44257</v>
      </c>
      <c r="E7" s="10">
        <v>-0.52700000000000002</v>
      </c>
      <c r="F7" s="10">
        <v>0.7</v>
      </c>
      <c r="G7" s="10">
        <v>-1.4</v>
      </c>
      <c r="H7" s="10">
        <v>7.1</v>
      </c>
      <c r="I7" s="10" t="s">
        <v>41</v>
      </c>
      <c r="J7" s="10" t="s">
        <v>41</v>
      </c>
      <c r="K7" s="11" t="s">
        <v>41</v>
      </c>
    </row>
    <row r="8" spans="1:11" x14ac:dyDescent="0.3">
      <c r="A8" s="9" t="s">
        <v>43</v>
      </c>
      <c r="B8" s="10" t="s">
        <v>14</v>
      </c>
      <c r="C8" s="121">
        <v>44257</v>
      </c>
      <c r="D8" s="121" t="s">
        <v>47</v>
      </c>
      <c r="E8" s="10">
        <v>-0.53600000000000003</v>
      </c>
      <c r="F8" s="10">
        <v>0.9</v>
      </c>
      <c r="G8" s="10">
        <v>-1.9</v>
      </c>
      <c r="H8" s="10">
        <v>6.4</v>
      </c>
      <c r="I8" s="10" t="s">
        <v>41</v>
      </c>
      <c r="J8" s="10" t="s">
        <v>41</v>
      </c>
      <c r="K8" s="11" t="s">
        <v>41</v>
      </c>
    </row>
    <row r="9" spans="1:11" x14ac:dyDescent="0.3">
      <c r="A9" s="9" t="s">
        <v>43</v>
      </c>
      <c r="B9" s="10" t="s">
        <v>15</v>
      </c>
      <c r="C9" s="121" t="s">
        <v>47</v>
      </c>
      <c r="D9" s="121">
        <v>44321</v>
      </c>
      <c r="E9" s="10">
        <v>-0.53300000000000003</v>
      </c>
      <c r="F9" s="10">
        <v>1.2</v>
      </c>
      <c r="G9" s="10">
        <v>-1.9</v>
      </c>
      <c r="H9" s="10">
        <v>6.9</v>
      </c>
      <c r="I9" s="10" t="s">
        <v>41</v>
      </c>
      <c r="J9" s="10" t="s">
        <v>41</v>
      </c>
      <c r="K9" s="11" t="s">
        <v>41</v>
      </c>
    </row>
    <row r="10" spans="1:11" x14ac:dyDescent="0.3">
      <c r="A10" s="9" t="s">
        <v>43</v>
      </c>
      <c r="B10" s="10" t="s">
        <v>17</v>
      </c>
      <c r="C10" s="121">
        <v>44321</v>
      </c>
      <c r="D10" s="121">
        <v>44445</v>
      </c>
      <c r="E10" s="10">
        <v>-0.52900000000000003</v>
      </c>
      <c r="F10" s="10">
        <v>1.3</v>
      </c>
      <c r="G10" s="10">
        <v>-2.1</v>
      </c>
      <c r="H10" s="10">
        <v>7.3</v>
      </c>
      <c r="I10" s="10" t="s">
        <v>41</v>
      </c>
      <c r="J10" s="10" t="s">
        <v>41</v>
      </c>
      <c r="K10" s="11" t="s">
        <v>41</v>
      </c>
    </row>
    <row r="11" spans="1:11" x14ac:dyDescent="0.3">
      <c r="A11" s="9" t="s">
        <v>43</v>
      </c>
      <c r="B11" s="10" t="s">
        <v>37</v>
      </c>
      <c r="C11" s="121">
        <v>44445</v>
      </c>
      <c r="D11" s="121" t="s">
        <v>48</v>
      </c>
      <c r="E11" s="10">
        <v>-0.52900000000000003</v>
      </c>
      <c r="F11" s="10">
        <v>1.3</v>
      </c>
      <c r="G11" s="10">
        <v>-2.1</v>
      </c>
      <c r="H11" s="10">
        <v>7.3</v>
      </c>
      <c r="I11" s="10" t="s">
        <v>41</v>
      </c>
      <c r="J11" s="10" t="s">
        <v>41</v>
      </c>
      <c r="K11" s="11" t="s">
        <v>41</v>
      </c>
    </row>
    <row r="12" spans="1:11" x14ac:dyDescent="0.3">
      <c r="A12" s="9" t="s">
        <v>43</v>
      </c>
      <c r="B12" s="10" t="s">
        <v>27</v>
      </c>
      <c r="C12" s="121" t="s">
        <v>48</v>
      </c>
      <c r="D12" s="121" t="s">
        <v>49</v>
      </c>
      <c r="E12" s="10">
        <v>-0.52900000000000003</v>
      </c>
      <c r="F12" s="10">
        <v>1.3</v>
      </c>
      <c r="G12" s="10" t="s">
        <v>41</v>
      </c>
      <c r="H12" s="10" t="s">
        <v>41</v>
      </c>
      <c r="I12" s="10" t="s">
        <v>41</v>
      </c>
      <c r="J12" s="10" t="s">
        <v>41</v>
      </c>
      <c r="K12" s="11" t="s">
        <v>41</v>
      </c>
    </row>
    <row r="13" spans="1:11" x14ac:dyDescent="0.3">
      <c r="A13" s="9" t="s">
        <v>89</v>
      </c>
      <c r="B13" s="10" t="s">
        <v>15</v>
      </c>
      <c r="C13" s="121">
        <v>45364</v>
      </c>
      <c r="D13" s="121">
        <v>45399</v>
      </c>
      <c r="E13" s="10">
        <v>3.91</v>
      </c>
      <c r="F13" s="10">
        <v>1.1000000000000121</v>
      </c>
      <c r="G13" s="10">
        <v>1.1000000000000121</v>
      </c>
      <c r="H13" s="10">
        <v>4.4000000000000483E-2</v>
      </c>
      <c r="I13" s="10">
        <v>0.19635079306201675</v>
      </c>
      <c r="J13" s="10" t="s">
        <v>41</v>
      </c>
      <c r="K13" s="11" t="s">
        <v>41</v>
      </c>
    </row>
    <row r="14" spans="1:11" x14ac:dyDescent="0.3">
      <c r="A14" s="9" t="s">
        <v>89</v>
      </c>
      <c r="B14" s="10" t="s">
        <v>16</v>
      </c>
      <c r="C14" s="121">
        <v>45399</v>
      </c>
      <c r="D14" s="121">
        <v>45455</v>
      </c>
      <c r="E14" s="10">
        <v>3.8919803646858799</v>
      </c>
      <c r="F14" s="10">
        <v>-1.8019635314120208</v>
      </c>
      <c r="G14" s="10">
        <v>-0.70196353141200873</v>
      </c>
      <c r="H14" s="10">
        <v>-2.8078541256480349E-2</v>
      </c>
      <c r="I14" s="10">
        <v>9.9034204180004082E-2</v>
      </c>
      <c r="J14" s="10" t="s">
        <v>41</v>
      </c>
      <c r="K14" s="11" t="s">
        <v>41</v>
      </c>
    </row>
    <row r="15" spans="1:11" x14ac:dyDescent="0.3">
      <c r="A15" s="9" t="s">
        <v>89</v>
      </c>
      <c r="B15" s="10" t="s">
        <v>18</v>
      </c>
      <c r="C15" s="121">
        <v>45455</v>
      </c>
      <c r="D15" s="121">
        <v>45497</v>
      </c>
      <c r="E15" s="10">
        <v>3.67386861435654</v>
      </c>
      <c r="F15" s="10">
        <v>-21.811175032933996</v>
      </c>
      <c r="G15" s="10">
        <v>-22.513138564346001</v>
      </c>
      <c r="H15" s="10">
        <v>-0.90052554257383999</v>
      </c>
      <c r="I15" s="10">
        <v>-0.19195254266102246</v>
      </c>
      <c r="J15" s="10" t="s">
        <v>41</v>
      </c>
      <c r="K15" s="11" t="s">
        <v>41</v>
      </c>
    </row>
    <row r="16" spans="1:11" x14ac:dyDescent="0.3">
      <c r="A16" s="9" t="s">
        <v>89</v>
      </c>
      <c r="B16" s="10" t="s">
        <v>19</v>
      </c>
      <c r="C16" s="121">
        <v>45497</v>
      </c>
      <c r="D16" s="121">
        <v>45553</v>
      </c>
      <c r="E16" s="10">
        <v>3.5226115228773098</v>
      </c>
      <c r="F16" s="10">
        <v>-15.125709147923017</v>
      </c>
      <c r="G16" s="10">
        <v>-37.638847712269019</v>
      </c>
      <c r="H16" s="10">
        <v>-1.5055539084907608</v>
      </c>
      <c r="I16" s="10">
        <v>0.13535479241699733</v>
      </c>
      <c r="J16" s="10" t="s">
        <v>41</v>
      </c>
      <c r="K16" s="11" t="s">
        <v>41</v>
      </c>
    </row>
    <row r="17" spans="1:11" x14ac:dyDescent="0.3">
      <c r="A17" s="9" t="s">
        <v>89</v>
      </c>
      <c r="B17" s="10" t="s">
        <v>10</v>
      </c>
      <c r="C17" s="121">
        <v>45553</v>
      </c>
      <c r="D17" s="121">
        <v>45588</v>
      </c>
      <c r="E17" s="10">
        <v>3.3206526235241798</v>
      </c>
      <c r="F17" s="10">
        <v>-20.195889935313005</v>
      </c>
      <c r="G17" s="10">
        <v>-57.834737647582024</v>
      </c>
      <c r="H17" s="10">
        <v>-2.313389505903281</v>
      </c>
      <c r="I17" s="10">
        <v>0.78356808250998888</v>
      </c>
      <c r="J17" s="10" t="s">
        <v>41</v>
      </c>
      <c r="K17" s="11" t="s">
        <v>41</v>
      </c>
    </row>
    <row r="18" spans="1:11" x14ac:dyDescent="0.3">
      <c r="A18" s="9" t="s">
        <v>89</v>
      </c>
      <c r="B18" s="10" t="s">
        <v>11</v>
      </c>
      <c r="C18" s="121">
        <v>45588</v>
      </c>
      <c r="D18" s="121">
        <v>45644</v>
      </c>
      <c r="E18" s="10">
        <v>3.1807250129082698</v>
      </c>
      <c r="F18" s="10">
        <v>-13.992761061590997</v>
      </c>
      <c r="G18" s="10">
        <v>-71.827498709173028</v>
      </c>
      <c r="H18" s="10">
        <v>-2.8730999483669213</v>
      </c>
      <c r="I18" s="10">
        <v>1.1363046951379907</v>
      </c>
      <c r="J18" s="10" t="s">
        <v>41</v>
      </c>
      <c r="K18" s="11" t="s">
        <v>41</v>
      </c>
    </row>
    <row r="19" spans="1:11" x14ac:dyDescent="0.3">
      <c r="A19" s="9" t="s">
        <v>89</v>
      </c>
      <c r="B19" s="10" t="s">
        <v>13</v>
      </c>
      <c r="C19" s="121">
        <v>45644</v>
      </c>
      <c r="D19" s="121">
        <v>45679</v>
      </c>
      <c r="E19" s="10">
        <v>2.98722041458565</v>
      </c>
      <c r="F19" s="10">
        <v>-19.350459832261979</v>
      </c>
      <c r="G19" s="10">
        <v>-91.177958541435004</v>
      </c>
      <c r="H19" s="10">
        <v>-3.6471183416574</v>
      </c>
      <c r="I19" s="10">
        <v>1.4175074046200109</v>
      </c>
      <c r="J19" s="10" t="s">
        <v>41</v>
      </c>
      <c r="K19" s="11" t="s">
        <v>41</v>
      </c>
    </row>
    <row r="20" spans="1:11" x14ac:dyDescent="0.3">
      <c r="A20" s="9" t="s">
        <v>89</v>
      </c>
      <c r="B20" s="10"/>
      <c r="C20" s="121"/>
      <c r="D20" s="121"/>
      <c r="E20" s="10"/>
      <c r="F20" s="10"/>
      <c r="G20" s="10"/>
      <c r="H20" s="10"/>
      <c r="I20" s="10">
        <v>-286.42148816086001</v>
      </c>
      <c r="J20" s="10" t="s">
        <v>41</v>
      </c>
      <c r="K20" s="11" t="s">
        <v>41</v>
      </c>
    </row>
    <row r="21" spans="1:11" x14ac:dyDescent="0.3">
      <c r="A21" s="9" t="s">
        <v>89</v>
      </c>
      <c r="B21" s="10"/>
      <c r="C21" s="121"/>
      <c r="D21" s="121"/>
      <c r="E21" s="10"/>
      <c r="F21" s="10"/>
      <c r="G21" s="10"/>
      <c r="H21" s="10"/>
      <c r="I21" s="10">
        <v>-286.42148816086001</v>
      </c>
      <c r="J21" s="10" t="s">
        <v>41</v>
      </c>
      <c r="K21" s="11" t="s">
        <v>41</v>
      </c>
    </row>
    <row r="22" spans="1:11" x14ac:dyDescent="0.3">
      <c r="A22" s="9" t="s">
        <v>89</v>
      </c>
      <c r="B22" s="10"/>
      <c r="C22" s="121"/>
      <c r="D22" s="121"/>
      <c r="E22" s="10"/>
      <c r="F22" s="10"/>
      <c r="G22" s="10"/>
      <c r="H22" s="10"/>
      <c r="I22" s="10">
        <v>-286.42148816086001</v>
      </c>
      <c r="J22" s="10" t="s">
        <v>41</v>
      </c>
      <c r="K22" s="11" t="s">
        <v>41</v>
      </c>
    </row>
    <row r="23" spans="1:11" x14ac:dyDescent="0.3">
      <c r="A23" s="9" t="s">
        <v>89</v>
      </c>
      <c r="B23" s="10"/>
      <c r="C23" s="121"/>
      <c r="D23" s="121"/>
      <c r="E23" s="10"/>
      <c r="F23" s="10"/>
      <c r="G23" s="10"/>
      <c r="H23" s="10"/>
      <c r="I23" s="10">
        <v>-286.42148816086001</v>
      </c>
      <c r="J23" s="10" t="s">
        <v>41</v>
      </c>
      <c r="K23" s="11" t="s">
        <v>41</v>
      </c>
    </row>
    <row r="24" spans="1:11" x14ac:dyDescent="0.3">
      <c r="A24" s="9">
        <v>46192</v>
      </c>
      <c r="B24" s="10" t="s">
        <v>19</v>
      </c>
      <c r="C24" s="121" t="s">
        <v>94</v>
      </c>
      <c r="D24" s="121" t="s">
        <v>97</v>
      </c>
      <c r="E24" s="10">
        <v>2.2305000000000001</v>
      </c>
      <c r="F24" s="10">
        <v>5.0499999999999989</v>
      </c>
      <c r="G24" s="10">
        <v>5.0499999999999989</v>
      </c>
      <c r="H24" s="10">
        <v>0.20199999999999996</v>
      </c>
      <c r="I24" s="10">
        <v>0.15000000000000568</v>
      </c>
      <c r="J24" s="10">
        <v>-1.2499999999999734</v>
      </c>
      <c r="K24" s="11">
        <v>-6.2999999999999723</v>
      </c>
    </row>
    <row r="25" spans="1:11" x14ac:dyDescent="0.3">
      <c r="A25" s="9">
        <v>46192</v>
      </c>
      <c r="B25" s="10" t="s">
        <v>10</v>
      </c>
      <c r="C25" s="121" t="s">
        <v>97</v>
      </c>
      <c r="D25" s="121" t="s">
        <v>99</v>
      </c>
      <c r="E25" s="10">
        <v>2.4076</v>
      </c>
      <c r="F25" s="10">
        <v>17.70999999999998</v>
      </c>
      <c r="G25" s="10">
        <v>22.75999999999998</v>
      </c>
      <c r="H25" s="10">
        <v>0.91039999999999921</v>
      </c>
      <c r="I25" s="10">
        <v>1.4600000000000168</v>
      </c>
      <c r="J25" s="10">
        <v>-3.9999999999995595E-2</v>
      </c>
      <c r="K25" s="11">
        <v>-6.9399999999999906</v>
      </c>
    </row>
    <row r="26" spans="1:11" x14ac:dyDescent="0.3">
      <c r="A26" s="9">
        <v>46192</v>
      </c>
      <c r="B26" s="10" t="s">
        <v>12</v>
      </c>
      <c r="C26" s="121" t="s">
        <v>99</v>
      </c>
      <c r="D26" s="121" t="s">
        <v>103</v>
      </c>
      <c r="E26" s="10">
        <v>2.4649999999999999</v>
      </c>
      <c r="F26" s="10">
        <v>5.7399999999999896</v>
      </c>
      <c r="G26" s="10">
        <v>28.499999999999972</v>
      </c>
      <c r="H26" s="10">
        <v>1.1399999999999988</v>
      </c>
      <c r="I26" s="10">
        <v>2.179999999999982</v>
      </c>
      <c r="J26" s="10">
        <v>2.9999999999974492E-2</v>
      </c>
      <c r="K26" s="11">
        <v>-10.749999999999993</v>
      </c>
    </row>
    <row r="27" spans="1:11" x14ac:dyDescent="0.3">
      <c r="A27" s="9">
        <v>46192</v>
      </c>
      <c r="B27" s="10" t="s">
        <v>13</v>
      </c>
      <c r="C27" s="121" t="s">
        <v>103</v>
      </c>
      <c r="D27" s="121">
        <v>46428</v>
      </c>
      <c r="E27" s="10">
        <v>2.5550000000000002</v>
      </c>
      <c r="F27" s="10">
        <v>9.0000000000000302</v>
      </c>
      <c r="G27" s="10">
        <v>37.5</v>
      </c>
      <c r="H27" s="10">
        <v>1.5</v>
      </c>
      <c r="I27" s="10">
        <v>3.9000000000000146</v>
      </c>
      <c r="J27" s="10">
        <v>1.4000000000000234</v>
      </c>
      <c r="K27" s="11" t="s">
        <v>41</v>
      </c>
    </row>
    <row r="28" spans="1:11" x14ac:dyDescent="0.3">
      <c r="A28" s="9">
        <v>46192</v>
      </c>
      <c r="B28" s="10" t="s">
        <v>14</v>
      </c>
      <c r="C28" s="121">
        <v>46428</v>
      </c>
      <c r="D28" s="121">
        <v>46470</v>
      </c>
      <c r="E28" s="10">
        <v>2.58</v>
      </c>
      <c r="F28" s="10">
        <v>2.4999999999999911</v>
      </c>
      <c r="G28" s="10">
        <v>39.999999999999993</v>
      </c>
      <c r="H28" s="10">
        <v>1.5999999999999996</v>
      </c>
      <c r="I28" s="10">
        <v>4.1199999999999903</v>
      </c>
      <c r="J28" s="10">
        <v>2.6000000000000245</v>
      </c>
      <c r="K28" s="11" t="s">
        <v>41</v>
      </c>
    </row>
    <row r="29" spans="1:11" x14ac:dyDescent="0.3">
      <c r="A29" s="9">
        <v>46192</v>
      </c>
      <c r="B29" s="10" t="s">
        <v>15</v>
      </c>
      <c r="C29" s="121">
        <v>46470</v>
      </c>
      <c r="D29" s="121">
        <v>46512</v>
      </c>
      <c r="E29" s="10">
        <v>2.6048</v>
      </c>
      <c r="F29" s="10">
        <v>2.4799999999999933</v>
      </c>
      <c r="G29" s="10">
        <v>42.479999999999983</v>
      </c>
      <c r="H29" s="10">
        <v>1.6991999999999994</v>
      </c>
      <c r="I29" s="10">
        <v>4.5799999999999841</v>
      </c>
      <c r="J29" s="10">
        <v>2.7800000000000047</v>
      </c>
      <c r="K29" s="11" t="s">
        <v>41</v>
      </c>
    </row>
    <row r="30" spans="1:11" x14ac:dyDescent="0.3">
      <c r="A30" s="9">
        <v>46192</v>
      </c>
      <c r="B30" s="10" t="s">
        <v>17</v>
      </c>
      <c r="C30" s="121">
        <v>46512</v>
      </c>
      <c r="D30" s="121">
        <v>46554</v>
      </c>
      <c r="E30" s="10">
        <v>2.6112000000000002</v>
      </c>
      <c r="F30" s="10">
        <v>0.64000000000001833</v>
      </c>
      <c r="G30" s="10">
        <v>43.120000000000005</v>
      </c>
      <c r="H30" s="10">
        <v>1.7248000000000001</v>
      </c>
      <c r="I30" s="10">
        <v>4.7100000000000364</v>
      </c>
      <c r="J30" s="10" t="s">
        <v>41</v>
      </c>
      <c r="K30" s="11" t="s">
        <v>41</v>
      </c>
    </row>
    <row r="31" spans="1:11" x14ac:dyDescent="0.3">
      <c r="A31" s="9">
        <v>46192</v>
      </c>
      <c r="B31" s="10" t="s">
        <v>28</v>
      </c>
      <c r="C31" s="121"/>
      <c r="D31" s="121"/>
      <c r="E31" s="10">
        <v>2.609</v>
      </c>
      <c r="F31" s="10">
        <v>-0.22000000000002018</v>
      </c>
      <c r="G31" s="10">
        <v>42.899999999999984</v>
      </c>
      <c r="H31" s="10">
        <v>1.7159999999999993</v>
      </c>
      <c r="I31" s="10">
        <v>5.2999999999999936</v>
      </c>
      <c r="J31" s="10" t="s">
        <v>41</v>
      </c>
      <c r="K31" s="11">
        <v>260.89999999999998</v>
      </c>
    </row>
    <row r="32" spans="1:11" x14ac:dyDescent="0.3">
      <c r="A32" s="9">
        <v>46192</v>
      </c>
      <c r="B32" s="10"/>
      <c r="C32" s="121"/>
      <c r="D32" s="121"/>
      <c r="E32" s="10"/>
      <c r="F32" s="10"/>
      <c r="G32" s="10"/>
      <c r="H32" s="10"/>
      <c r="I32" s="10">
        <v>-255.6</v>
      </c>
      <c r="J32" s="10" t="s">
        <v>41</v>
      </c>
      <c r="K32" s="11">
        <v>0</v>
      </c>
    </row>
    <row r="33" spans="1:11" x14ac:dyDescent="0.3">
      <c r="A33" s="9">
        <v>46192</v>
      </c>
      <c r="B33" s="10"/>
      <c r="C33" s="121"/>
      <c r="D33" s="121"/>
      <c r="E33" s="10"/>
      <c r="F33" s="10"/>
      <c r="G33" s="10"/>
      <c r="H33" s="10"/>
      <c r="I33" s="10">
        <v>-255.6</v>
      </c>
      <c r="J33" s="10" t="s">
        <v>41</v>
      </c>
      <c r="K33" s="11">
        <v>0</v>
      </c>
    </row>
    <row r="34" spans="1:11" x14ac:dyDescent="0.3">
      <c r="A34" s="9">
        <v>46192</v>
      </c>
      <c r="B34" s="10"/>
      <c r="C34" s="121"/>
      <c r="D34" s="121"/>
      <c r="E34" s="10"/>
      <c r="F34" s="10"/>
      <c r="G34" s="10"/>
      <c r="H34" s="10"/>
      <c r="I34" s="10">
        <v>-255.6</v>
      </c>
      <c r="J34" s="10" t="s">
        <v>41</v>
      </c>
      <c r="K34" s="11">
        <v>0</v>
      </c>
    </row>
    <row r="35" spans="1:11" x14ac:dyDescent="0.3">
      <c r="A35" s="9">
        <v>46192</v>
      </c>
      <c r="B35" s="10"/>
      <c r="C35" s="121"/>
      <c r="D35" s="121"/>
      <c r="E35" s="10"/>
      <c r="F35" s="10"/>
      <c r="G35" s="10"/>
      <c r="H35" s="10"/>
      <c r="I35" s="10">
        <v>-255.6</v>
      </c>
      <c r="J35" s="10" t="s">
        <v>41</v>
      </c>
      <c r="K35" s="11">
        <v>0</v>
      </c>
    </row>
    <row r="36" spans="1:11" x14ac:dyDescent="0.3">
      <c r="A36" s="296">
        <v>46195</v>
      </c>
      <c r="B36" s="297" t="s">
        <v>19</v>
      </c>
      <c r="C36" s="298" t="s">
        <v>94</v>
      </c>
      <c r="D36" s="298" t="s">
        <v>97</v>
      </c>
      <c r="E36" s="297">
        <v>2.2149999999999999</v>
      </c>
      <c r="F36" s="297">
        <v>3.3999999999999808</v>
      </c>
      <c r="G36" s="297">
        <v>3.3999999999999808</v>
      </c>
      <c r="H36" s="297">
        <v>0.13599999999999923</v>
      </c>
      <c r="I36" s="297">
        <v>-1.5500000000000291</v>
      </c>
      <c r="J36" s="297">
        <v>-2.0000000000000018</v>
      </c>
      <c r="K36" s="299">
        <v>-2.8000000000000025</v>
      </c>
    </row>
    <row r="37" spans="1:11" x14ac:dyDescent="0.3">
      <c r="A37" s="296">
        <v>46195</v>
      </c>
      <c r="B37" s="297" t="s">
        <v>10</v>
      </c>
      <c r="C37" s="298" t="s">
        <v>97</v>
      </c>
      <c r="D37" s="298" t="s">
        <v>99</v>
      </c>
      <c r="E37" s="297">
        <v>2.3839999999999999</v>
      </c>
      <c r="F37" s="297">
        <v>16.900000000000006</v>
      </c>
      <c r="G37" s="297">
        <v>20.299999999999983</v>
      </c>
      <c r="H37" s="297">
        <v>0.81199999999999928</v>
      </c>
      <c r="I37" s="297">
        <v>-2.3600000000000065</v>
      </c>
      <c r="J37" s="297">
        <v>-1.4000000000000234</v>
      </c>
      <c r="K37" s="299">
        <v>-3.4100000000000019</v>
      </c>
    </row>
    <row r="38" spans="1:11" x14ac:dyDescent="0.3">
      <c r="A38" s="296">
        <v>46195</v>
      </c>
      <c r="B38" s="297" t="s">
        <v>12</v>
      </c>
      <c r="C38" s="298" t="s">
        <v>99</v>
      </c>
      <c r="D38" s="298" t="s">
        <v>103</v>
      </c>
      <c r="E38" s="297">
        <v>2.4319999999999999</v>
      </c>
      <c r="F38" s="297">
        <v>4.8000000000000043</v>
      </c>
      <c r="G38" s="297">
        <v>25.099999999999987</v>
      </c>
      <c r="H38" s="297">
        <v>1.0039999999999996</v>
      </c>
      <c r="I38" s="297">
        <v>-3.2999999999999918</v>
      </c>
      <c r="J38" s="297">
        <v>-1.7900000000000027</v>
      </c>
      <c r="K38" s="299">
        <v>-7.0500000000000007</v>
      </c>
    </row>
    <row r="39" spans="1:11" x14ac:dyDescent="0.3">
      <c r="A39" s="296">
        <v>46195</v>
      </c>
      <c r="B39" s="297" t="s">
        <v>13</v>
      </c>
      <c r="C39" s="298" t="s">
        <v>103</v>
      </c>
      <c r="D39" s="298">
        <v>46428</v>
      </c>
      <c r="E39" s="297">
        <v>2.512</v>
      </c>
      <c r="F39" s="297">
        <v>8.0000000000000071</v>
      </c>
      <c r="G39" s="297">
        <v>33.099999999999994</v>
      </c>
      <c r="H39" s="297">
        <v>1.3239999999999998</v>
      </c>
      <c r="I39" s="297">
        <v>-4.3000000000000149</v>
      </c>
      <c r="J39" s="297">
        <v>-1.8100000000000005</v>
      </c>
      <c r="K39" s="299" t="s">
        <v>41</v>
      </c>
    </row>
    <row r="40" spans="1:11" x14ac:dyDescent="0.3">
      <c r="A40" s="296">
        <v>46195</v>
      </c>
      <c r="B40" s="297" t="s">
        <v>14</v>
      </c>
      <c r="C40" s="298">
        <v>46428</v>
      </c>
      <c r="D40" s="298">
        <v>46470</v>
      </c>
      <c r="E40" s="297">
        <v>2.5289999999999999</v>
      </c>
      <c r="F40" s="297">
        <v>1.6999999999999904</v>
      </c>
      <c r="G40" s="297">
        <v>34.799999999999983</v>
      </c>
      <c r="H40" s="297">
        <v>1.3919999999999992</v>
      </c>
      <c r="I40" s="297">
        <v>-5.1000000000000156</v>
      </c>
      <c r="J40" s="297">
        <v>-2.079999999999993</v>
      </c>
      <c r="K40" s="299" t="s">
        <v>41</v>
      </c>
    </row>
    <row r="41" spans="1:11" x14ac:dyDescent="0.3">
      <c r="A41" s="296">
        <v>46195</v>
      </c>
      <c r="B41" s="297" t="s">
        <v>15</v>
      </c>
      <c r="C41" s="298">
        <v>46470</v>
      </c>
      <c r="D41" s="298">
        <v>46512</v>
      </c>
      <c r="E41" s="297">
        <v>2.556</v>
      </c>
      <c r="F41" s="297">
        <v>2.7000000000000135</v>
      </c>
      <c r="G41" s="297">
        <v>37.5</v>
      </c>
      <c r="H41" s="297">
        <v>1.5</v>
      </c>
      <c r="I41" s="297">
        <v>-4.8799999999999955</v>
      </c>
      <c r="J41" s="297">
        <v>-1.8000000000000238</v>
      </c>
      <c r="K41" s="299" t="s">
        <v>41</v>
      </c>
    </row>
    <row r="42" spans="1:11" x14ac:dyDescent="0.3">
      <c r="A42" s="296">
        <v>46195</v>
      </c>
      <c r="B42" s="297" t="s">
        <v>17</v>
      </c>
      <c r="C42" s="298">
        <v>46512</v>
      </c>
      <c r="D42" s="298">
        <v>46554</v>
      </c>
      <c r="E42" s="297">
        <v>2.5579999999999998</v>
      </c>
      <c r="F42" s="297">
        <v>0.19999999999997797</v>
      </c>
      <c r="G42" s="297">
        <v>37.699999999999974</v>
      </c>
      <c r="H42" s="297">
        <v>1.5079999999999989</v>
      </c>
      <c r="I42" s="297">
        <v>-5.3200000000000358</v>
      </c>
      <c r="J42" s="297">
        <v>-1.7999999999999794</v>
      </c>
      <c r="K42" s="299" t="s">
        <v>41</v>
      </c>
    </row>
    <row r="43" spans="1:11" x14ac:dyDescent="0.3">
      <c r="A43" s="296">
        <v>46195</v>
      </c>
      <c r="B43" s="297" t="s">
        <v>28</v>
      </c>
      <c r="C43" s="298"/>
      <c r="D43" s="298"/>
      <c r="E43" s="297">
        <v>2.528</v>
      </c>
      <c r="F43" s="297">
        <v>-2.9999999999999805</v>
      </c>
      <c r="G43" s="297">
        <v>34.699999999999996</v>
      </c>
      <c r="H43" s="297">
        <v>1.3879999999999999</v>
      </c>
      <c r="I43" s="297">
        <v>-8.0999999999999961</v>
      </c>
      <c r="J43" s="297">
        <v>-1.6000000000000014</v>
      </c>
      <c r="K43" s="299">
        <v>252.8</v>
      </c>
    </row>
    <row r="44" spans="1:11" x14ac:dyDescent="0.3">
      <c r="A44" s="296">
        <v>46195</v>
      </c>
      <c r="B44" s="297"/>
      <c r="C44" s="298"/>
      <c r="D44" s="298"/>
      <c r="E44" s="297"/>
      <c r="F44" s="297"/>
      <c r="G44" s="297"/>
      <c r="H44" s="297"/>
      <c r="I44" s="297" t="s">
        <v>41</v>
      </c>
      <c r="J44" s="297">
        <v>-254.4</v>
      </c>
      <c r="K44" s="299">
        <v>0</v>
      </c>
    </row>
    <row r="45" spans="1:11" x14ac:dyDescent="0.3">
      <c r="A45" s="296">
        <v>46195</v>
      </c>
      <c r="B45" s="297"/>
      <c r="C45" s="298"/>
      <c r="D45" s="298"/>
      <c r="E45" s="297"/>
      <c r="F45" s="297"/>
      <c r="G45" s="297"/>
      <c r="H45" s="297"/>
      <c r="I45" s="297" t="s">
        <v>41</v>
      </c>
      <c r="J45" s="297">
        <v>-254.4</v>
      </c>
      <c r="K45" s="299">
        <v>0</v>
      </c>
    </row>
    <row r="46" spans="1:11" x14ac:dyDescent="0.3">
      <c r="A46" s="296">
        <v>46195</v>
      </c>
      <c r="B46" s="297"/>
      <c r="C46" s="298"/>
      <c r="D46" s="298"/>
      <c r="E46" s="297"/>
      <c r="F46" s="297"/>
      <c r="G46" s="297"/>
      <c r="H46" s="297"/>
      <c r="I46" s="297" t="s">
        <v>41</v>
      </c>
      <c r="J46" s="297">
        <v>-254.4</v>
      </c>
      <c r="K46" s="299">
        <v>0</v>
      </c>
    </row>
    <row r="47" spans="1:11" x14ac:dyDescent="0.3">
      <c r="A47" s="300">
        <v>46195</v>
      </c>
      <c r="B47" s="301"/>
      <c r="C47" s="302"/>
      <c r="D47" s="302"/>
      <c r="E47" s="301"/>
      <c r="F47" s="301"/>
      <c r="G47" s="301"/>
      <c r="H47" s="301"/>
      <c r="I47" s="301" t="s">
        <v>41</v>
      </c>
      <c r="J47" s="301">
        <v>-254.4</v>
      </c>
      <c r="K47" s="303">
        <v>0</v>
      </c>
    </row>
    <row r="48" spans="1:11" x14ac:dyDescent="0.3">
      <c r="A48" s="296">
        <v>46196</v>
      </c>
      <c r="B48" s="297" t="s">
        <v>19</v>
      </c>
      <c r="C48" s="298" t="s">
        <v>94</v>
      </c>
      <c r="D48" s="298" t="s">
        <v>97</v>
      </c>
      <c r="E48" s="297">
        <v>2.21</v>
      </c>
      <c r="F48" s="297">
        <v>2.8999999999999915</v>
      </c>
      <c r="G48" s="297">
        <v>2.8999999999999915</v>
      </c>
      <c r="H48" s="297">
        <v>0.11599999999999966</v>
      </c>
      <c r="I48" s="297">
        <v>-0.49999999999998934</v>
      </c>
      <c r="J48" s="297">
        <v>-2.4000000000000021</v>
      </c>
      <c r="K48" s="299">
        <v>-3.2000000000000028</v>
      </c>
    </row>
    <row r="49" spans="1:11" x14ac:dyDescent="0.3">
      <c r="A49" s="296">
        <v>46196</v>
      </c>
      <c r="B49" s="297" t="s">
        <v>10</v>
      </c>
      <c r="C49" s="298" t="s">
        <v>97</v>
      </c>
      <c r="D49" s="298" t="s">
        <v>99</v>
      </c>
      <c r="E49" s="297">
        <v>2.3740999999999999</v>
      </c>
      <c r="F49" s="297">
        <v>16.409999999999989</v>
      </c>
      <c r="G49" s="297">
        <v>19.309999999999981</v>
      </c>
      <c r="H49" s="297">
        <v>0.7723999999999992</v>
      </c>
      <c r="I49" s="297">
        <v>-0.99000000000000199</v>
      </c>
      <c r="J49" s="297">
        <v>-1.6900000000000137</v>
      </c>
      <c r="K49" s="299">
        <v>-3.6999999999999922</v>
      </c>
    </row>
    <row r="50" spans="1:11" x14ac:dyDescent="0.3">
      <c r="A50" s="296">
        <v>46196</v>
      </c>
      <c r="B50" s="297" t="s">
        <v>12</v>
      </c>
      <c r="C50" s="298" t="s">
        <v>99</v>
      </c>
      <c r="D50" s="298" t="s">
        <v>103</v>
      </c>
      <c r="E50" s="297">
        <v>2.4171</v>
      </c>
      <c r="F50" s="297">
        <v>4.3000000000000149</v>
      </c>
      <c r="G50" s="297">
        <v>23.61</v>
      </c>
      <c r="H50" s="297">
        <v>0.94440000000000002</v>
      </c>
      <c r="I50" s="297">
        <v>-1.4899999999999913</v>
      </c>
      <c r="J50" s="297">
        <v>-1.9899999999999807</v>
      </c>
      <c r="K50" s="299">
        <v>-7.2499999999999787</v>
      </c>
    </row>
    <row r="51" spans="1:11" x14ac:dyDescent="0.3">
      <c r="A51" s="296">
        <v>46196</v>
      </c>
      <c r="B51" s="297" t="s">
        <v>13</v>
      </c>
      <c r="C51" s="298" t="s">
        <v>103</v>
      </c>
      <c r="D51" s="298">
        <v>46428</v>
      </c>
      <c r="E51" s="297">
        <v>2.4889999999999999</v>
      </c>
      <c r="F51" s="297">
        <v>7.1899999999999853</v>
      </c>
      <c r="G51" s="297">
        <v>30.799999999999983</v>
      </c>
      <c r="H51" s="297">
        <v>1.2319999999999993</v>
      </c>
      <c r="I51" s="297">
        <v>-2.3000000000000131</v>
      </c>
      <c r="J51" s="297">
        <v>-2.0999999999999908</v>
      </c>
      <c r="K51" s="299" t="s">
        <v>41</v>
      </c>
    </row>
    <row r="52" spans="1:11" x14ac:dyDescent="0.3">
      <c r="A52" s="296">
        <v>46196</v>
      </c>
      <c r="B52" s="297" t="s">
        <v>14</v>
      </c>
      <c r="C52" s="298">
        <v>46428</v>
      </c>
      <c r="D52" s="298">
        <v>46470</v>
      </c>
      <c r="E52" s="297">
        <v>2.5053999999999998</v>
      </c>
      <c r="F52" s="297">
        <v>1.639999999999997</v>
      </c>
      <c r="G52" s="297">
        <v>32.439999999999984</v>
      </c>
      <c r="H52" s="297">
        <v>1.2975999999999994</v>
      </c>
      <c r="I52" s="297">
        <v>-2.3600000000000065</v>
      </c>
      <c r="J52" s="297">
        <v>-2.1600000000000286</v>
      </c>
      <c r="K52" s="299" t="s">
        <v>41</v>
      </c>
    </row>
    <row r="53" spans="1:11" x14ac:dyDescent="0.3">
      <c r="A53" s="296">
        <v>46196</v>
      </c>
      <c r="B53" s="297" t="s">
        <v>15</v>
      </c>
      <c r="C53" s="298">
        <v>46470</v>
      </c>
      <c r="D53" s="298">
        <v>46512</v>
      </c>
      <c r="E53" s="297">
        <v>2.5259999999999998</v>
      </c>
      <c r="F53" s="297">
        <v>2.0599999999999952</v>
      </c>
      <c r="G53" s="297">
        <v>34.499999999999972</v>
      </c>
      <c r="H53" s="297">
        <v>1.3799999999999988</v>
      </c>
      <c r="I53" s="297">
        <v>-3.0000000000000249</v>
      </c>
      <c r="J53" s="297">
        <v>-2.1000000000000352</v>
      </c>
      <c r="K53" s="299" t="s">
        <v>41</v>
      </c>
    </row>
    <row r="54" spans="1:11" x14ac:dyDescent="0.3">
      <c r="A54" s="296">
        <v>46196</v>
      </c>
      <c r="B54" s="297" t="s">
        <v>17</v>
      </c>
      <c r="C54" s="298">
        <v>46512</v>
      </c>
      <c r="D54" s="298">
        <v>46554</v>
      </c>
      <c r="E54" s="297">
        <v>2.5289999999999999</v>
      </c>
      <c r="F54" s="297">
        <v>0.30000000000001137</v>
      </c>
      <c r="G54" s="297">
        <v>34.799999999999983</v>
      </c>
      <c r="H54" s="297">
        <v>1.3919999999999992</v>
      </c>
      <c r="I54" s="297">
        <v>-2.8999999999999915</v>
      </c>
      <c r="J54" s="297">
        <v>-2.0999999999999908</v>
      </c>
      <c r="K54" s="299" t="s">
        <v>41</v>
      </c>
    </row>
    <row r="55" spans="1:11" x14ac:dyDescent="0.3">
      <c r="A55" s="296">
        <v>46196</v>
      </c>
      <c r="B55" s="297" t="s">
        <v>28</v>
      </c>
      <c r="C55" s="298"/>
      <c r="D55" s="298"/>
      <c r="E55" s="297">
        <v>2.5196000000000001</v>
      </c>
      <c r="F55" s="297">
        <v>-0.93999999999998529</v>
      </c>
      <c r="G55" s="297">
        <v>33.86</v>
      </c>
      <c r="H55" s="297">
        <v>1.3544</v>
      </c>
      <c r="I55" s="297">
        <v>-0.83999999999999631</v>
      </c>
      <c r="J55" s="297">
        <v>-2.4399999999999977</v>
      </c>
      <c r="K55" s="299">
        <v>251.96</v>
      </c>
    </row>
    <row r="56" spans="1:11" x14ac:dyDescent="0.3">
      <c r="A56" s="296">
        <v>46196</v>
      </c>
      <c r="B56" s="297"/>
      <c r="C56" s="298"/>
      <c r="D56" s="298"/>
      <c r="E56" s="297"/>
      <c r="F56" s="297"/>
      <c r="G56" s="297"/>
      <c r="H56" s="297"/>
      <c r="I56" s="297">
        <v>-252.8</v>
      </c>
      <c r="J56" s="297">
        <v>-254.4</v>
      </c>
      <c r="K56" s="299">
        <v>0</v>
      </c>
    </row>
    <row r="57" spans="1:11" x14ac:dyDescent="0.3">
      <c r="A57" s="296">
        <v>46196</v>
      </c>
      <c r="B57" s="297"/>
      <c r="C57" s="298"/>
      <c r="D57" s="298"/>
      <c r="E57" s="297"/>
      <c r="F57" s="297"/>
      <c r="G57" s="297"/>
      <c r="H57" s="297"/>
      <c r="I57" s="297">
        <v>-252.8</v>
      </c>
      <c r="J57" s="297">
        <v>-254.4</v>
      </c>
      <c r="K57" s="299">
        <v>0</v>
      </c>
    </row>
    <row r="58" spans="1:11" x14ac:dyDescent="0.3">
      <c r="A58" s="296">
        <v>46196</v>
      </c>
      <c r="B58" s="297"/>
      <c r="C58" s="298"/>
      <c r="D58" s="298"/>
      <c r="E58" s="297"/>
      <c r="F58" s="297"/>
      <c r="G58" s="297"/>
      <c r="H58" s="297"/>
      <c r="I58" s="297">
        <v>-252.8</v>
      </c>
      <c r="J58" s="297">
        <v>-254.4</v>
      </c>
      <c r="K58" s="299">
        <v>0</v>
      </c>
    </row>
    <row r="59" spans="1:11" x14ac:dyDescent="0.3">
      <c r="A59" s="300">
        <v>46196</v>
      </c>
      <c r="B59" s="301"/>
      <c r="C59" s="302"/>
      <c r="D59" s="302"/>
      <c r="E59" s="301"/>
      <c r="F59" s="301"/>
      <c r="G59" s="301"/>
      <c r="H59" s="301"/>
      <c r="I59" s="301">
        <v>-252.8</v>
      </c>
      <c r="J59" s="301">
        <v>-254.4</v>
      </c>
      <c r="K59" s="303">
        <v>0</v>
      </c>
    </row>
    <row r="60" spans="1:11" x14ac:dyDescent="0.3">
      <c r="A60" s="9">
        <v>46197</v>
      </c>
      <c r="B60" s="10" t="s">
        <v>19</v>
      </c>
      <c r="C60" s="121" t="s">
        <v>94</v>
      </c>
      <c r="D60" s="121" t="s">
        <v>97</v>
      </c>
      <c r="E60" s="10">
        <v>2.2040000000000002</v>
      </c>
      <c r="F60" s="10">
        <v>2.2000000000000242</v>
      </c>
      <c r="G60" s="10">
        <v>2.2000000000000242</v>
      </c>
      <c r="H60" s="10">
        <v>8.8000000000000966E-2</v>
      </c>
      <c r="I60" s="10">
        <v>-0.59999999999997833</v>
      </c>
      <c r="J60" s="10">
        <v>-2.2999999999999687</v>
      </c>
      <c r="K60" s="11">
        <v>-3.2099999999999795</v>
      </c>
    </row>
    <row r="61" spans="1:11" x14ac:dyDescent="0.3">
      <c r="A61" s="9">
        <v>46197</v>
      </c>
      <c r="B61" s="10" t="s">
        <v>10</v>
      </c>
      <c r="C61" s="121" t="s">
        <v>97</v>
      </c>
      <c r="D61" s="121" t="s">
        <v>99</v>
      </c>
      <c r="E61" s="10">
        <v>2.3553000000000002</v>
      </c>
      <c r="F61" s="10">
        <v>15.129999999999999</v>
      </c>
      <c r="G61" s="10">
        <v>17.330000000000023</v>
      </c>
      <c r="H61" s="10">
        <v>0.69320000000000093</v>
      </c>
      <c r="I61" s="10">
        <v>-1.8799999999999706</v>
      </c>
      <c r="J61" s="10">
        <v>-3.4699999999999953</v>
      </c>
      <c r="K61" s="11">
        <v>-5.4699999999999971</v>
      </c>
    </row>
    <row r="62" spans="1:11" x14ac:dyDescent="0.3">
      <c r="A62" s="9">
        <v>46197</v>
      </c>
      <c r="B62" s="10" t="s">
        <v>12</v>
      </c>
      <c r="C62" s="121" t="s">
        <v>99</v>
      </c>
      <c r="D62" s="121" t="s">
        <v>103</v>
      </c>
      <c r="E62" s="10">
        <v>2.3904999999999998</v>
      </c>
      <c r="F62" s="10">
        <v>3.5199999999999676</v>
      </c>
      <c r="G62" s="10">
        <v>20.849999999999991</v>
      </c>
      <c r="H62" s="10">
        <v>0.83399999999999963</v>
      </c>
      <c r="I62" s="10">
        <v>-2.6600000000000179</v>
      </c>
      <c r="J62" s="10">
        <v>-4.1500000000000092</v>
      </c>
      <c r="K62" s="11">
        <v>-10.050000000000026</v>
      </c>
    </row>
    <row r="63" spans="1:11" x14ac:dyDescent="0.3">
      <c r="A63" s="9">
        <v>46197</v>
      </c>
      <c r="B63" s="10" t="s">
        <v>13</v>
      </c>
      <c r="C63" s="121" t="s">
        <v>103</v>
      </c>
      <c r="D63" s="121">
        <v>46428</v>
      </c>
      <c r="E63" s="10">
        <v>2.4550000000000001</v>
      </c>
      <c r="F63" s="10">
        <v>6.4500000000000224</v>
      </c>
      <c r="G63" s="10">
        <v>27.300000000000011</v>
      </c>
      <c r="H63" s="10">
        <v>1.0920000000000005</v>
      </c>
      <c r="I63" s="10">
        <v>-3.3999999999999808</v>
      </c>
      <c r="J63" s="10">
        <v>-4.8999999999999932</v>
      </c>
      <c r="K63" s="11" t="s">
        <v>41</v>
      </c>
    </row>
    <row r="64" spans="1:11" x14ac:dyDescent="0.3">
      <c r="A64" s="9">
        <v>46197</v>
      </c>
      <c r="B64" s="10" t="s">
        <v>14</v>
      </c>
      <c r="C64" s="121">
        <v>46428</v>
      </c>
      <c r="D64" s="121">
        <v>46470</v>
      </c>
      <c r="E64" s="10">
        <v>2.4691999999999998</v>
      </c>
      <c r="F64" s="10">
        <v>1.4199999999999768</v>
      </c>
      <c r="G64" s="10">
        <v>28.719999999999992</v>
      </c>
      <c r="H64" s="10">
        <v>1.1487999999999996</v>
      </c>
      <c r="I64" s="10">
        <v>-3.620000000000001</v>
      </c>
      <c r="J64" s="10">
        <v>-5.0800000000000178</v>
      </c>
      <c r="K64" s="11" t="s">
        <v>41</v>
      </c>
    </row>
    <row r="65" spans="1:11" x14ac:dyDescent="0.3">
      <c r="A65" s="9">
        <v>46197</v>
      </c>
      <c r="B65" s="10" t="s">
        <v>15</v>
      </c>
      <c r="C65" s="121">
        <v>46470</v>
      </c>
      <c r="D65" s="121">
        <v>46512</v>
      </c>
      <c r="E65" s="10">
        <v>2.4872000000000001</v>
      </c>
      <c r="F65" s="10">
        <v>1.8000000000000238</v>
      </c>
      <c r="G65" s="10">
        <v>30.520000000000014</v>
      </c>
      <c r="H65" s="10">
        <v>1.2208000000000006</v>
      </c>
      <c r="I65" s="10">
        <v>-3.8799999999999724</v>
      </c>
      <c r="J65" s="10">
        <v>-5.3799999999999848</v>
      </c>
      <c r="K65" s="11" t="s">
        <v>41</v>
      </c>
    </row>
    <row r="66" spans="1:11" x14ac:dyDescent="0.3">
      <c r="A66" s="9">
        <v>46197</v>
      </c>
      <c r="B66" s="10" t="s">
        <v>17</v>
      </c>
      <c r="C66" s="121">
        <v>46512</v>
      </c>
      <c r="D66" s="121">
        <v>46554</v>
      </c>
      <c r="E66" s="10">
        <v>2.4908999999999999</v>
      </c>
      <c r="F66" s="10">
        <v>0.36999999999998145</v>
      </c>
      <c r="G66" s="10">
        <v>30.889999999999993</v>
      </c>
      <c r="H66" s="10">
        <v>1.2355999999999998</v>
      </c>
      <c r="I66" s="10">
        <v>-3.8100000000000023</v>
      </c>
      <c r="J66" s="10">
        <v>-5.2999999999999936</v>
      </c>
      <c r="K66" s="11" t="s">
        <v>41</v>
      </c>
    </row>
    <row r="67" spans="1:11" x14ac:dyDescent="0.3">
      <c r="A67" s="9">
        <v>46197</v>
      </c>
      <c r="B67" s="10" t="s">
        <v>28</v>
      </c>
      <c r="C67" s="121"/>
      <c r="D67" s="121"/>
      <c r="E67" s="10">
        <v>2.4860000000000002</v>
      </c>
      <c r="F67" s="10">
        <v>-0.48999999999996824</v>
      </c>
      <c r="G67" s="10">
        <v>30.400000000000027</v>
      </c>
      <c r="H67" s="10">
        <v>1.2160000000000011</v>
      </c>
      <c r="I67" s="10">
        <v>-3.3599999999999852</v>
      </c>
      <c r="J67" s="10">
        <v>-5.3999999999999826</v>
      </c>
      <c r="K67" s="11">
        <v>248.60000000000002</v>
      </c>
    </row>
    <row r="68" spans="1:11" x14ac:dyDescent="0.3">
      <c r="A68" s="9">
        <v>46197</v>
      </c>
      <c r="B68" s="10"/>
      <c r="C68" s="121"/>
      <c r="D68" s="121"/>
      <c r="E68" s="10"/>
      <c r="F68" s="10"/>
      <c r="G68" s="10"/>
      <c r="H68" s="10"/>
      <c r="I68" s="10">
        <v>-251.96</v>
      </c>
      <c r="J68" s="10">
        <v>-254</v>
      </c>
      <c r="K68" s="11">
        <v>0</v>
      </c>
    </row>
    <row r="69" spans="1:11" x14ac:dyDescent="0.3">
      <c r="A69" s="9">
        <v>46197</v>
      </c>
      <c r="B69" s="10"/>
      <c r="C69" s="121"/>
      <c r="D69" s="121"/>
      <c r="E69" s="10"/>
      <c r="F69" s="10"/>
      <c r="G69" s="10"/>
      <c r="H69" s="10"/>
      <c r="I69" s="10">
        <v>-251.96</v>
      </c>
      <c r="J69" s="10">
        <v>-254</v>
      </c>
      <c r="K69" s="11">
        <v>0</v>
      </c>
    </row>
    <row r="70" spans="1:11" x14ac:dyDescent="0.3">
      <c r="A70" s="9">
        <v>46197</v>
      </c>
      <c r="B70" s="10"/>
      <c r="C70" s="121"/>
      <c r="D70" s="121"/>
      <c r="E70" s="10"/>
      <c r="F70" s="10"/>
      <c r="G70" s="10"/>
      <c r="H70" s="10"/>
      <c r="I70" s="10">
        <v>-251.96</v>
      </c>
      <c r="J70" s="10">
        <v>-254</v>
      </c>
      <c r="K70" s="11">
        <v>0</v>
      </c>
    </row>
    <row r="71" spans="1:11" x14ac:dyDescent="0.3">
      <c r="A71" s="291">
        <v>46197</v>
      </c>
      <c r="B71" s="292"/>
      <c r="C71" s="293"/>
      <c r="D71" s="293"/>
      <c r="E71" s="292"/>
      <c r="F71" s="292"/>
      <c r="G71" s="292"/>
      <c r="H71" s="292"/>
      <c r="I71" s="292">
        <v>-251.96</v>
      </c>
      <c r="J71" s="292">
        <v>-254</v>
      </c>
      <c r="K71" s="295">
        <v>0</v>
      </c>
    </row>
    <row r="72" spans="1:11" x14ac:dyDescent="0.3">
      <c r="A72" s="347">
        <v>46198</v>
      </c>
      <c r="B72" s="348" t="s">
        <v>19</v>
      </c>
      <c r="C72" s="349" t="s">
        <v>94</v>
      </c>
      <c r="D72" s="349" t="s">
        <v>97</v>
      </c>
      <c r="E72" s="348">
        <v>2.2010000000000001</v>
      </c>
      <c r="F72" s="348">
        <v>2.0000000000000018</v>
      </c>
      <c r="G72" s="348">
        <v>2.0000000000000018</v>
      </c>
      <c r="H72" s="348">
        <v>8.0000000000000071E-2</v>
      </c>
      <c r="I72" s="348">
        <v>-0.30000000000001137</v>
      </c>
      <c r="J72" s="348">
        <v>-2.8000000000000025</v>
      </c>
      <c r="K72" s="350">
        <v>1.4000000000000234</v>
      </c>
    </row>
    <row r="73" spans="1:11" x14ac:dyDescent="0.3">
      <c r="A73" s="347">
        <v>46198</v>
      </c>
      <c r="B73" s="348" t="s">
        <v>10</v>
      </c>
      <c r="C73" s="349" t="s">
        <v>97</v>
      </c>
      <c r="D73" s="349" t="s">
        <v>99</v>
      </c>
      <c r="E73" s="348">
        <v>2.3531</v>
      </c>
      <c r="F73" s="348">
        <v>15.20999999999999</v>
      </c>
      <c r="G73" s="348">
        <v>17.209999999999994</v>
      </c>
      <c r="H73" s="348">
        <v>0.68839999999999979</v>
      </c>
      <c r="I73" s="348">
        <v>-0.22000000000002018</v>
      </c>
      <c r="J73" s="348">
        <v>-3.9899999999999824</v>
      </c>
      <c r="K73" s="350">
        <v>2.6899999999999924</v>
      </c>
    </row>
    <row r="74" spans="1:11" x14ac:dyDescent="0.3">
      <c r="A74" s="347">
        <v>46198</v>
      </c>
      <c r="B74" s="348" t="s">
        <v>12</v>
      </c>
      <c r="C74" s="349" t="s">
        <v>99</v>
      </c>
      <c r="D74" s="349" t="s">
        <v>103</v>
      </c>
      <c r="E74" s="348">
        <v>2.383</v>
      </c>
      <c r="F74" s="348">
        <v>2.9900000000000038</v>
      </c>
      <c r="G74" s="348">
        <v>20.199999999999996</v>
      </c>
      <c r="H74" s="348">
        <v>0.80799999999999983</v>
      </c>
      <c r="I74" s="348">
        <v>-0.74999999999998401</v>
      </c>
      <c r="J74" s="348">
        <v>-6.0200000000000031</v>
      </c>
      <c r="K74" s="350">
        <v>-0.40000000000000036</v>
      </c>
    </row>
    <row r="75" spans="1:11" x14ac:dyDescent="0.3">
      <c r="A75" s="347">
        <v>46198</v>
      </c>
      <c r="B75" s="348" t="s">
        <v>13</v>
      </c>
      <c r="C75" s="349" t="s">
        <v>103</v>
      </c>
      <c r="D75" s="349">
        <v>46428</v>
      </c>
      <c r="E75" s="348">
        <v>2.4441999999999999</v>
      </c>
      <c r="F75" s="348">
        <v>6.1199999999999921</v>
      </c>
      <c r="G75" s="348">
        <v>26.319999999999986</v>
      </c>
      <c r="H75" s="348">
        <v>1.0527999999999995</v>
      </c>
      <c r="I75" s="348">
        <v>-1.0800000000000143</v>
      </c>
      <c r="J75" s="348">
        <v>-7.1800000000000086</v>
      </c>
      <c r="K75" s="350" t="s">
        <v>41</v>
      </c>
    </row>
    <row r="76" spans="1:11" x14ac:dyDescent="0.3">
      <c r="A76" s="347">
        <v>46198</v>
      </c>
      <c r="B76" s="348" t="s">
        <v>14</v>
      </c>
      <c r="C76" s="349">
        <v>46428</v>
      </c>
      <c r="D76" s="349">
        <v>46470</v>
      </c>
      <c r="E76" s="348">
        <v>2.4569999999999999</v>
      </c>
      <c r="F76" s="348">
        <v>1.2799999999999923</v>
      </c>
      <c r="G76" s="348">
        <v>27.59999999999998</v>
      </c>
      <c r="H76" s="348">
        <v>1.1039999999999992</v>
      </c>
      <c r="I76" s="348">
        <v>-1.2199999999999989</v>
      </c>
      <c r="J76" s="348">
        <v>-8.1800000000000317</v>
      </c>
      <c r="K76" s="350" t="s">
        <v>41</v>
      </c>
    </row>
    <row r="77" spans="1:11" x14ac:dyDescent="0.3">
      <c r="A77" s="347">
        <v>46198</v>
      </c>
      <c r="B77" s="348" t="s">
        <v>15</v>
      </c>
      <c r="C77" s="349">
        <v>46470</v>
      </c>
      <c r="D77" s="349">
        <v>46512</v>
      </c>
      <c r="E77" s="348">
        <v>2.4710000000000001</v>
      </c>
      <c r="F77" s="348">
        <v>1.4000000000000234</v>
      </c>
      <c r="G77" s="348">
        <v>29.000000000000004</v>
      </c>
      <c r="H77" s="348">
        <v>1.1600000000000001</v>
      </c>
      <c r="I77" s="348">
        <v>-1.6199999999999992</v>
      </c>
      <c r="J77" s="348">
        <v>-8.8000000000000078</v>
      </c>
      <c r="K77" s="350" t="s">
        <v>41</v>
      </c>
    </row>
    <row r="78" spans="1:11" x14ac:dyDescent="0.3">
      <c r="A78" s="347">
        <v>46198</v>
      </c>
      <c r="B78" s="348" t="s">
        <v>17</v>
      </c>
      <c r="C78" s="349">
        <v>46512</v>
      </c>
      <c r="D78" s="349">
        <v>46554</v>
      </c>
      <c r="E78" s="348">
        <v>2.4739</v>
      </c>
      <c r="F78" s="348">
        <v>0.28999999999999027</v>
      </c>
      <c r="G78" s="348">
        <v>29.289999999999992</v>
      </c>
      <c r="H78" s="348">
        <v>1.1715999999999998</v>
      </c>
      <c r="I78" s="348">
        <v>-1.6999999999999904</v>
      </c>
      <c r="J78" s="348">
        <v>-9.0199999999999836</v>
      </c>
      <c r="K78" s="350" t="s">
        <v>41</v>
      </c>
    </row>
    <row r="79" spans="1:11" x14ac:dyDescent="0.3">
      <c r="A79" s="347">
        <v>46198</v>
      </c>
      <c r="B79" s="348" t="s">
        <v>28</v>
      </c>
      <c r="C79" s="349"/>
      <c r="D79" s="349"/>
      <c r="E79" s="348">
        <v>2.4660000000000002</v>
      </c>
      <c r="F79" s="348">
        <v>-0.78999999999997961</v>
      </c>
      <c r="G79" s="348">
        <v>28.500000000000014</v>
      </c>
      <c r="H79" s="348">
        <v>1.1400000000000006</v>
      </c>
      <c r="I79" s="348">
        <v>-2.0000000000000018</v>
      </c>
      <c r="J79" s="348">
        <v>-8.9999999999999858</v>
      </c>
      <c r="K79" s="350">
        <v>246.60000000000002</v>
      </c>
    </row>
    <row r="80" spans="1:11" x14ac:dyDescent="0.3">
      <c r="A80" s="347">
        <v>46198</v>
      </c>
      <c r="B80" s="348"/>
      <c r="C80" s="349"/>
      <c r="D80" s="349"/>
      <c r="E80" s="348"/>
      <c r="F80" s="348"/>
      <c r="G80" s="348"/>
      <c r="H80" s="348"/>
      <c r="I80" s="348">
        <v>-248.60000000000002</v>
      </c>
      <c r="J80" s="348">
        <v>-255.6</v>
      </c>
      <c r="K80" s="350">
        <v>0</v>
      </c>
    </row>
    <row r="81" spans="1:11" x14ac:dyDescent="0.3">
      <c r="A81" s="347">
        <v>46198</v>
      </c>
      <c r="B81" s="348"/>
      <c r="C81" s="349"/>
      <c r="D81" s="349"/>
      <c r="E81" s="348"/>
      <c r="F81" s="348"/>
      <c r="G81" s="348"/>
      <c r="H81" s="348"/>
      <c r="I81" s="348">
        <v>-248.60000000000002</v>
      </c>
      <c r="J81" s="348">
        <v>-255.6</v>
      </c>
      <c r="K81" s="350">
        <v>0</v>
      </c>
    </row>
    <row r="82" spans="1:11" x14ac:dyDescent="0.3">
      <c r="A82" s="347">
        <v>46198</v>
      </c>
      <c r="B82" s="348"/>
      <c r="C82" s="349"/>
      <c r="D82" s="349"/>
      <c r="E82" s="348"/>
      <c r="F82" s="348"/>
      <c r="G82" s="348"/>
      <c r="H82" s="348"/>
      <c r="I82" s="348">
        <v>-248.60000000000002</v>
      </c>
      <c r="J82" s="348">
        <v>-255.6</v>
      </c>
      <c r="K82" s="350">
        <v>0</v>
      </c>
    </row>
    <row r="83" spans="1:11" x14ac:dyDescent="0.3">
      <c r="A83" s="347">
        <v>46198</v>
      </c>
      <c r="B83" s="348"/>
      <c r="C83" s="349"/>
      <c r="D83" s="349"/>
      <c r="E83" s="348"/>
      <c r="F83" s="348"/>
      <c r="G83" s="348"/>
      <c r="H83" s="348"/>
      <c r="I83" s="348">
        <v>-248.60000000000002</v>
      </c>
      <c r="J83" s="348">
        <v>-255.6</v>
      </c>
      <c r="K83" s="350">
        <v>0</v>
      </c>
    </row>
    <row r="84" spans="1:11" x14ac:dyDescent="0.3">
      <c r="A84" s="347">
        <v>46199</v>
      </c>
      <c r="B84" s="348" t="s">
        <v>19</v>
      </c>
      <c r="C84" s="349" t="s">
        <v>94</v>
      </c>
      <c r="D84" s="349" t="s">
        <v>97</v>
      </c>
      <c r="E84" s="348">
        <v>2.2000000000000002</v>
      </c>
      <c r="F84" s="348">
        <v>1.7000000000000348</v>
      </c>
      <c r="G84" s="348">
        <v>1.7000000000000348</v>
      </c>
      <c r="H84" s="348">
        <v>6.8000000000001393E-2</v>
      </c>
      <c r="I84" s="348">
        <v>-9.9999999999988987E-2</v>
      </c>
      <c r="J84" s="348">
        <v>-3.0499999999999972</v>
      </c>
      <c r="K84" s="350">
        <v>-3.6000000000000032</v>
      </c>
    </row>
    <row r="85" spans="1:11" x14ac:dyDescent="0.3">
      <c r="A85" s="347">
        <v>46199</v>
      </c>
      <c r="B85" s="348" t="s">
        <v>10</v>
      </c>
      <c r="C85" s="349" t="s">
        <v>97</v>
      </c>
      <c r="D85" s="349" t="s">
        <v>99</v>
      </c>
      <c r="E85" s="348">
        <v>2.3464999999999998</v>
      </c>
      <c r="F85" s="348">
        <v>14.649999999999963</v>
      </c>
      <c r="G85" s="348">
        <v>16.349999999999998</v>
      </c>
      <c r="H85" s="348">
        <v>0.65399999999999991</v>
      </c>
      <c r="I85" s="348">
        <v>-0.66000000000001613</v>
      </c>
      <c r="J85" s="348">
        <v>-6.1100000000000154</v>
      </c>
      <c r="K85" s="350">
        <v>-5.5500000000000327</v>
      </c>
    </row>
    <row r="86" spans="1:11" x14ac:dyDescent="0.3">
      <c r="A86" s="347">
        <v>46199</v>
      </c>
      <c r="B86" s="348" t="s">
        <v>12</v>
      </c>
      <c r="C86" s="349" t="s">
        <v>99</v>
      </c>
      <c r="D86" s="349" t="s">
        <v>103</v>
      </c>
      <c r="E86" s="348">
        <v>2.3727</v>
      </c>
      <c r="F86" s="348">
        <v>2.6200000000000223</v>
      </c>
      <c r="G86" s="348">
        <v>18.97000000000002</v>
      </c>
      <c r="H86" s="348">
        <v>0.75880000000000081</v>
      </c>
      <c r="I86" s="348">
        <v>-1.0299999999999976</v>
      </c>
      <c r="J86" s="348">
        <v>-9.2299999999999827</v>
      </c>
      <c r="K86" s="350">
        <v>-9.0300000000000047</v>
      </c>
    </row>
    <row r="87" spans="1:11" x14ac:dyDescent="0.3">
      <c r="A87" s="347">
        <v>46199</v>
      </c>
      <c r="B87" s="348" t="s">
        <v>13</v>
      </c>
      <c r="C87" s="349" t="s">
        <v>103</v>
      </c>
      <c r="D87" s="349">
        <v>46428</v>
      </c>
      <c r="E87" s="348">
        <v>2.423</v>
      </c>
      <c r="F87" s="348">
        <v>5.0300000000000011</v>
      </c>
      <c r="G87" s="348">
        <v>24.000000000000021</v>
      </c>
      <c r="H87" s="348">
        <v>0.96000000000000085</v>
      </c>
      <c r="I87" s="348">
        <v>-2.1199999999999886</v>
      </c>
      <c r="J87" s="348">
        <v>-13.200000000000012</v>
      </c>
      <c r="K87" s="350" t="s">
        <v>41</v>
      </c>
    </row>
    <row r="88" spans="1:11" x14ac:dyDescent="0.3">
      <c r="A88" s="347">
        <v>46199</v>
      </c>
      <c r="B88" s="348" t="s">
        <v>14</v>
      </c>
      <c r="C88" s="349">
        <v>46428</v>
      </c>
      <c r="D88" s="349">
        <v>46470</v>
      </c>
      <c r="E88" s="348">
        <v>2.4331999999999998</v>
      </c>
      <c r="F88" s="348">
        <v>1.0199999999999765</v>
      </c>
      <c r="G88" s="348">
        <v>25.019999999999996</v>
      </c>
      <c r="H88" s="348">
        <v>1.0007999999999999</v>
      </c>
      <c r="I88" s="348">
        <v>-2.3800000000000043</v>
      </c>
      <c r="J88" s="348">
        <v>-14.680000000000026</v>
      </c>
      <c r="K88" s="350" t="s">
        <v>41</v>
      </c>
    </row>
    <row r="89" spans="1:11" x14ac:dyDescent="0.3">
      <c r="A89" s="347">
        <v>46199</v>
      </c>
      <c r="B89" s="348" t="s">
        <v>15</v>
      </c>
      <c r="C89" s="349">
        <v>46470</v>
      </c>
      <c r="D89" s="349">
        <v>46512</v>
      </c>
      <c r="E89" s="348">
        <v>2.4437000000000002</v>
      </c>
      <c r="F89" s="348">
        <v>1.0500000000000398</v>
      </c>
      <c r="G89" s="348">
        <v>26.070000000000036</v>
      </c>
      <c r="H89" s="348">
        <v>1.0428000000000015</v>
      </c>
      <c r="I89" s="348">
        <v>-2.729999999999988</v>
      </c>
      <c r="J89" s="348">
        <v>-16.109999999999978</v>
      </c>
      <c r="K89" s="350" t="s">
        <v>41</v>
      </c>
    </row>
    <row r="90" spans="1:11" x14ac:dyDescent="0.3">
      <c r="A90" s="347">
        <v>46199</v>
      </c>
      <c r="B90" s="348" t="s">
        <v>17</v>
      </c>
      <c r="C90" s="349">
        <v>46512</v>
      </c>
      <c r="D90" s="349">
        <v>46554</v>
      </c>
      <c r="E90" s="348">
        <v>2.4464000000000001</v>
      </c>
      <c r="F90" s="348">
        <v>0.26999999999999247</v>
      </c>
      <c r="G90" s="348">
        <v>26.340000000000032</v>
      </c>
      <c r="H90" s="348">
        <v>1.0536000000000012</v>
      </c>
      <c r="I90" s="348">
        <v>-2.7499999999999858</v>
      </c>
      <c r="J90" s="348">
        <v>-16.480000000000004</v>
      </c>
      <c r="K90" s="350" t="s">
        <v>41</v>
      </c>
    </row>
    <row r="91" spans="1:11" x14ac:dyDescent="0.3">
      <c r="A91" s="347">
        <v>46199</v>
      </c>
      <c r="B91" s="348" t="s">
        <v>28</v>
      </c>
      <c r="C91" s="349"/>
      <c r="D91" s="349"/>
      <c r="E91" s="348">
        <v>2.4398</v>
      </c>
      <c r="F91" s="348">
        <v>-0.66000000000001613</v>
      </c>
      <c r="G91" s="348">
        <v>25.680000000000014</v>
      </c>
      <c r="H91" s="348">
        <v>1.0272000000000006</v>
      </c>
      <c r="I91" s="348">
        <v>-2.6200000000000223</v>
      </c>
      <c r="J91" s="348">
        <v>-16.920000000000002</v>
      </c>
      <c r="K91" s="350">
        <v>243.98</v>
      </c>
    </row>
    <row r="92" spans="1:11" x14ac:dyDescent="0.3">
      <c r="A92" s="347">
        <v>46199</v>
      </c>
      <c r="B92" s="348"/>
      <c r="C92" s="349"/>
      <c r="D92" s="349"/>
      <c r="E92" s="348"/>
      <c r="F92" s="348"/>
      <c r="G92" s="348"/>
      <c r="H92" s="348"/>
      <c r="I92" s="348">
        <v>-246.60000000000002</v>
      </c>
      <c r="J92" s="348">
        <v>-260.89999999999998</v>
      </c>
      <c r="K92" s="350">
        <v>0</v>
      </c>
    </row>
    <row r="93" spans="1:11" x14ac:dyDescent="0.3">
      <c r="A93" s="347">
        <v>46199</v>
      </c>
      <c r="B93" s="348"/>
      <c r="C93" s="349"/>
      <c r="D93" s="349"/>
      <c r="E93" s="348"/>
      <c r="F93" s="348"/>
      <c r="G93" s="348"/>
      <c r="H93" s="348"/>
      <c r="I93" s="348">
        <v>-246.60000000000002</v>
      </c>
      <c r="J93" s="348">
        <v>-260.89999999999998</v>
      </c>
      <c r="K93" s="350">
        <v>0</v>
      </c>
    </row>
    <row r="94" spans="1:11" x14ac:dyDescent="0.3">
      <c r="A94" s="347">
        <v>46199</v>
      </c>
      <c r="B94" s="348"/>
      <c r="C94" s="349"/>
      <c r="D94" s="349"/>
      <c r="E94" s="348"/>
      <c r="F94" s="348"/>
      <c r="G94" s="348"/>
      <c r="H94" s="348"/>
      <c r="I94" s="348">
        <v>-246.60000000000002</v>
      </c>
      <c r="J94" s="348">
        <v>-260.89999999999998</v>
      </c>
      <c r="K94" s="350">
        <v>0</v>
      </c>
    </row>
    <row r="95" spans="1:11" x14ac:dyDescent="0.3">
      <c r="A95" s="351">
        <v>46199</v>
      </c>
      <c r="B95" s="352"/>
      <c r="C95" s="353"/>
      <c r="D95" s="353"/>
      <c r="E95" s="352"/>
      <c r="F95" s="352"/>
      <c r="G95" s="352"/>
      <c r="H95" s="352"/>
      <c r="I95" s="352">
        <v>-246.60000000000002</v>
      </c>
      <c r="J95" s="352">
        <v>-260.89999999999998</v>
      </c>
      <c r="K95" s="354">
        <v>0</v>
      </c>
    </row>
    <row r="96" spans="1:11" x14ac:dyDescent="0.3">
      <c r="A96" s="9">
        <v>46202</v>
      </c>
      <c r="B96" s="10" t="s">
        <v>19</v>
      </c>
      <c r="C96" s="121" t="s">
        <v>94</v>
      </c>
      <c r="D96" s="121" t="s">
        <v>97</v>
      </c>
      <c r="E96" s="10">
        <v>2.2040999999999999</v>
      </c>
      <c r="F96" s="10">
        <v>2.3099999999999898</v>
      </c>
      <c r="G96" s="10">
        <v>2.3099999999999898</v>
      </c>
      <c r="H96" s="10">
        <v>9.2399999999999594E-2</v>
      </c>
      <c r="I96" s="10">
        <v>0.40999999999997705</v>
      </c>
      <c r="J96" s="10">
        <v>-1.089999999999991</v>
      </c>
      <c r="K96" s="11">
        <v>-2.079999999999993</v>
      </c>
    </row>
    <row r="97" spans="1:11" x14ac:dyDescent="0.3">
      <c r="A97" s="9">
        <v>46202</v>
      </c>
      <c r="B97" s="10" t="s">
        <v>10</v>
      </c>
      <c r="C97" s="121" t="s">
        <v>97</v>
      </c>
      <c r="D97" s="121" t="s">
        <v>99</v>
      </c>
      <c r="E97" s="10">
        <v>2.3620999999999999</v>
      </c>
      <c r="F97" s="10">
        <v>15.799999999999992</v>
      </c>
      <c r="G97" s="10">
        <v>18.109999999999982</v>
      </c>
      <c r="H97" s="10">
        <v>0.72439999999999927</v>
      </c>
      <c r="I97" s="10">
        <v>1.5600000000000058</v>
      </c>
      <c r="J97" s="10">
        <v>-2.1900000000000031</v>
      </c>
      <c r="K97" s="11">
        <v>0.20999999999999908</v>
      </c>
    </row>
    <row r="98" spans="1:11" x14ac:dyDescent="0.3">
      <c r="A98" s="9">
        <v>46202</v>
      </c>
      <c r="B98" s="10" t="s">
        <v>12</v>
      </c>
      <c r="C98" s="121" t="s">
        <v>99</v>
      </c>
      <c r="D98" s="121" t="s">
        <v>103</v>
      </c>
      <c r="E98" s="10">
        <v>2.3923000000000001</v>
      </c>
      <c r="F98" s="10">
        <v>3.0200000000000227</v>
      </c>
      <c r="G98" s="10">
        <v>21.130000000000003</v>
      </c>
      <c r="H98" s="10">
        <v>0.84520000000000006</v>
      </c>
      <c r="I98" s="10">
        <v>1.9600000000000062</v>
      </c>
      <c r="J98" s="10">
        <v>-3.9699999999999847</v>
      </c>
      <c r="K98" s="11">
        <v>-0.59000000000000163</v>
      </c>
    </row>
    <row r="99" spans="1:11" x14ac:dyDescent="0.3">
      <c r="A99" s="9">
        <v>46202</v>
      </c>
      <c r="B99" s="10" t="s">
        <v>13</v>
      </c>
      <c r="C99" s="121" t="s">
        <v>103</v>
      </c>
      <c r="D99" s="121">
        <v>46428</v>
      </c>
      <c r="E99" s="10">
        <v>2.4489999999999998</v>
      </c>
      <c r="F99" s="10">
        <v>5.6699999999999751</v>
      </c>
      <c r="G99" s="10">
        <v>26.799999999999979</v>
      </c>
      <c r="H99" s="10">
        <v>1.0719999999999992</v>
      </c>
      <c r="I99" s="10">
        <v>2.5999999999999801</v>
      </c>
      <c r="J99" s="10">
        <v>-6.3000000000000167</v>
      </c>
      <c r="K99" s="11" t="s">
        <v>41</v>
      </c>
    </row>
    <row r="100" spans="1:11" x14ac:dyDescent="0.3">
      <c r="A100" s="9">
        <v>46202</v>
      </c>
      <c r="B100" s="10" t="s">
        <v>14</v>
      </c>
      <c r="C100" s="121">
        <v>46428</v>
      </c>
      <c r="D100" s="121">
        <v>46470</v>
      </c>
      <c r="E100" s="10">
        <v>2.4601000000000002</v>
      </c>
      <c r="F100" s="10">
        <v>1.1100000000000332</v>
      </c>
      <c r="G100" s="10">
        <v>27.910000000000011</v>
      </c>
      <c r="H100" s="10">
        <v>1.1164000000000005</v>
      </c>
      <c r="I100" s="10">
        <v>2.6900000000000368</v>
      </c>
      <c r="J100" s="10">
        <v>-6.8899999999999739</v>
      </c>
      <c r="K100" s="11" t="s">
        <v>41</v>
      </c>
    </row>
    <row r="101" spans="1:11" x14ac:dyDescent="0.3">
      <c r="A101" s="9">
        <v>46202</v>
      </c>
      <c r="B101" s="10" t="s">
        <v>15</v>
      </c>
      <c r="C101" s="121">
        <v>46470</v>
      </c>
      <c r="D101" s="121">
        <v>46512</v>
      </c>
      <c r="E101" s="10">
        <v>2.4767999999999999</v>
      </c>
      <c r="F101" s="10">
        <v>1.6699999999999715</v>
      </c>
      <c r="G101" s="10">
        <v>29.579999999999984</v>
      </c>
      <c r="H101" s="10">
        <v>1.1831999999999994</v>
      </c>
      <c r="I101" s="10">
        <v>3.3099999999999685</v>
      </c>
      <c r="J101" s="10">
        <v>-7.9200000000000159</v>
      </c>
      <c r="K101" s="11" t="s">
        <v>41</v>
      </c>
    </row>
    <row r="102" spans="1:11" x14ac:dyDescent="0.3">
      <c r="A102" s="9">
        <v>46202</v>
      </c>
      <c r="B102" s="10" t="s">
        <v>17</v>
      </c>
      <c r="C102" s="121">
        <v>46512</v>
      </c>
      <c r="D102" s="121">
        <v>46554</v>
      </c>
      <c r="E102" s="10">
        <v>2.4771000000000001</v>
      </c>
      <c r="F102" s="10">
        <v>3.00000000000189E-2</v>
      </c>
      <c r="G102" s="10">
        <v>29.610000000000003</v>
      </c>
      <c r="H102" s="10">
        <v>1.1844000000000001</v>
      </c>
      <c r="I102" s="10">
        <v>3.069999999999995</v>
      </c>
      <c r="J102" s="10">
        <v>-8.089999999999975</v>
      </c>
      <c r="K102" s="11" t="s">
        <v>41</v>
      </c>
    </row>
    <row r="103" spans="1:11" x14ac:dyDescent="0.3">
      <c r="A103" s="9">
        <v>46202</v>
      </c>
      <c r="B103" s="10" t="s">
        <v>28</v>
      </c>
      <c r="C103" s="121"/>
      <c r="D103" s="121"/>
      <c r="E103" s="10">
        <v>2.4693000000000001</v>
      </c>
      <c r="F103" s="10">
        <v>-0.78000000000000291</v>
      </c>
      <c r="G103" s="10">
        <v>28.83</v>
      </c>
      <c r="H103" s="10">
        <v>1.1532</v>
      </c>
      <c r="I103" s="10">
        <v>2.9500000000000082</v>
      </c>
      <c r="J103" s="10">
        <v>-5.8699999999999974</v>
      </c>
      <c r="K103" s="11">
        <v>246.93</v>
      </c>
    </row>
    <row r="104" spans="1:11" x14ac:dyDescent="0.3">
      <c r="A104" s="9">
        <v>46202</v>
      </c>
      <c r="B104" s="10"/>
      <c r="C104" s="121"/>
      <c r="D104" s="121"/>
      <c r="E104" s="10"/>
      <c r="F104" s="10"/>
      <c r="G104" s="10"/>
      <c r="H104" s="10"/>
      <c r="I104" s="10">
        <v>-243.98</v>
      </c>
      <c r="J104" s="10">
        <v>-252.8</v>
      </c>
      <c r="K104" s="11">
        <v>0</v>
      </c>
    </row>
    <row r="105" spans="1:11" x14ac:dyDescent="0.3">
      <c r="A105" s="9">
        <v>46202</v>
      </c>
      <c r="B105" s="10"/>
      <c r="C105" s="121"/>
      <c r="D105" s="121"/>
      <c r="E105" s="10"/>
      <c r="F105" s="10"/>
      <c r="G105" s="10"/>
      <c r="H105" s="10"/>
      <c r="I105" s="10">
        <v>-243.98</v>
      </c>
      <c r="J105" s="10">
        <v>-252.8</v>
      </c>
      <c r="K105" s="11">
        <v>0</v>
      </c>
    </row>
    <row r="106" spans="1:11" x14ac:dyDescent="0.3">
      <c r="A106" s="9">
        <v>46202</v>
      </c>
      <c r="B106" s="10"/>
      <c r="C106" s="121"/>
      <c r="D106" s="121"/>
      <c r="E106" s="10"/>
      <c r="F106" s="10"/>
      <c r="G106" s="10"/>
      <c r="H106" s="10"/>
      <c r="I106" s="10">
        <v>-243.98</v>
      </c>
      <c r="J106" s="10">
        <v>-252.8</v>
      </c>
      <c r="K106" s="11">
        <v>0</v>
      </c>
    </row>
    <row r="107" spans="1:11" x14ac:dyDescent="0.3">
      <c r="A107" s="9">
        <v>46202</v>
      </c>
      <c r="B107" s="10"/>
      <c r="C107" s="121"/>
      <c r="D107" s="121"/>
      <c r="E107" s="10"/>
      <c r="F107" s="10"/>
      <c r="G107" s="10"/>
      <c r="H107" s="10"/>
      <c r="I107" s="10">
        <v>-243.98</v>
      </c>
      <c r="J107" s="10">
        <v>-252.8</v>
      </c>
      <c r="K107" s="11">
        <v>0</v>
      </c>
    </row>
    <row r="108" spans="1:11" x14ac:dyDescent="0.3">
      <c r="A108" s="9">
        <v>46203</v>
      </c>
      <c r="B108" s="10" t="s">
        <v>19</v>
      </c>
      <c r="C108" s="121" t="s">
        <v>94</v>
      </c>
      <c r="D108" s="121" t="s">
        <v>97</v>
      </c>
      <c r="E108" s="10">
        <v>2.2021999999999999</v>
      </c>
      <c r="F108" s="10">
        <v>2.0199999999999996</v>
      </c>
      <c r="G108" s="10">
        <v>2.0199999999999996</v>
      </c>
      <c r="H108" s="10">
        <v>8.0799999999999983E-2</v>
      </c>
      <c r="I108" s="10">
        <v>-0.19000000000000128</v>
      </c>
      <c r="J108" s="10">
        <v>-0.78000000000000291</v>
      </c>
      <c r="K108" s="11">
        <v>-3.9800000000000058</v>
      </c>
    </row>
    <row r="109" spans="1:11" x14ac:dyDescent="0.3">
      <c r="A109" s="9">
        <v>46203</v>
      </c>
      <c r="B109" s="10" t="s">
        <v>10</v>
      </c>
      <c r="C109" s="121" t="s">
        <v>97</v>
      </c>
      <c r="D109" s="121" t="s">
        <v>99</v>
      </c>
      <c r="E109" s="10">
        <v>2.3561999999999999</v>
      </c>
      <c r="F109" s="10">
        <v>15.399999999999991</v>
      </c>
      <c r="G109" s="10">
        <v>17.419999999999991</v>
      </c>
      <c r="H109" s="10">
        <v>0.69679999999999964</v>
      </c>
      <c r="I109" s="10">
        <v>-0.59000000000000163</v>
      </c>
      <c r="J109" s="10">
        <v>-1.7900000000000027</v>
      </c>
      <c r="K109" s="11">
        <v>-4.4799999999999951</v>
      </c>
    </row>
    <row r="110" spans="1:11" x14ac:dyDescent="0.3">
      <c r="A110" s="9">
        <v>46203</v>
      </c>
      <c r="B110" s="10" t="s">
        <v>12</v>
      </c>
      <c r="C110" s="121" t="s">
        <v>99</v>
      </c>
      <c r="D110" s="121" t="s">
        <v>103</v>
      </c>
      <c r="E110" s="10">
        <v>2.3833000000000002</v>
      </c>
      <c r="F110" s="10">
        <v>2.7100000000000346</v>
      </c>
      <c r="G110" s="10">
        <v>20.130000000000024</v>
      </c>
      <c r="H110" s="10">
        <v>0.80520000000000092</v>
      </c>
      <c r="I110" s="10">
        <v>-0.8999999999999897</v>
      </c>
      <c r="J110" s="10">
        <v>-3.379999999999983</v>
      </c>
      <c r="K110" s="11">
        <v>-7.2999999999999954</v>
      </c>
    </row>
    <row r="111" spans="1:11" x14ac:dyDescent="0.3">
      <c r="A111" s="9">
        <v>46203</v>
      </c>
      <c r="B111" s="10" t="s">
        <v>13</v>
      </c>
      <c r="C111" s="121" t="s">
        <v>103</v>
      </c>
      <c r="D111" s="121">
        <v>46428</v>
      </c>
      <c r="E111" s="10">
        <v>2.4338000000000002</v>
      </c>
      <c r="F111" s="10">
        <v>5.0499999999999989</v>
      </c>
      <c r="G111" s="10">
        <v>25.180000000000025</v>
      </c>
      <c r="H111" s="10">
        <v>1.007200000000001</v>
      </c>
      <c r="I111" s="10">
        <v>-1.5199999999999658</v>
      </c>
      <c r="J111" s="10">
        <v>-5.5199999999999694</v>
      </c>
      <c r="K111" s="11" t="s">
        <v>41</v>
      </c>
    </row>
    <row r="112" spans="1:11" x14ac:dyDescent="0.3">
      <c r="A112" s="9">
        <v>46203</v>
      </c>
      <c r="B112" s="10" t="s">
        <v>14</v>
      </c>
      <c r="C112" s="121">
        <v>46428</v>
      </c>
      <c r="D112" s="121">
        <v>46470</v>
      </c>
      <c r="E112" s="10">
        <v>2.4441999999999999</v>
      </c>
      <c r="F112" s="10">
        <v>1.0399999999999743</v>
      </c>
      <c r="G112" s="10">
        <v>26.22</v>
      </c>
      <c r="H112" s="10">
        <v>1.0488</v>
      </c>
      <c r="I112" s="10">
        <v>-1.5900000000000247</v>
      </c>
      <c r="J112" s="10">
        <v>-6.1199999999999921</v>
      </c>
      <c r="K112" s="11" t="s">
        <v>41</v>
      </c>
    </row>
    <row r="113" spans="1:11" x14ac:dyDescent="0.3">
      <c r="A113" s="9">
        <v>46203</v>
      </c>
      <c r="B113" s="10" t="s">
        <v>15</v>
      </c>
      <c r="C113" s="121">
        <v>46470</v>
      </c>
      <c r="D113" s="121">
        <v>46512</v>
      </c>
      <c r="E113" s="10">
        <v>2.4649000000000001</v>
      </c>
      <c r="F113" s="10">
        <v>2.0700000000000163</v>
      </c>
      <c r="G113" s="10">
        <v>28.290000000000013</v>
      </c>
      <c r="H113" s="10">
        <v>1.1316000000000006</v>
      </c>
      <c r="I113" s="10">
        <v>-1.18999999999998</v>
      </c>
      <c r="J113" s="10">
        <v>-6.109999999999971</v>
      </c>
      <c r="K113" s="11" t="s">
        <v>41</v>
      </c>
    </row>
    <row r="114" spans="1:11" x14ac:dyDescent="0.3">
      <c r="A114" s="9">
        <v>46203</v>
      </c>
      <c r="B114" s="10" t="s">
        <v>17</v>
      </c>
      <c r="C114" s="121">
        <v>46512</v>
      </c>
      <c r="D114" s="121">
        <v>46554</v>
      </c>
      <c r="E114" s="10">
        <v>2.468</v>
      </c>
      <c r="F114" s="10">
        <v>0.30999999999998806</v>
      </c>
      <c r="G114" s="10">
        <v>28.6</v>
      </c>
      <c r="H114" s="10">
        <v>1.1440000000000001</v>
      </c>
      <c r="I114" s="10">
        <v>-0.9100000000000108</v>
      </c>
      <c r="J114" s="10">
        <v>-6.0999999999999943</v>
      </c>
      <c r="K114" s="11" t="s">
        <v>41</v>
      </c>
    </row>
    <row r="115" spans="1:11" x14ac:dyDescent="0.3">
      <c r="A115" s="9">
        <v>46203</v>
      </c>
      <c r="B115" s="10" t="s">
        <v>28</v>
      </c>
      <c r="C115" s="121"/>
      <c r="D115" s="121"/>
      <c r="E115" s="10">
        <v>2.4630000000000001</v>
      </c>
      <c r="F115" s="10">
        <v>-0.49999999999998934</v>
      </c>
      <c r="G115" s="10">
        <v>28.100000000000016</v>
      </c>
      <c r="H115" s="10">
        <v>1.1240000000000006</v>
      </c>
      <c r="I115" s="10">
        <v>-0.62999999999999723</v>
      </c>
      <c r="J115" s="10">
        <v>-5.6599999999999984</v>
      </c>
      <c r="K115" s="11">
        <v>246.3</v>
      </c>
    </row>
    <row r="116" spans="1:11" x14ac:dyDescent="0.3">
      <c r="A116" s="9">
        <v>46203</v>
      </c>
      <c r="B116" s="10"/>
      <c r="C116" s="121"/>
      <c r="D116" s="121"/>
      <c r="E116" s="10"/>
      <c r="F116" s="10"/>
      <c r="G116" s="10"/>
      <c r="H116" s="10"/>
      <c r="I116" s="10">
        <v>-246.93</v>
      </c>
      <c r="J116" s="10">
        <v>-251.96</v>
      </c>
      <c r="K116" s="11">
        <v>0</v>
      </c>
    </row>
    <row r="117" spans="1:11" x14ac:dyDescent="0.3">
      <c r="A117" s="9">
        <v>46203</v>
      </c>
      <c r="B117" s="10"/>
      <c r="C117" s="121"/>
      <c r="D117" s="121"/>
      <c r="E117" s="10"/>
      <c r="F117" s="10"/>
      <c r="G117" s="10"/>
      <c r="H117" s="10"/>
      <c r="I117" s="10">
        <v>-246.93</v>
      </c>
      <c r="J117" s="10">
        <v>-251.96</v>
      </c>
      <c r="K117" s="11">
        <v>0</v>
      </c>
    </row>
    <row r="118" spans="1:11" x14ac:dyDescent="0.3">
      <c r="A118" s="9">
        <v>46203</v>
      </c>
      <c r="B118" s="10"/>
      <c r="C118" s="121"/>
      <c r="D118" s="121"/>
      <c r="E118" s="10"/>
      <c r="F118" s="10"/>
      <c r="G118" s="10"/>
      <c r="H118" s="10"/>
      <c r="I118" s="10">
        <v>-246.93</v>
      </c>
      <c r="J118" s="10">
        <v>-251.96</v>
      </c>
      <c r="K118" s="11">
        <v>0</v>
      </c>
    </row>
    <row r="119" spans="1:11" x14ac:dyDescent="0.3">
      <c r="A119" s="9">
        <v>46203</v>
      </c>
      <c r="B119" s="10"/>
      <c r="C119" s="121"/>
      <c r="D119" s="121"/>
      <c r="E119" s="10"/>
      <c r="F119" s="10"/>
      <c r="G119" s="10"/>
      <c r="H119" s="10"/>
      <c r="I119" s="10">
        <v>-246.93</v>
      </c>
      <c r="J119" s="10">
        <v>-251.96</v>
      </c>
      <c r="K119" s="11">
        <v>0</v>
      </c>
    </row>
    <row r="120" spans="1:11" x14ac:dyDescent="0.3">
      <c r="A120" s="9">
        <v>46204</v>
      </c>
      <c r="B120" s="10" t="s">
        <v>19</v>
      </c>
      <c r="C120" s="121" t="s">
        <v>94</v>
      </c>
      <c r="D120" s="121" t="s">
        <v>97</v>
      </c>
      <c r="E120" s="10">
        <v>2.2000000000000002</v>
      </c>
      <c r="F120" s="10">
        <v>1.8000000000000238</v>
      </c>
      <c r="G120" s="10">
        <v>1.8000000000000238</v>
      </c>
      <c r="H120" s="10">
        <v>7.2000000000000952E-2</v>
      </c>
      <c r="I120" s="10">
        <v>-0.21999999999997577</v>
      </c>
      <c r="J120" s="10">
        <v>-0.40000000000000036</v>
      </c>
      <c r="K120" s="11">
        <v>-5.2099999999999813</v>
      </c>
    </row>
    <row r="121" spans="1:11" x14ac:dyDescent="0.3">
      <c r="A121" s="9">
        <v>46204</v>
      </c>
      <c r="B121" s="10" t="s">
        <v>10</v>
      </c>
      <c r="C121" s="121" t="s">
        <v>97</v>
      </c>
      <c r="D121" s="121" t="s">
        <v>99</v>
      </c>
      <c r="E121" s="10">
        <v>2.3355999999999999</v>
      </c>
      <c r="F121" s="10">
        <v>13.559999999999972</v>
      </c>
      <c r="G121" s="10">
        <v>15.359999999999996</v>
      </c>
      <c r="H121" s="10">
        <v>0.61439999999999984</v>
      </c>
      <c r="I121" s="10">
        <v>-2.0599999999999952</v>
      </c>
      <c r="J121" s="10">
        <v>-1.9700000000000273</v>
      </c>
      <c r="K121" s="11">
        <v>-9.2400000000000038</v>
      </c>
    </row>
    <row r="122" spans="1:11" x14ac:dyDescent="0.3">
      <c r="A122" s="9">
        <v>46204</v>
      </c>
      <c r="B122" s="10" t="s">
        <v>12</v>
      </c>
      <c r="C122" s="121" t="s">
        <v>99</v>
      </c>
      <c r="D122" s="121" t="s">
        <v>103</v>
      </c>
      <c r="E122" s="10">
        <v>2.3561999999999999</v>
      </c>
      <c r="F122" s="10">
        <v>2.0599999999999952</v>
      </c>
      <c r="G122" s="10">
        <v>17.419999999999991</v>
      </c>
      <c r="H122" s="10">
        <v>0.69679999999999964</v>
      </c>
      <c r="I122" s="10">
        <v>-2.7100000000000346</v>
      </c>
      <c r="J122" s="10">
        <v>-3.4299999999999997</v>
      </c>
      <c r="K122" s="11">
        <v>-13.690000000000024</v>
      </c>
    </row>
    <row r="123" spans="1:11" x14ac:dyDescent="0.3">
      <c r="A123" s="9">
        <v>46204</v>
      </c>
      <c r="B123" s="10" t="s">
        <v>13</v>
      </c>
      <c r="C123" s="121" t="s">
        <v>103</v>
      </c>
      <c r="D123" s="121">
        <v>46428</v>
      </c>
      <c r="E123" s="10">
        <v>2.3940000000000001</v>
      </c>
      <c r="F123" s="10">
        <v>3.7800000000000278</v>
      </c>
      <c r="G123" s="10">
        <v>21.200000000000017</v>
      </c>
      <c r="H123" s="10">
        <v>0.84800000000000064</v>
      </c>
      <c r="I123" s="10">
        <v>-3.9800000000000058</v>
      </c>
      <c r="J123" s="10">
        <v>-6.0999999999999943</v>
      </c>
      <c r="K123" s="11" t="s">
        <v>41</v>
      </c>
    </row>
    <row r="124" spans="1:11" x14ac:dyDescent="0.3">
      <c r="A124" s="9">
        <v>46204</v>
      </c>
      <c r="B124" s="10" t="s">
        <v>14</v>
      </c>
      <c r="C124" s="121">
        <v>46428</v>
      </c>
      <c r="D124" s="121">
        <v>46470</v>
      </c>
      <c r="E124" s="10">
        <v>2.399</v>
      </c>
      <c r="F124" s="10">
        <v>0.49999999999998934</v>
      </c>
      <c r="G124" s="10">
        <v>21.70000000000001</v>
      </c>
      <c r="H124" s="10">
        <v>0.86800000000000044</v>
      </c>
      <c r="I124" s="10">
        <v>-4.5199999999999907</v>
      </c>
      <c r="J124" s="10">
        <v>-7.0199999999999818</v>
      </c>
      <c r="K124" s="11" t="s">
        <v>41</v>
      </c>
    </row>
    <row r="125" spans="1:11" x14ac:dyDescent="0.3">
      <c r="A125" s="9">
        <v>46204</v>
      </c>
      <c r="B125" s="10" t="s">
        <v>15</v>
      </c>
      <c r="C125" s="121">
        <v>46470</v>
      </c>
      <c r="D125" s="121">
        <v>46512</v>
      </c>
      <c r="E125" s="10">
        <v>2.4209999999999998</v>
      </c>
      <c r="F125" s="10">
        <v>2.1999999999999797</v>
      </c>
      <c r="G125" s="10">
        <v>23.899999999999988</v>
      </c>
      <c r="H125" s="10">
        <v>0.95599999999999952</v>
      </c>
      <c r="I125" s="10">
        <v>-4.3900000000000272</v>
      </c>
      <c r="J125" s="10">
        <v>-6.6200000000000259</v>
      </c>
      <c r="K125" s="11" t="s">
        <v>41</v>
      </c>
    </row>
    <row r="126" spans="1:11" x14ac:dyDescent="0.3">
      <c r="A126" s="9">
        <v>46204</v>
      </c>
      <c r="B126" s="10" t="s">
        <v>17</v>
      </c>
      <c r="C126" s="121">
        <v>46512</v>
      </c>
      <c r="D126" s="121">
        <v>46554</v>
      </c>
      <c r="E126" s="10">
        <v>2.4245999999999999</v>
      </c>
      <c r="F126" s="10">
        <v>0.36000000000000476</v>
      </c>
      <c r="G126" s="10">
        <v>24.259999999999991</v>
      </c>
      <c r="H126" s="10">
        <v>0.9703999999999996</v>
      </c>
      <c r="I126" s="10">
        <v>-4.3400000000000105</v>
      </c>
      <c r="J126" s="10">
        <v>-6.6300000000000026</v>
      </c>
      <c r="K126" s="11" t="s">
        <v>41</v>
      </c>
    </row>
    <row r="127" spans="1:11" x14ac:dyDescent="0.3">
      <c r="A127" s="9">
        <v>46204</v>
      </c>
      <c r="B127" s="10" t="s">
        <v>28</v>
      </c>
      <c r="C127" s="121"/>
      <c r="D127" s="121"/>
      <c r="E127" s="10">
        <v>2.4249999999999998</v>
      </c>
      <c r="F127" s="10">
        <v>3.9999999999995595E-2</v>
      </c>
      <c r="G127" s="10">
        <v>24.29999999999999</v>
      </c>
      <c r="H127" s="10">
        <v>0.97199999999999964</v>
      </c>
      <c r="I127" s="10">
        <v>-3.8000000000000256</v>
      </c>
      <c r="J127" s="10">
        <v>-6.1000000000000387</v>
      </c>
      <c r="K127" s="11">
        <v>242.49999999999997</v>
      </c>
    </row>
    <row r="128" spans="1:11" x14ac:dyDescent="0.3">
      <c r="A128" s="9">
        <v>46204</v>
      </c>
      <c r="B128" s="10"/>
      <c r="C128" s="121"/>
      <c r="D128" s="121"/>
      <c r="E128" s="10"/>
      <c r="F128" s="10"/>
      <c r="G128" s="10"/>
      <c r="H128" s="10"/>
      <c r="I128" s="10">
        <v>-246.3</v>
      </c>
      <c r="J128" s="10">
        <v>-248.60000000000002</v>
      </c>
      <c r="K128" s="11">
        <v>0</v>
      </c>
    </row>
    <row r="129" spans="1:11" x14ac:dyDescent="0.3">
      <c r="A129" s="9">
        <v>46204</v>
      </c>
      <c r="B129" s="10"/>
      <c r="C129" s="121"/>
      <c r="D129" s="121"/>
      <c r="E129" s="10"/>
      <c r="F129" s="10"/>
      <c r="G129" s="10"/>
      <c r="H129" s="10"/>
      <c r="I129" s="10">
        <v>-246.3</v>
      </c>
      <c r="J129" s="10">
        <v>-248.60000000000002</v>
      </c>
      <c r="K129" s="11">
        <v>0</v>
      </c>
    </row>
    <row r="130" spans="1:11" x14ac:dyDescent="0.3">
      <c r="A130" s="9">
        <v>46204</v>
      </c>
      <c r="B130" s="10"/>
      <c r="C130" s="121"/>
      <c r="D130" s="121"/>
      <c r="E130" s="10"/>
      <c r="F130" s="10"/>
      <c r="G130" s="10"/>
      <c r="H130" s="10"/>
      <c r="I130" s="10">
        <v>-246.3</v>
      </c>
      <c r="J130" s="10">
        <v>-248.60000000000002</v>
      </c>
      <c r="K130" s="11">
        <v>0</v>
      </c>
    </row>
    <row r="131" spans="1:11" x14ac:dyDescent="0.3">
      <c r="A131" s="9">
        <v>46204</v>
      </c>
      <c r="B131" s="10"/>
      <c r="C131" s="121"/>
      <c r="D131" s="121"/>
      <c r="E131" s="10"/>
      <c r="F131" s="10"/>
      <c r="G131" s="10"/>
      <c r="H131" s="10"/>
      <c r="I131" s="10">
        <v>-246.3</v>
      </c>
      <c r="J131" s="10">
        <v>-248.60000000000002</v>
      </c>
      <c r="K131" s="11">
        <v>0</v>
      </c>
    </row>
    <row r="132" spans="1:11" x14ac:dyDescent="0.3">
      <c r="A132" s="9">
        <v>46205</v>
      </c>
      <c r="B132" s="10" t="s">
        <v>19</v>
      </c>
      <c r="C132" s="121" t="s">
        <v>94</v>
      </c>
      <c r="D132" s="121" t="s">
        <v>97</v>
      </c>
      <c r="E132" s="10">
        <v>2.1960000000000002</v>
      </c>
      <c r="F132" s="10">
        <v>1.3000000000000345</v>
      </c>
      <c r="G132" s="10">
        <v>1.3000000000000345</v>
      </c>
      <c r="H132" s="10">
        <v>5.2000000000001378E-2</v>
      </c>
      <c r="I132" s="10">
        <v>-0.40000000000000036</v>
      </c>
      <c r="J132" s="10">
        <v>-0.49999999999998934</v>
      </c>
      <c r="K132" s="11">
        <v>-5.7799999999999851</v>
      </c>
    </row>
    <row r="133" spans="1:11" x14ac:dyDescent="0.3">
      <c r="A133" s="9">
        <v>46205</v>
      </c>
      <c r="B133" s="10" t="s">
        <v>10</v>
      </c>
      <c r="C133" s="121" t="s">
        <v>97</v>
      </c>
      <c r="D133" s="121" t="s">
        <v>99</v>
      </c>
      <c r="E133" s="10">
        <v>2.3067000000000002</v>
      </c>
      <c r="F133" s="10">
        <v>11.070000000000002</v>
      </c>
      <c r="G133" s="10">
        <v>12.370000000000037</v>
      </c>
      <c r="H133" s="10">
        <v>0.49480000000000146</v>
      </c>
      <c r="I133" s="10">
        <v>-2.8899999999999704</v>
      </c>
      <c r="J133" s="10">
        <v>-4.6399999999999775</v>
      </c>
      <c r="K133" s="11">
        <v>-12.089999999999979</v>
      </c>
    </row>
    <row r="134" spans="1:11" x14ac:dyDescent="0.3">
      <c r="A134" s="9">
        <v>46205</v>
      </c>
      <c r="B134" s="10" t="s">
        <v>12</v>
      </c>
      <c r="C134" s="121" t="s">
        <v>99</v>
      </c>
      <c r="D134" s="121" t="s">
        <v>103</v>
      </c>
      <c r="E134" s="10">
        <v>2.3264999999999998</v>
      </c>
      <c r="F134" s="10">
        <v>1.9799999999999596</v>
      </c>
      <c r="G134" s="10">
        <v>14.349999999999996</v>
      </c>
      <c r="H134" s="10">
        <v>0.57399999999999984</v>
      </c>
      <c r="I134" s="10">
        <v>-2.970000000000006</v>
      </c>
      <c r="J134" s="10">
        <v>-5.6500000000000217</v>
      </c>
      <c r="K134" s="11">
        <v>-16.350000000000044</v>
      </c>
    </row>
    <row r="135" spans="1:11" x14ac:dyDescent="0.3">
      <c r="A135" s="9">
        <v>46205</v>
      </c>
      <c r="B135" s="10" t="s">
        <v>13</v>
      </c>
      <c r="C135" s="121" t="s">
        <v>103</v>
      </c>
      <c r="D135" s="121">
        <v>46428</v>
      </c>
      <c r="E135" s="10">
        <v>2.3618999999999999</v>
      </c>
      <c r="F135" s="10">
        <v>3.5400000000000098</v>
      </c>
      <c r="G135" s="10">
        <v>17.890000000000008</v>
      </c>
      <c r="H135" s="10">
        <v>0.71560000000000035</v>
      </c>
      <c r="I135" s="10">
        <v>-3.2100000000000239</v>
      </c>
      <c r="J135" s="10">
        <v>-8.230000000000004</v>
      </c>
      <c r="K135" s="11" t="s">
        <v>41</v>
      </c>
    </row>
    <row r="136" spans="1:11" x14ac:dyDescent="0.3">
      <c r="A136" s="9">
        <v>46205</v>
      </c>
      <c r="B136" s="10" t="s">
        <v>14</v>
      </c>
      <c r="C136" s="121">
        <v>46428</v>
      </c>
      <c r="D136" s="121">
        <v>46470</v>
      </c>
      <c r="E136" s="10">
        <v>2.3689</v>
      </c>
      <c r="F136" s="10">
        <v>0.70000000000001172</v>
      </c>
      <c r="G136" s="10">
        <v>18.590000000000018</v>
      </c>
      <c r="H136" s="10">
        <v>0.7436000000000007</v>
      </c>
      <c r="I136" s="10">
        <v>-3.0100000000000016</v>
      </c>
      <c r="J136" s="10">
        <v>-8.8099999999999845</v>
      </c>
      <c r="K136" s="11" t="s">
        <v>41</v>
      </c>
    </row>
    <row r="137" spans="1:11" x14ac:dyDescent="0.3">
      <c r="A137" s="9">
        <v>46205</v>
      </c>
      <c r="B137" s="10" t="s">
        <v>15</v>
      </c>
      <c r="C137" s="121">
        <v>46470</v>
      </c>
      <c r="D137" s="121">
        <v>46512</v>
      </c>
      <c r="E137" s="10">
        <v>2.39</v>
      </c>
      <c r="F137" s="10">
        <v>2.1100000000000119</v>
      </c>
      <c r="G137" s="10">
        <v>20.700000000000031</v>
      </c>
      <c r="H137" s="10">
        <v>0.82800000000000129</v>
      </c>
      <c r="I137" s="10">
        <v>-3.0999999999999694</v>
      </c>
      <c r="J137" s="10">
        <v>-8.0999999999999961</v>
      </c>
      <c r="K137" s="11" t="s">
        <v>41</v>
      </c>
    </row>
    <row r="138" spans="1:11" x14ac:dyDescent="0.3">
      <c r="A138" s="9">
        <v>46205</v>
      </c>
      <c r="B138" s="10" t="s">
        <v>17</v>
      </c>
      <c r="C138" s="121">
        <v>46512</v>
      </c>
      <c r="D138" s="121">
        <v>46554</v>
      </c>
      <c r="E138" s="10">
        <v>2.395</v>
      </c>
      <c r="F138" s="10">
        <v>0.49999999999998934</v>
      </c>
      <c r="G138" s="10">
        <v>21.200000000000017</v>
      </c>
      <c r="H138" s="10">
        <v>0.84800000000000064</v>
      </c>
      <c r="I138" s="10">
        <v>-2.9599999999999849</v>
      </c>
      <c r="J138" s="10">
        <v>-7.889999999999997</v>
      </c>
      <c r="K138" s="11" t="s">
        <v>41</v>
      </c>
    </row>
    <row r="139" spans="1:11" x14ac:dyDescent="0.3">
      <c r="A139" s="9">
        <v>46205</v>
      </c>
      <c r="B139" s="10" t="s">
        <v>28</v>
      </c>
      <c r="C139" s="121"/>
      <c r="D139" s="121"/>
      <c r="E139" s="10">
        <v>2.4009999999999998</v>
      </c>
      <c r="F139" s="10">
        <v>0.59999999999997833</v>
      </c>
      <c r="G139" s="10">
        <v>21.799999999999997</v>
      </c>
      <c r="H139" s="10">
        <v>0.87199999999999989</v>
      </c>
      <c r="I139" s="10">
        <v>-2.4000000000000021</v>
      </c>
      <c r="J139" s="10">
        <v>-6.5000000000000391</v>
      </c>
      <c r="K139" s="11">
        <v>240.09999999999997</v>
      </c>
    </row>
    <row r="140" spans="1:11" x14ac:dyDescent="0.3">
      <c r="A140" s="9">
        <v>46205</v>
      </c>
      <c r="B140" s="10"/>
      <c r="C140" s="121"/>
      <c r="D140" s="121"/>
      <c r="E140" s="10"/>
      <c r="F140" s="10"/>
      <c r="G140" s="10"/>
      <c r="H140" s="10"/>
      <c r="I140" s="10">
        <v>-242.49999999999997</v>
      </c>
      <c r="J140" s="10">
        <v>-246.60000000000002</v>
      </c>
      <c r="K140" s="11">
        <v>0</v>
      </c>
    </row>
    <row r="141" spans="1:11" x14ac:dyDescent="0.3">
      <c r="A141" s="9">
        <v>46205</v>
      </c>
      <c r="B141" s="10"/>
      <c r="C141" s="121"/>
      <c r="D141" s="121"/>
      <c r="E141" s="10"/>
      <c r="F141" s="10"/>
      <c r="G141" s="10"/>
      <c r="H141" s="10"/>
      <c r="I141" s="10">
        <v>-242.49999999999997</v>
      </c>
      <c r="J141" s="10">
        <v>-246.60000000000002</v>
      </c>
      <c r="K141" s="11">
        <v>0</v>
      </c>
    </row>
    <row r="142" spans="1:11" x14ac:dyDescent="0.3">
      <c r="A142" s="9">
        <v>46205</v>
      </c>
      <c r="B142" s="10"/>
      <c r="C142" s="121"/>
      <c r="D142" s="121"/>
      <c r="E142" s="10"/>
      <c r="F142" s="10"/>
      <c r="G142" s="10"/>
      <c r="H142" s="10"/>
      <c r="I142" s="10">
        <v>-242.49999999999997</v>
      </c>
      <c r="J142" s="10">
        <v>-246.60000000000002</v>
      </c>
      <c r="K142" s="11">
        <v>0</v>
      </c>
    </row>
    <row r="143" spans="1:11" x14ac:dyDescent="0.3">
      <c r="A143" s="9">
        <v>46205</v>
      </c>
      <c r="B143" s="10"/>
      <c r="C143" s="121"/>
      <c r="D143" s="121"/>
      <c r="E143" s="10"/>
      <c r="F143" s="10"/>
      <c r="G143" s="10"/>
      <c r="H143" s="10"/>
      <c r="I143" s="10">
        <v>-242.49999999999997</v>
      </c>
      <c r="J143" s="10">
        <v>-246.60000000000002</v>
      </c>
      <c r="K143" s="11">
        <v>0</v>
      </c>
    </row>
    <row r="144" spans="1:11" x14ac:dyDescent="0.3">
      <c r="A144" s="9">
        <v>46206</v>
      </c>
      <c r="B144" s="10" t="s">
        <v>19</v>
      </c>
      <c r="C144" s="121" t="s">
        <v>94</v>
      </c>
      <c r="D144" s="121" t="s">
        <v>97</v>
      </c>
      <c r="E144" s="10">
        <v>2.1953</v>
      </c>
      <c r="F144" s="10">
        <v>1.23000000000002</v>
      </c>
      <c r="G144" s="10">
        <v>1.23000000000002</v>
      </c>
      <c r="H144" s="10">
        <v>4.9200000000000799E-2</v>
      </c>
      <c r="I144" s="10">
        <v>-7.0000000000014495E-2</v>
      </c>
      <c r="J144" s="10">
        <v>-0.47000000000001485</v>
      </c>
      <c r="K144" s="11">
        <v>-7.5099999999999945</v>
      </c>
    </row>
    <row r="145" spans="1:11" x14ac:dyDescent="0.3">
      <c r="A145" s="9">
        <v>46206</v>
      </c>
      <c r="B145" s="10" t="s">
        <v>10</v>
      </c>
      <c r="C145" s="121" t="s">
        <v>97</v>
      </c>
      <c r="D145" s="121" t="s">
        <v>99</v>
      </c>
      <c r="E145" s="10">
        <v>2.319</v>
      </c>
      <c r="F145" s="10">
        <v>12.369999999999992</v>
      </c>
      <c r="G145" s="10">
        <v>13.600000000000012</v>
      </c>
      <c r="H145" s="10">
        <v>0.54400000000000048</v>
      </c>
      <c r="I145" s="10">
        <v>1.2299999999999756</v>
      </c>
      <c r="J145" s="10">
        <v>-2.7499999999999858</v>
      </c>
      <c r="K145" s="11">
        <v>-13.39999999999999</v>
      </c>
    </row>
    <row r="146" spans="1:11" x14ac:dyDescent="0.3">
      <c r="A146" s="9">
        <v>46206</v>
      </c>
      <c r="B146" s="10" t="s">
        <v>12</v>
      </c>
      <c r="C146" s="121" t="s">
        <v>99</v>
      </c>
      <c r="D146" s="121" t="s">
        <v>103</v>
      </c>
      <c r="E146" s="10">
        <v>2.3441999999999998</v>
      </c>
      <c r="F146" s="10">
        <v>2.5199999999999889</v>
      </c>
      <c r="G146" s="10">
        <v>16.12</v>
      </c>
      <c r="H146" s="10">
        <v>0.64480000000000004</v>
      </c>
      <c r="I146" s="10">
        <v>1.7700000000000049</v>
      </c>
      <c r="J146" s="10">
        <v>-2.8500000000000192</v>
      </c>
      <c r="K146" s="11">
        <v>-17.610000000000035</v>
      </c>
    </row>
    <row r="147" spans="1:11" x14ac:dyDescent="0.3">
      <c r="A147" s="9">
        <v>46206</v>
      </c>
      <c r="B147" s="10" t="s">
        <v>13</v>
      </c>
      <c r="C147" s="121" t="s">
        <v>103</v>
      </c>
      <c r="D147" s="121">
        <v>46428</v>
      </c>
      <c r="E147" s="10">
        <v>2.391</v>
      </c>
      <c r="F147" s="10">
        <v>4.6800000000000175</v>
      </c>
      <c r="G147" s="10">
        <v>20.800000000000018</v>
      </c>
      <c r="H147" s="10">
        <v>0.83200000000000074</v>
      </c>
      <c r="I147" s="10">
        <v>2.9100000000000126</v>
      </c>
      <c r="J147" s="10">
        <v>-3.2000000000000028</v>
      </c>
      <c r="K147" s="11" t="s">
        <v>41</v>
      </c>
    </row>
    <row r="148" spans="1:11" x14ac:dyDescent="0.3">
      <c r="A148" s="9">
        <v>46206</v>
      </c>
      <c r="B148" s="10" t="s">
        <v>14</v>
      </c>
      <c r="C148" s="121">
        <v>46428</v>
      </c>
      <c r="D148" s="121">
        <v>46470</v>
      </c>
      <c r="E148" s="10">
        <v>2.4051999999999998</v>
      </c>
      <c r="F148" s="10">
        <v>1.4199999999999768</v>
      </c>
      <c r="G148" s="10">
        <v>22.219999999999995</v>
      </c>
      <c r="H148" s="10">
        <v>0.88879999999999981</v>
      </c>
      <c r="I148" s="10">
        <v>3.6299999999999777</v>
      </c>
      <c r="J148" s="10">
        <v>-2.8000000000000025</v>
      </c>
      <c r="K148" s="11" t="s">
        <v>41</v>
      </c>
    </row>
    <row r="149" spans="1:11" x14ac:dyDescent="0.3">
      <c r="A149" s="9">
        <v>46206</v>
      </c>
      <c r="B149" s="10" t="s">
        <v>15</v>
      </c>
      <c r="C149" s="121">
        <v>46470</v>
      </c>
      <c r="D149" s="121">
        <v>46512</v>
      </c>
      <c r="E149" s="10">
        <v>2.4264999999999999</v>
      </c>
      <c r="F149" s="10">
        <v>2.1300000000000097</v>
      </c>
      <c r="G149" s="10">
        <v>24.350000000000005</v>
      </c>
      <c r="H149" s="10">
        <v>0.9740000000000002</v>
      </c>
      <c r="I149" s="10">
        <v>3.6499999999999755</v>
      </c>
      <c r="J149" s="10">
        <v>-1.7200000000000326</v>
      </c>
      <c r="K149" s="11" t="s">
        <v>41</v>
      </c>
    </row>
    <row r="150" spans="1:11" x14ac:dyDescent="0.3">
      <c r="A150" s="9">
        <v>46206</v>
      </c>
      <c r="B150" s="10" t="s">
        <v>17</v>
      </c>
      <c r="C150" s="121">
        <v>46512</v>
      </c>
      <c r="D150" s="121">
        <v>46554</v>
      </c>
      <c r="E150" s="10">
        <v>2.4350000000000001</v>
      </c>
      <c r="F150" s="10">
        <v>0.85000000000001741</v>
      </c>
      <c r="G150" s="10">
        <v>25.200000000000024</v>
      </c>
      <c r="H150" s="10">
        <v>1.0080000000000009</v>
      </c>
      <c r="I150" s="10">
        <v>4.0000000000000036</v>
      </c>
      <c r="J150" s="10">
        <v>-1.1400000000000077</v>
      </c>
      <c r="K150" s="11" t="s">
        <v>41</v>
      </c>
    </row>
    <row r="151" spans="1:11" x14ac:dyDescent="0.3">
      <c r="A151" s="9">
        <v>46206</v>
      </c>
      <c r="B151" s="10" t="s">
        <v>28</v>
      </c>
      <c r="C151" s="121"/>
      <c r="D151" s="121"/>
      <c r="E151" s="10">
        <v>2.444</v>
      </c>
      <c r="F151" s="10">
        <v>0.8999999999999897</v>
      </c>
      <c r="G151" s="10">
        <v>26.100000000000012</v>
      </c>
      <c r="H151" s="10">
        <v>1.0440000000000005</v>
      </c>
      <c r="I151" s="10">
        <v>4.3000000000000149</v>
      </c>
      <c r="J151" s="10">
        <v>0.41999999999999815</v>
      </c>
      <c r="K151" s="11">
        <v>244.4</v>
      </c>
    </row>
    <row r="152" spans="1:11" x14ac:dyDescent="0.3">
      <c r="A152" s="9">
        <v>46206</v>
      </c>
      <c r="B152" s="10"/>
      <c r="C152" s="121"/>
      <c r="D152" s="121"/>
      <c r="E152" s="10"/>
      <c r="F152" s="10"/>
      <c r="G152" s="10"/>
      <c r="H152" s="10"/>
      <c r="I152" s="10">
        <v>-240.09999999999997</v>
      </c>
      <c r="J152" s="10">
        <v>-243.98</v>
      </c>
      <c r="K152" s="11">
        <v>0</v>
      </c>
    </row>
    <row r="153" spans="1:11" x14ac:dyDescent="0.3">
      <c r="A153" s="9">
        <v>46206</v>
      </c>
      <c r="B153" s="10"/>
      <c r="C153" s="121"/>
      <c r="D153" s="121"/>
      <c r="E153" s="10"/>
      <c r="F153" s="10"/>
      <c r="G153" s="10"/>
      <c r="H153" s="10"/>
      <c r="I153" s="10">
        <v>-240.09999999999997</v>
      </c>
      <c r="J153" s="10">
        <v>-243.98</v>
      </c>
      <c r="K153" s="11">
        <v>0</v>
      </c>
    </row>
    <row r="154" spans="1:11" x14ac:dyDescent="0.3">
      <c r="A154" s="9">
        <v>46206</v>
      </c>
      <c r="B154" s="10"/>
      <c r="C154" s="121"/>
      <c r="D154" s="121"/>
      <c r="E154" s="10"/>
      <c r="F154" s="10"/>
      <c r="G154" s="10"/>
      <c r="H154" s="10"/>
      <c r="I154" s="10">
        <v>-240.09999999999997</v>
      </c>
      <c r="J154" s="10">
        <v>-243.98</v>
      </c>
      <c r="K154" s="11">
        <v>0</v>
      </c>
    </row>
    <row r="155" spans="1:11" x14ac:dyDescent="0.3">
      <c r="A155" s="9">
        <v>46206</v>
      </c>
      <c r="B155" s="10"/>
      <c r="C155" s="121"/>
      <c r="D155" s="121"/>
      <c r="E155" s="10"/>
      <c r="F155" s="10"/>
      <c r="G155" s="10"/>
      <c r="H155" s="10"/>
      <c r="I155" s="10">
        <v>-240.09999999999997</v>
      </c>
      <c r="J155" s="10">
        <v>-243.98</v>
      </c>
      <c r="K155" s="11">
        <v>0</v>
      </c>
    </row>
    <row r="156" spans="1:11" x14ac:dyDescent="0.3">
      <c r="A156" s="416">
        <v>46209</v>
      </c>
      <c r="B156" s="417" t="s">
        <v>19</v>
      </c>
      <c r="C156" s="418" t="s">
        <v>94</v>
      </c>
      <c r="D156" s="418" t="s">
        <v>97</v>
      </c>
      <c r="E156" s="417">
        <v>2.1949999999999998</v>
      </c>
      <c r="F156" s="417">
        <v>1.2000000000000011</v>
      </c>
      <c r="G156" s="417">
        <v>1.2000000000000011</v>
      </c>
      <c r="H156" s="417">
        <v>4.8000000000000043E-2</v>
      </c>
      <c r="I156" s="417">
        <v>-3.00000000000189E-2</v>
      </c>
      <c r="J156" s="417">
        <v>-0.9100000000000108</v>
      </c>
      <c r="K156" s="419">
        <v>-7.5400000000000134</v>
      </c>
    </row>
    <row r="157" spans="1:11" x14ac:dyDescent="0.3">
      <c r="A157" s="416">
        <v>46209</v>
      </c>
      <c r="B157" s="417" t="s">
        <v>10</v>
      </c>
      <c r="C157" s="418" t="s">
        <v>97</v>
      </c>
      <c r="D157" s="418" t="s">
        <v>99</v>
      </c>
      <c r="E157" s="417">
        <v>2.3239999999999998</v>
      </c>
      <c r="F157" s="417">
        <v>12.9</v>
      </c>
      <c r="G157" s="417">
        <v>14.100000000000001</v>
      </c>
      <c r="H157" s="417">
        <v>0.56400000000000006</v>
      </c>
      <c r="I157" s="417">
        <v>0.49999999999998934</v>
      </c>
      <c r="J157" s="417">
        <v>-3.8100000000000023</v>
      </c>
      <c r="K157" s="419">
        <v>-12.9</v>
      </c>
    </row>
    <row r="158" spans="1:11" x14ac:dyDescent="0.3">
      <c r="A158" s="416">
        <v>46209</v>
      </c>
      <c r="B158" s="417" t="s">
        <v>12</v>
      </c>
      <c r="C158" s="418" t="s">
        <v>99</v>
      </c>
      <c r="D158" s="418" t="s">
        <v>103</v>
      </c>
      <c r="E158" s="417">
        <v>2.351</v>
      </c>
      <c r="F158" s="417">
        <v>2.7000000000000135</v>
      </c>
      <c r="G158" s="417">
        <v>16.800000000000015</v>
      </c>
      <c r="H158" s="417">
        <v>0.6720000000000006</v>
      </c>
      <c r="I158" s="417">
        <v>0.68000000000001393</v>
      </c>
      <c r="J158" s="417">
        <v>-4.1300000000000114</v>
      </c>
      <c r="K158" s="419">
        <v>-16.930000000000021</v>
      </c>
    </row>
    <row r="159" spans="1:11" x14ac:dyDescent="0.3">
      <c r="A159" s="416">
        <v>46209</v>
      </c>
      <c r="B159" s="417" t="s">
        <v>13</v>
      </c>
      <c r="C159" s="418" t="s">
        <v>103</v>
      </c>
      <c r="D159" s="418">
        <v>46428</v>
      </c>
      <c r="E159" s="417">
        <v>2.3969999999999998</v>
      </c>
      <c r="F159" s="417">
        <v>4.5999999999999819</v>
      </c>
      <c r="G159" s="417">
        <v>21.4</v>
      </c>
      <c r="H159" s="417">
        <v>0.85599999999999998</v>
      </c>
      <c r="I159" s="417">
        <v>0.59999999999997833</v>
      </c>
      <c r="J159" s="417">
        <v>-5.2000000000000046</v>
      </c>
      <c r="K159" s="419" t="s">
        <v>41</v>
      </c>
    </row>
    <row r="160" spans="1:11" x14ac:dyDescent="0.3">
      <c r="A160" s="416">
        <v>46209</v>
      </c>
      <c r="B160" s="417" t="s">
        <v>14</v>
      </c>
      <c r="C160" s="418">
        <v>46428</v>
      </c>
      <c r="D160" s="418">
        <v>46470</v>
      </c>
      <c r="E160" s="417">
        <v>2.4095</v>
      </c>
      <c r="F160" s="417">
        <v>1.2500000000000178</v>
      </c>
      <c r="G160" s="417">
        <v>22.650000000000013</v>
      </c>
      <c r="H160" s="417">
        <v>0.90600000000000047</v>
      </c>
      <c r="I160" s="417">
        <v>0.43000000000001926</v>
      </c>
      <c r="J160" s="417">
        <v>-5.06000000000002</v>
      </c>
      <c r="K160" s="419" t="s">
        <v>41</v>
      </c>
    </row>
    <row r="161" spans="1:11" x14ac:dyDescent="0.3">
      <c r="A161" s="416">
        <v>46209</v>
      </c>
      <c r="B161" s="417" t="s">
        <v>15</v>
      </c>
      <c r="C161" s="418">
        <v>46470</v>
      </c>
      <c r="D161" s="418">
        <v>46512</v>
      </c>
      <c r="E161" s="417">
        <v>2.4329999999999998</v>
      </c>
      <c r="F161" s="417">
        <v>2.3499999999999854</v>
      </c>
      <c r="G161" s="417">
        <v>25</v>
      </c>
      <c r="H161" s="417">
        <v>1</v>
      </c>
      <c r="I161" s="417">
        <v>0.64999999999999503</v>
      </c>
      <c r="J161" s="417">
        <v>-4.3800000000000061</v>
      </c>
      <c r="K161" s="419" t="s">
        <v>41</v>
      </c>
    </row>
    <row r="162" spans="1:11" x14ac:dyDescent="0.3">
      <c r="A162" s="416">
        <v>46209</v>
      </c>
      <c r="B162" s="417" t="s">
        <v>17</v>
      </c>
      <c r="C162" s="418">
        <v>46512</v>
      </c>
      <c r="D162" s="418">
        <v>46554</v>
      </c>
      <c r="E162" s="417">
        <v>2.4386999999999999</v>
      </c>
      <c r="F162" s="417">
        <v>0.57000000000000384</v>
      </c>
      <c r="G162" s="417">
        <v>25.570000000000004</v>
      </c>
      <c r="H162" s="417">
        <v>1.0228000000000002</v>
      </c>
      <c r="I162" s="417">
        <v>0.36999999999998145</v>
      </c>
      <c r="J162" s="417">
        <v>-3.8400000000000212</v>
      </c>
      <c r="K162" s="419" t="s">
        <v>41</v>
      </c>
    </row>
    <row r="163" spans="1:11" x14ac:dyDescent="0.3">
      <c r="A163" s="416">
        <v>46209</v>
      </c>
      <c r="B163" s="417" t="s">
        <v>28</v>
      </c>
      <c r="C163" s="418"/>
      <c r="D163" s="418"/>
      <c r="E163" s="417">
        <v>2.448</v>
      </c>
      <c r="F163" s="417">
        <v>0.9300000000000086</v>
      </c>
      <c r="G163" s="417">
        <v>26.500000000000014</v>
      </c>
      <c r="H163" s="417">
        <v>1.0600000000000005</v>
      </c>
      <c r="I163" s="417">
        <v>0.40000000000000036</v>
      </c>
      <c r="J163" s="417">
        <v>-2.1300000000000097</v>
      </c>
      <c r="K163" s="419">
        <v>244.79999999999998</v>
      </c>
    </row>
    <row r="164" spans="1:11" x14ac:dyDescent="0.3">
      <c r="A164" s="416">
        <v>46209</v>
      </c>
      <c r="B164" s="417"/>
      <c r="C164" s="418"/>
      <c r="D164" s="418"/>
      <c r="E164" s="417"/>
      <c r="F164" s="417"/>
      <c r="G164" s="417"/>
      <c r="H164" s="417"/>
      <c r="I164" s="417">
        <v>-244.4</v>
      </c>
      <c r="J164" s="417">
        <v>-246.93</v>
      </c>
      <c r="K164" s="419">
        <v>0</v>
      </c>
    </row>
    <row r="165" spans="1:11" x14ac:dyDescent="0.3">
      <c r="A165" s="416">
        <v>46209</v>
      </c>
      <c r="B165" s="417"/>
      <c r="C165" s="418"/>
      <c r="D165" s="418"/>
      <c r="E165" s="417"/>
      <c r="F165" s="417"/>
      <c r="G165" s="417"/>
      <c r="H165" s="417"/>
      <c r="I165" s="417">
        <v>-244.4</v>
      </c>
      <c r="J165" s="417">
        <v>-246.93</v>
      </c>
      <c r="K165" s="419">
        <v>0</v>
      </c>
    </row>
    <row r="166" spans="1:11" x14ac:dyDescent="0.3">
      <c r="A166" s="416">
        <v>46209</v>
      </c>
      <c r="B166" s="417"/>
      <c r="C166" s="418"/>
      <c r="D166" s="418"/>
      <c r="E166" s="417"/>
      <c r="F166" s="417"/>
      <c r="G166" s="417"/>
      <c r="H166" s="417"/>
      <c r="I166" s="417">
        <v>-244.4</v>
      </c>
      <c r="J166" s="417">
        <v>-246.93</v>
      </c>
      <c r="K166" s="419">
        <v>0</v>
      </c>
    </row>
    <row r="167" spans="1:11" x14ac:dyDescent="0.3">
      <c r="A167" s="416">
        <v>46209</v>
      </c>
      <c r="B167" s="417"/>
      <c r="C167" s="418"/>
      <c r="D167" s="418"/>
      <c r="E167" s="417"/>
      <c r="F167" s="417"/>
      <c r="G167" s="417"/>
      <c r="H167" s="417"/>
      <c r="I167" s="417">
        <v>-244.4</v>
      </c>
      <c r="J167" s="417">
        <v>-246.93</v>
      </c>
      <c r="K167" s="419">
        <v>0</v>
      </c>
    </row>
    <row r="168" spans="1:11" x14ac:dyDescent="0.3">
      <c r="A168" s="9">
        <v>46210</v>
      </c>
      <c r="B168" s="10" t="s">
        <v>19</v>
      </c>
      <c r="C168" s="121" t="s">
        <v>94</v>
      </c>
      <c r="D168" s="121" t="s">
        <v>97</v>
      </c>
      <c r="E168" s="10">
        <v>2.198</v>
      </c>
      <c r="F168" s="10">
        <v>1.6000000000000014</v>
      </c>
      <c r="G168" s="10">
        <v>1.6000000000000014</v>
      </c>
      <c r="H168" s="10">
        <v>6.4000000000000057E-2</v>
      </c>
      <c r="I168" s="10">
        <v>0.30000000000001137</v>
      </c>
      <c r="J168" s="10">
        <v>-0.41999999999999815</v>
      </c>
      <c r="K168" s="11">
        <v>-7.2000000000000064</v>
      </c>
    </row>
    <row r="169" spans="1:11" x14ac:dyDescent="0.3">
      <c r="A169" s="9">
        <v>46210</v>
      </c>
      <c r="B169" s="10" t="s">
        <v>10</v>
      </c>
      <c r="C169" s="121" t="s">
        <v>97</v>
      </c>
      <c r="D169" s="121" t="s">
        <v>99</v>
      </c>
      <c r="E169" s="10">
        <v>2.3513999999999999</v>
      </c>
      <c r="F169" s="10">
        <v>15.339999999999998</v>
      </c>
      <c r="G169" s="10">
        <v>16.939999999999998</v>
      </c>
      <c r="H169" s="10">
        <v>0.67759999999999987</v>
      </c>
      <c r="I169" s="10">
        <v>2.7400000000000091</v>
      </c>
      <c r="J169" s="10">
        <v>-0.47999999999999154</v>
      </c>
      <c r="K169" s="11">
        <v>-10.210000000000008</v>
      </c>
    </row>
    <row r="170" spans="1:11" x14ac:dyDescent="0.3">
      <c r="A170" s="9">
        <v>46210</v>
      </c>
      <c r="B170" s="10" t="s">
        <v>12</v>
      </c>
      <c r="C170" s="121" t="s">
        <v>99</v>
      </c>
      <c r="D170" s="121" t="s">
        <v>103</v>
      </c>
      <c r="E170" s="10">
        <v>2.3856999999999999</v>
      </c>
      <c r="F170" s="10">
        <v>3.4299999999999997</v>
      </c>
      <c r="G170" s="10">
        <v>20.369999999999997</v>
      </c>
      <c r="H170" s="10">
        <v>0.81479999999999986</v>
      </c>
      <c r="I170" s="10">
        <v>3.4699999999999953</v>
      </c>
      <c r="J170" s="10">
        <v>0.23999999999997357</v>
      </c>
      <c r="K170" s="11">
        <v>-14.380000000000015</v>
      </c>
    </row>
    <row r="171" spans="1:11" x14ac:dyDescent="0.3">
      <c r="A171" s="9">
        <v>46210</v>
      </c>
      <c r="B171" s="10" t="s">
        <v>13</v>
      </c>
      <c r="C171" s="121" t="s">
        <v>103</v>
      </c>
      <c r="D171" s="121">
        <v>46428</v>
      </c>
      <c r="E171" s="10">
        <v>2.4411999999999998</v>
      </c>
      <c r="F171" s="10">
        <v>5.5499999999999883</v>
      </c>
      <c r="G171" s="10">
        <v>25.919999999999987</v>
      </c>
      <c r="H171" s="10">
        <v>1.0367999999999995</v>
      </c>
      <c r="I171" s="10">
        <v>4.4200000000000017</v>
      </c>
      <c r="J171" s="10">
        <v>0.73999999999996291</v>
      </c>
      <c r="K171" s="11">
        <v>-18.870000000000033</v>
      </c>
    </row>
    <row r="172" spans="1:11" x14ac:dyDescent="0.3">
      <c r="A172" s="9">
        <v>46210</v>
      </c>
      <c r="B172" s="10" t="s">
        <v>14</v>
      </c>
      <c r="C172" s="121">
        <v>46428</v>
      </c>
      <c r="D172" s="121">
        <v>46470</v>
      </c>
      <c r="E172" s="10">
        <v>2.4580000000000002</v>
      </c>
      <c r="F172" s="10">
        <v>1.680000000000037</v>
      </c>
      <c r="G172" s="10">
        <v>27.600000000000023</v>
      </c>
      <c r="H172" s="10">
        <v>1.104000000000001</v>
      </c>
      <c r="I172" s="10">
        <v>4.850000000000021</v>
      </c>
      <c r="J172" s="10">
        <v>1.3800000000000257</v>
      </c>
      <c r="K172" s="11">
        <v>-20.199999999999996</v>
      </c>
    </row>
    <row r="173" spans="1:11" x14ac:dyDescent="0.3">
      <c r="A173" s="9">
        <v>46210</v>
      </c>
      <c r="B173" s="10" t="s">
        <v>15</v>
      </c>
      <c r="C173" s="121">
        <v>46470</v>
      </c>
      <c r="D173" s="121">
        <v>46512</v>
      </c>
      <c r="E173" s="10">
        <v>2.4874999999999998</v>
      </c>
      <c r="F173" s="10">
        <v>2.9499999999999638</v>
      </c>
      <c r="G173" s="10">
        <v>30.54999999999999</v>
      </c>
      <c r="H173" s="10">
        <v>1.2219999999999995</v>
      </c>
      <c r="I173" s="10">
        <v>5.4499999999999993</v>
      </c>
      <c r="J173" s="10">
        <v>2.2599999999999731</v>
      </c>
      <c r="K173" s="11">
        <v>-20.420000000000016</v>
      </c>
    </row>
    <row r="174" spans="1:11" x14ac:dyDescent="0.3">
      <c r="A174" s="9">
        <v>46210</v>
      </c>
      <c r="B174" s="10" t="s">
        <v>17</v>
      </c>
      <c r="C174" s="121">
        <v>46512</v>
      </c>
      <c r="D174" s="121">
        <v>46554</v>
      </c>
      <c r="E174" s="10">
        <v>2.4954999999999998</v>
      </c>
      <c r="F174" s="10">
        <v>0.80000000000000071</v>
      </c>
      <c r="G174" s="10">
        <v>31.349999999999987</v>
      </c>
      <c r="H174" s="10">
        <v>1.2539999999999996</v>
      </c>
      <c r="I174" s="10">
        <v>5.6799999999999962</v>
      </c>
      <c r="J174" s="10">
        <v>2.7499999999999858</v>
      </c>
      <c r="K174" s="11">
        <v>-20.950000000000024</v>
      </c>
    </row>
    <row r="175" spans="1:11" x14ac:dyDescent="0.3">
      <c r="A175" s="9">
        <v>46210</v>
      </c>
      <c r="B175" s="10" t="s">
        <v>28</v>
      </c>
      <c r="C175" s="121"/>
      <c r="D175" s="121"/>
      <c r="E175" s="10">
        <v>2.5049000000000001</v>
      </c>
      <c r="F175" s="10">
        <v>0.9400000000000297</v>
      </c>
      <c r="G175" s="10">
        <v>32.29000000000002</v>
      </c>
      <c r="H175" s="10">
        <v>1.2916000000000007</v>
      </c>
      <c r="I175" s="10">
        <v>5.6900000000000173</v>
      </c>
      <c r="J175" s="10">
        <v>4.1900000000000048</v>
      </c>
      <c r="K175" s="11">
        <v>250.49</v>
      </c>
    </row>
    <row r="176" spans="1:11" x14ac:dyDescent="0.3">
      <c r="A176" s="9">
        <v>46210</v>
      </c>
      <c r="B176" s="10"/>
      <c r="C176" s="121"/>
      <c r="D176" s="121"/>
      <c r="E176" s="10"/>
      <c r="F176" s="10"/>
      <c r="G176" s="10"/>
      <c r="H176" s="10"/>
      <c r="I176" s="10">
        <v>-244.79999999999998</v>
      </c>
      <c r="J176" s="10">
        <v>-246.3</v>
      </c>
      <c r="K176" s="11">
        <v>0</v>
      </c>
    </row>
    <row r="177" spans="1:11" x14ac:dyDescent="0.3">
      <c r="A177" s="9">
        <v>46210</v>
      </c>
      <c r="B177" s="10"/>
      <c r="C177" s="121"/>
      <c r="D177" s="121"/>
      <c r="E177" s="10"/>
      <c r="F177" s="10"/>
      <c r="G177" s="10"/>
      <c r="H177" s="10"/>
      <c r="I177" s="10">
        <v>-244.79999999999998</v>
      </c>
      <c r="J177" s="10">
        <v>-246.3</v>
      </c>
      <c r="K177" s="11">
        <v>0</v>
      </c>
    </row>
    <row r="178" spans="1:11" x14ac:dyDescent="0.3">
      <c r="A178" s="9">
        <v>46210</v>
      </c>
      <c r="B178" s="10"/>
      <c r="C178" s="121"/>
      <c r="D178" s="121"/>
      <c r="E178" s="10"/>
      <c r="F178" s="10"/>
      <c r="G178" s="10"/>
      <c r="H178" s="10"/>
      <c r="I178" s="10">
        <v>-244.79999999999998</v>
      </c>
      <c r="J178" s="10">
        <v>-246.3</v>
      </c>
      <c r="K178" s="11">
        <v>0</v>
      </c>
    </row>
    <row r="179" spans="1:11" x14ac:dyDescent="0.3">
      <c r="A179" s="9">
        <v>46210</v>
      </c>
      <c r="B179" s="10"/>
      <c r="C179" s="121"/>
      <c r="D179" s="121"/>
      <c r="E179" s="10"/>
      <c r="F179" s="10"/>
      <c r="G179" s="10"/>
      <c r="H179" s="10"/>
      <c r="I179" s="10">
        <v>-244.79999999999998</v>
      </c>
      <c r="J179" s="10">
        <v>-246.3</v>
      </c>
      <c r="K179" s="11">
        <v>0</v>
      </c>
    </row>
    <row r="180" spans="1:11" x14ac:dyDescent="0.3">
      <c r="A180" s="9">
        <v>46211</v>
      </c>
      <c r="B180" s="10" t="s">
        <v>19</v>
      </c>
      <c r="C180" s="121" t="s">
        <v>94</v>
      </c>
      <c r="D180" s="121" t="s">
        <v>97</v>
      </c>
      <c r="E180" s="10">
        <v>2.2321</v>
      </c>
      <c r="F180" s="10">
        <v>5.0100000000000033</v>
      </c>
      <c r="G180" s="10">
        <v>5.0100000000000033</v>
      </c>
      <c r="H180" s="10">
        <v>0.20040000000000013</v>
      </c>
      <c r="I180" s="10">
        <v>3.4100000000000019</v>
      </c>
      <c r="J180" s="10">
        <v>3.2099999999999795</v>
      </c>
      <c r="K180" s="11">
        <v>-5.5400000000000116</v>
      </c>
    </row>
    <row r="181" spans="1:11" x14ac:dyDescent="0.3">
      <c r="A181" s="9">
        <v>46211</v>
      </c>
      <c r="B181" s="10" t="s">
        <v>10</v>
      </c>
      <c r="C181" s="121" t="s">
        <v>97</v>
      </c>
      <c r="D181" s="121" t="s">
        <v>99</v>
      </c>
      <c r="E181" s="10">
        <v>2.4146000000000001</v>
      </c>
      <c r="F181" s="10">
        <v>18.250000000000011</v>
      </c>
      <c r="G181" s="10">
        <v>23.260000000000012</v>
      </c>
      <c r="H181" s="10">
        <v>0.93040000000000045</v>
      </c>
      <c r="I181" s="10">
        <v>6.3200000000000145</v>
      </c>
      <c r="J181" s="10">
        <v>7.9000000000000181</v>
      </c>
      <c r="K181" s="11">
        <v>-5.5400000000000116</v>
      </c>
    </row>
    <row r="182" spans="1:11" x14ac:dyDescent="0.3">
      <c r="A182" s="9">
        <v>46211</v>
      </c>
      <c r="B182" s="10" t="s">
        <v>12</v>
      </c>
      <c r="C182" s="121" t="s">
        <v>99</v>
      </c>
      <c r="D182" s="121" t="s">
        <v>103</v>
      </c>
      <c r="E182" s="10">
        <v>2.4750000000000001</v>
      </c>
      <c r="F182" s="10">
        <v>6.0400000000000009</v>
      </c>
      <c r="G182" s="10">
        <v>29.300000000000015</v>
      </c>
      <c r="H182" s="10">
        <v>1.1720000000000006</v>
      </c>
      <c r="I182" s="10">
        <v>8.9300000000000157</v>
      </c>
      <c r="J182" s="10">
        <v>11.880000000000024</v>
      </c>
      <c r="K182" s="11">
        <v>-6.4999999999999947</v>
      </c>
    </row>
    <row r="183" spans="1:11" x14ac:dyDescent="0.3">
      <c r="A183" s="9">
        <v>46211</v>
      </c>
      <c r="B183" s="10" t="s">
        <v>13</v>
      </c>
      <c r="C183" s="121" t="s">
        <v>103</v>
      </c>
      <c r="D183" s="121">
        <v>46428</v>
      </c>
      <c r="E183" s="10">
        <v>2.5640000000000001</v>
      </c>
      <c r="F183" s="10">
        <v>8.8999999999999968</v>
      </c>
      <c r="G183" s="10">
        <v>38.20000000000001</v>
      </c>
      <c r="H183" s="10">
        <v>1.5280000000000005</v>
      </c>
      <c r="I183" s="10">
        <v>12.280000000000024</v>
      </c>
      <c r="J183" s="10">
        <v>16.999999999999993</v>
      </c>
      <c r="K183" s="11">
        <v>-6.8499999999999783</v>
      </c>
    </row>
    <row r="184" spans="1:11" x14ac:dyDescent="0.3">
      <c r="A184" s="9">
        <v>46211</v>
      </c>
      <c r="B184" s="10" t="s">
        <v>14</v>
      </c>
      <c r="C184" s="121">
        <v>46428</v>
      </c>
      <c r="D184" s="121">
        <v>46470</v>
      </c>
      <c r="E184" s="10">
        <v>2.5983000000000001</v>
      </c>
      <c r="F184" s="10">
        <v>3.4299999999999997</v>
      </c>
      <c r="G184" s="10">
        <v>41.63000000000001</v>
      </c>
      <c r="H184" s="10">
        <v>1.6652000000000005</v>
      </c>
      <c r="I184" s="10">
        <v>14.029999999999987</v>
      </c>
      <c r="J184" s="10">
        <v>19.930000000000003</v>
      </c>
      <c r="K184" s="11">
        <v>-5.9699999999999864</v>
      </c>
    </row>
    <row r="185" spans="1:11" x14ac:dyDescent="0.3">
      <c r="A185" s="9">
        <v>46211</v>
      </c>
      <c r="B185" s="10" t="s">
        <v>15</v>
      </c>
      <c r="C185" s="121">
        <v>46470</v>
      </c>
      <c r="D185" s="121">
        <v>46512</v>
      </c>
      <c r="E185" s="10">
        <v>2.6395</v>
      </c>
      <c r="F185" s="10">
        <v>4.1199999999999903</v>
      </c>
      <c r="G185" s="10">
        <v>45.75</v>
      </c>
      <c r="H185" s="10">
        <v>1.83</v>
      </c>
      <c r="I185" s="10">
        <v>15.200000000000014</v>
      </c>
      <c r="J185" s="10">
        <v>21.850000000000016</v>
      </c>
      <c r="K185" s="11">
        <v>-5.0400000000000222</v>
      </c>
    </row>
    <row r="186" spans="1:11" x14ac:dyDescent="0.3">
      <c r="A186" s="9">
        <v>46211</v>
      </c>
      <c r="B186" s="10" t="s">
        <v>17</v>
      </c>
      <c r="C186" s="121">
        <v>46512</v>
      </c>
      <c r="D186" s="121">
        <v>46554</v>
      </c>
      <c r="E186" s="10">
        <v>2.6505000000000001</v>
      </c>
      <c r="F186" s="10">
        <v>1.1000000000000121</v>
      </c>
      <c r="G186" s="10">
        <v>46.850000000000016</v>
      </c>
      <c r="H186" s="10">
        <v>1.8740000000000006</v>
      </c>
      <c r="I186" s="10">
        <v>15.500000000000025</v>
      </c>
      <c r="J186" s="10">
        <v>22.590000000000021</v>
      </c>
      <c r="K186" s="11">
        <v>-5.4499999999999993</v>
      </c>
    </row>
    <row r="187" spans="1:11" x14ac:dyDescent="0.3">
      <c r="A187" s="9">
        <v>46211</v>
      </c>
      <c r="B187" s="10" t="s">
        <v>28</v>
      </c>
      <c r="C187" s="121"/>
      <c r="D187" s="121"/>
      <c r="E187" s="10">
        <v>2.6579999999999999</v>
      </c>
      <c r="F187" s="10">
        <v>0.74999999999998401</v>
      </c>
      <c r="G187" s="10">
        <v>47.599999999999994</v>
      </c>
      <c r="H187" s="10">
        <v>1.9039999999999997</v>
      </c>
      <c r="I187" s="10">
        <v>15.309999999999979</v>
      </c>
      <c r="J187" s="10">
        <v>23.300000000000011</v>
      </c>
      <c r="K187" s="11">
        <v>265.8</v>
      </c>
    </row>
    <row r="188" spans="1:11" x14ac:dyDescent="0.3">
      <c r="A188" s="9">
        <v>46211</v>
      </c>
      <c r="B188" s="10"/>
      <c r="C188" s="121"/>
      <c r="D188" s="121"/>
      <c r="E188" s="10"/>
      <c r="F188" s="10"/>
      <c r="G188" s="10"/>
      <c r="H188" s="10"/>
      <c r="I188" s="10">
        <v>-250.49</v>
      </c>
      <c r="J188" s="10">
        <v>-242.49999999999997</v>
      </c>
      <c r="K188" s="11">
        <v>0</v>
      </c>
    </row>
    <row r="189" spans="1:11" x14ac:dyDescent="0.3">
      <c r="A189" s="9">
        <v>46211</v>
      </c>
      <c r="B189" s="10"/>
      <c r="C189" s="121"/>
      <c r="D189" s="121"/>
      <c r="E189" s="10"/>
      <c r="F189" s="10"/>
      <c r="G189" s="10"/>
      <c r="H189" s="10"/>
      <c r="I189" s="10">
        <v>-250.49</v>
      </c>
      <c r="J189" s="10">
        <v>-242.49999999999997</v>
      </c>
      <c r="K189" s="11">
        <v>0</v>
      </c>
    </row>
    <row r="190" spans="1:11" x14ac:dyDescent="0.3">
      <c r="A190" s="9">
        <v>46211</v>
      </c>
      <c r="B190" s="10"/>
      <c r="C190" s="121"/>
      <c r="D190" s="121"/>
      <c r="E190" s="10"/>
      <c r="F190" s="10"/>
      <c r="G190" s="10"/>
      <c r="H190" s="10"/>
      <c r="I190" s="10">
        <v>-250.49</v>
      </c>
      <c r="J190" s="10">
        <v>-242.49999999999997</v>
      </c>
      <c r="K190" s="11">
        <v>0</v>
      </c>
    </row>
    <row r="191" spans="1:11" x14ac:dyDescent="0.3">
      <c r="A191" s="9">
        <v>46211</v>
      </c>
      <c r="B191" s="10"/>
      <c r="C191" s="121"/>
      <c r="D191" s="121"/>
      <c r="E191" s="10"/>
      <c r="F191" s="10"/>
      <c r="G191" s="10"/>
      <c r="H191" s="10"/>
      <c r="I191" s="10">
        <v>-250.49</v>
      </c>
      <c r="J191" s="10">
        <v>-242.49999999999997</v>
      </c>
      <c r="K191" s="11">
        <v>0</v>
      </c>
    </row>
    <row r="192" spans="1:11" x14ac:dyDescent="0.3">
      <c r="A192" s="435">
        <v>46212</v>
      </c>
      <c r="B192" s="436" t="s">
        <v>19</v>
      </c>
      <c r="C192" s="437" t="s">
        <v>94</v>
      </c>
      <c r="D192" s="437" t="s">
        <v>97</v>
      </c>
      <c r="E192" s="436">
        <v>2.2200000000000002</v>
      </c>
      <c r="F192" s="436"/>
      <c r="G192" s="436"/>
      <c r="H192" s="436"/>
      <c r="I192" s="436"/>
      <c r="J192" s="436"/>
      <c r="K192" s="438"/>
    </row>
    <row r="193" spans="1:11" x14ac:dyDescent="0.3">
      <c r="A193" s="435">
        <v>46212</v>
      </c>
      <c r="B193" s="432" t="s">
        <v>10</v>
      </c>
      <c r="C193" s="433" t="s">
        <v>97</v>
      </c>
      <c r="D193" s="433" t="s">
        <v>99</v>
      </c>
      <c r="E193" s="432">
        <v>2.3980000000000001</v>
      </c>
      <c r="F193" s="432"/>
      <c r="G193" s="432"/>
      <c r="H193" s="432"/>
      <c r="I193" s="432"/>
      <c r="J193" s="432"/>
      <c r="K193" s="434"/>
    </row>
    <row r="194" spans="1:11" x14ac:dyDescent="0.3">
      <c r="A194" s="435">
        <v>46212</v>
      </c>
      <c r="B194" s="432" t="s">
        <v>12</v>
      </c>
      <c r="C194" s="433" t="s">
        <v>99</v>
      </c>
      <c r="D194" s="433" t="s">
        <v>103</v>
      </c>
      <c r="E194" s="432">
        <v>2.4489999999999998</v>
      </c>
      <c r="F194" s="432"/>
      <c r="G194" s="432"/>
      <c r="H194" s="432"/>
      <c r="I194" s="432"/>
      <c r="J194" s="432"/>
      <c r="K194" s="434"/>
    </row>
    <row r="195" spans="1:11" x14ac:dyDescent="0.3">
      <c r="A195" s="435">
        <v>46212</v>
      </c>
      <c r="B195" s="432" t="s">
        <v>13</v>
      </c>
      <c r="C195" s="433" t="s">
        <v>103</v>
      </c>
      <c r="D195" s="433">
        <v>46428</v>
      </c>
      <c r="E195" s="432">
        <v>2.5179</v>
      </c>
      <c r="F195" s="432"/>
      <c r="G195" s="432"/>
      <c r="H195" s="432"/>
      <c r="I195" s="432"/>
      <c r="J195" s="432"/>
      <c r="K195" s="434"/>
    </row>
    <row r="196" spans="1:11" x14ac:dyDescent="0.3">
      <c r="A196" s="435">
        <v>46212</v>
      </c>
      <c r="B196" s="432" t="s">
        <v>14</v>
      </c>
      <c r="C196" s="433">
        <v>46428</v>
      </c>
      <c r="D196" s="433">
        <v>46470</v>
      </c>
      <c r="E196" s="432">
        <v>2.5394000000000001</v>
      </c>
      <c r="F196" s="432"/>
      <c r="G196" s="432"/>
      <c r="H196" s="432"/>
      <c r="I196" s="432"/>
      <c r="J196" s="432"/>
      <c r="K196" s="434"/>
    </row>
    <row r="197" spans="1:11" x14ac:dyDescent="0.3">
      <c r="A197" s="435">
        <v>46212</v>
      </c>
      <c r="B197" s="432" t="s">
        <v>15</v>
      </c>
      <c r="C197" s="433">
        <v>46470</v>
      </c>
      <c r="D197" s="433">
        <v>46512</v>
      </c>
      <c r="E197" s="432">
        <v>2.5777999999999999</v>
      </c>
      <c r="F197" s="432"/>
      <c r="G197" s="432"/>
      <c r="H197" s="432"/>
      <c r="I197" s="432"/>
      <c r="J197" s="432"/>
      <c r="K197" s="434"/>
    </row>
    <row r="198" spans="1:11" x14ac:dyDescent="0.3">
      <c r="A198" s="435">
        <v>46212</v>
      </c>
      <c r="B198" s="432" t="s">
        <v>17</v>
      </c>
      <c r="C198" s="433">
        <v>46512</v>
      </c>
      <c r="D198" s="433">
        <v>46554</v>
      </c>
      <c r="E198" s="432">
        <v>2.5859000000000001</v>
      </c>
      <c r="F198" s="432"/>
      <c r="G198" s="432"/>
      <c r="H198" s="432"/>
      <c r="I198" s="432"/>
      <c r="J198" s="432"/>
      <c r="K198" s="434"/>
    </row>
    <row r="199" spans="1:11" x14ac:dyDescent="0.3">
      <c r="A199" s="431">
        <v>46213</v>
      </c>
      <c r="B199" s="432" t="s">
        <v>19</v>
      </c>
      <c r="C199" s="433" t="s">
        <v>94</v>
      </c>
      <c r="D199" s="433" t="s">
        <v>97</v>
      </c>
      <c r="E199" s="432">
        <v>2.2160000000000002</v>
      </c>
      <c r="F199" s="432">
        <v>3.4000000000000252</v>
      </c>
      <c r="G199" s="432">
        <v>3.4000000000000252</v>
      </c>
      <c r="H199" s="432">
        <v>0.13600000000000101</v>
      </c>
      <c r="I199" s="432">
        <v>-0.40000000000000036</v>
      </c>
      <c r="J199" s="432">
        <v>2.0700000000000163</v>
      </c>
      <c r="K199" s="434">
        <v>-6.8899999999999739</v>
      </c>
    </row>
    <row r="200" spans="1:11" x14ac:dyDescent="0.3">
      <c r="A200" s="431">
        <v>46213</v>
      </c>
      <c r="B200" s="432" t="s">
        <v>10</v>
      </c>
      <c r="C200" s="433" t="s">
        <v>97</v>
      </c>
      <c r="D200" s="433" t="s">
        <v>99</v>
      </c>
      <c r="E200" s="432">
        <v>2.4043000000000001</v>
      </c>
      <c r="F200" s="432">
        <v>18.829999999999991</v>
      </c>
      <c r="G200" s="432">
        <v>22.230000000000018</v>
      </c>
      <c r="H200" s="432">
        <v>0.88920000000000077</v>
      </c>
      <c r="I200" s="432">
        <v>0.62999999999999723</v>
      </c>
      <c r="J200" s="432">
        <v>8.5300000000000153</v>
      </c>
      <c r="K200" s="434">
        <v>-6.8699999999999761</v>
      </c>
    </row>
    <row r="201" spans="1:11" x14ac:dyDescent="0.3">
      <c r="A201" s="431">
        <v>46213</v>
      </c>
      <c r="B201" s="432" t="s">
        <v>12</v>
      </c>
      <c r="C201" s="433" t="s">
        <v>99</v>
      </c>
      <c r="D201" s="433" t="s">
        <v>103</v>
      </c>
      <c r="E201" s="432">
        <v>2.4521000000000002</v>
      </c>
      <c r="F201" s="432">
        <v>4.7800000000000065</v>
      </c>
      <c r="G201" s="432">
        <v>27.010000000000023</v>
      </c>
      <c r="H201" s="432">
        <v>1.0804000000000009</v>
      </c>
      <c r="I201" s="432">
        <v>0.31000000000003247</v>
      </c>
      <c r="J201" s="432">
        <v>10.790000000000033</v>
      </c>
      <c r="K201" s="434">
        <v>-9.8500000000000032</v>
      </c>
    </row>
    <row r="202" spans="1:11" x14ac:dyDescent="0.3">
      <c r="A202" s="431">
        <v>46213</v>
      </c>
      <c r="B202" s="432" t="s">
        <v>13</v>
      </c>
      <c r="C202" s="433" t="s">
        <v>103</v>
      </c>
      <c r="D202" s="433">
        <v>46428</v>
      </c>
      <c r="E202" s="432">
        <v>2.516</v>
      </c>
      <c r="F202" s="432">
        <v>6.3899999999999846</v>
      </c>
      <c r="G202" s="432">
        <v>33.400000000000006</v>
      </c>
      <c r="H202" s="432">
        <v>1.3360000000000003</v>
      </c>
      <c r="I202" s="432">
        <v>-0.19000000000000128</v>
      </c>
      <c r="J202" s="432">
        <v>12.5</v>
      </c>
      <c r="K202" s="434">
        <v>-12.729999999999997</v>
      </c>
    </row>
    <row r="203" spans="1:11" x14ac:dyDescent="0.3">
      <c r="A203" s="431">
        <v>46213</v>
      </c>
      <c r="B203" s="432" t="s">
        <v>14</v>
      </c>
      <c r="C203" s="433">
        <v>46428</v>
      </c>
      <c r="D203" s="433">
        <v>46470</v>
      </c>
      <c r="E203" s="432">
        <v>2.5385</v>
      </c>
      <c r="F203" s="432">
        <v>2.2499999999999964</v>
      </c>
      <c r="G203" s="432">
        <v>35.650000000000006</v>
      </c>
      <c r="H203" s="432">
        <v>1.4260000000000002</v>
      </c>
      <c r="I203" s="432">
        <v>-9.0000000000012292E-2</v>
      </c>
      <c r="J203" s="432">
        <v>13.33000000000002</v>
      </c>
      <c r="K203" s="434">
        <v>-14.069999999999983</v>
      </c>
    </row>
    <row r="204" spans="1:11" x14ac:dyDescent="0.3">
      <c r="A204" s="431">
        <v>46213</v>
      </c>
      <c r="B204" s="432" t="s">
        <v>15</v>
      </c>
      <c r="C204" s="433">
        <v>46470</v>
      </c>
      <c r="D204" s="433">
        <v>46512</v>
      </c>
      <c r="E204" s="432">
        <v>2.5750000000000002</v>
      </c>
      <c r="F204" s="432">
        <v>3.6500000000000199</v>
      </c>
      <c r="G204" s="432">
        <v>39.300000000000026</v>
      </c>
      <c r="H204" s="432">
        <v>1.572000000000001</v>
      </c>
      <c r="I204" s="432">
        <v>-0.27999999999996916</v>
      </c>
      <c r="J204" s="432">
        <v>14.85000000000003</v>
      </c>
      <c r="K204" s="434">
        <v>-13.899999999999979</v>
      </c>
    </row>
    <row r="205" spans="1:11" x14ac:dyDescent="0.3">
      <c r="A205" s="431">
        <v>46213</v>
      </c>
      <c r="B205" s="432" t="s">
        <v>17</v>
      </c>
      <c r="C205" s="433">
        <v>46512</v>
      </c>
      <c r="D205" s="433">
        <v>46554</v>
      </c>
      <c r="E205" s="432">
        <v>2.5813000000000001</v>
      </c>
      <c r="F205" s="432">
        <v>0.62999999999999723</v>
      </c>
      <c r="G205" s="432">
        <v>39.930000000000021</v>
      </c>
      <c r="H205" s="432">
        <v>1.5972000000000008</v>
      </c>
      <c r="I205" s="432">
        <v>-0.45999999999999375</v>
      </c>
      <c r="J205" s="432">
        <v>14.63000000000001</v>
      </c>
      <c r="K205" s="434">
        <v>-14.569999999999972</v>
      </c>
    </row>
    <row r="206" spans="1:11" x14ac:dyDescent="0.3">
      <c r="A206" s="431">
        <v>46213</v>
      </c>
      <c r="B206" s="432" t="s">
        <v>28</v>
      </c>
      <c r="C206" s="433"/>
      <c r="D206" s="433"/>
      <c r="E206" s="432">
        <v>2.5880000000000001</v>
      </c>
      <c r="F206" s="432">
        <v>0.66999999999999282</v>
      </c>
      <c r="G206" s="432">
        <v>40.600000000000016</v>
      </c>
      <c r="H206" s="432">
        <v>1.6240000000000006</v>
      </c>
      <c r="I206" s="432" t="s">
        <v>41</v>
      </c>
      <c r="J206" s="432">
        <v>14.400000000000013</v>
      </c>
      <c r="K206" s="434">
        <v>258.8</v>
      </c>
    </row>
    <row r="207" spans="1:11" x14ac:dyDescent="0.3">
      <c r="A207" s="431">
        <v>46213</v>
      </c>
      <c r="B207" s="432"/>
      <c r="C207" s="433"/>
      <c r="D207" s="433"/>
      <c r="E207" s="432"/>
      <c r="F207" s="432"/>
      <c r="G207" s="432"/>
      <c r="H207" s="432"/>
      <c r="I207" s="432" t="s">
        <v>41</v>
      </c>
      <c r="J207" s="432">
        <v>-244.4</v>
      </c>
      <c r="K207" s="434">
        <v>0</v>
      </c>
    </row>
    <row r="208" spans="1:11" x14ac:dyDescent="0.3">
      <c r="A208" s="431">
        <v>46213</v>
      </c>
      <c r="B208" s="432"/>
      <c r="C208" s="433"/>
      <c r="D208" s="433"/>
      <c r="E208" s="432"/>
      <c r="F208" s="432"/>
      <c r="G208" s="432"/>
      <c r="H208" s="432"/>
      <c r="I208" s="432" t="s">
        <v>41</v>
      </c>
      <c r="J208" s="432">
        <v>-244.4</v>
      </c>
      <c r="K208" s="434">
        <v>0</v>
      </c>
    </row>
    <row r="209" spans="1:11" x14ac:dyDescent="0.3">
      <c r="A209" s="431">
        <v>46213</v>
      </c>
      <c r="B209" s="432"/>
      <c r="C209" s="433"/>
      <c r="D209" s="433"/>
      <c r="E209" s="432"/>
      <c r="F209" s="432"/>
      <c r="G209" s="432"/>
      <c r="H209" s="432"/>
      <c r="I209" s="432" t="s">
        <v>41</v>
      </c>
      <c r="J209" s="432">
        <v>-244.4</v>
      </c>
      <c r="K209" s="434">
        <v>0</v>
      </c>
    </row>
    <row r="210" spans="1:11" x14ac:dyDescent="0.3">
      <c r="A210" s="431">
        <v>46213</v>
      </c>
      <c r="B210" s="432"/>
      <c r="C210" s="433"/>
      <c r="D210" s="433"/>
      <c r="E210" s="432"/>
      <c r="F210" s="432"/>
      <c r="G210" s="432"/>
      <c r="H210" s="432"/>
      <c r="I210" s="432" t="s">
        <v>41</v>
      </c>
      <c r="J210" s="432">
        <v>-244.4</v>
      </c>
      <c r="K210" s="434">
        <v>0</v>
      </c>
    </row>
    <row r="211" spans="1:11" x14ac:dyDescent="0.3">
      <c r="A211" s="456">
        <v>46216</v>
      </c>
      <c r="B211" s="457" t="s">
        <v>19</v>
      </c>
      <c r="C211" s="458" t="s">
        <v>94</v>
      </c>
      <c r="D211" s="458" t="s">
        <v>97</v>
      </c>
      <c r="E211" s="457">
        <v>2.23</v>
      </c>
      <c r="F211" s="457">
        <v>4.8000000000000043</v>
      </c>
      <c r="G211" s="457">
        <v>4.8000000000000043</v>
      </c>
      <c r="H211" s="457">
        <v>0.19200000000000017</v>
      </c>
      <c r="I211" s="457">
        <v>1.399999999999979</v>
      </c>
      <c r="J211" s="457">
        <v>3.5000000000000142</v>
      </c>
      <c r="K211" s="459">
        <v>-5.4899999999999949</v>
      </c>
    </row>
    <row r="212" spans="1:11" x14ac:dyDescent="0.3">
      <c r="A212" s="456">
        <v>46216</v>
      </c>
      <c r="B212" s="457" t="s">
        <v>10</v>
      </c>
      <c r="C212" s="458" t="s">
        <v>97</v>
      </c>
      <c r="D212" s="458" t="s">
        <v>99</v>
      </c>
      <c r="E212" s="457">
        <v>2.4337</v>
      </c>
      <c r="F212" s="457">
        <v>20.369999999999997</v>
      </c>
      <c r="G212" s="457">
        <v>25.17</v>
      </c>
      <c r="H212" s="457">
        <v>1.0068000000000001</v>
      </c>
      <c r="I212" s="457">
        <v>2.9399999999999871</v>
      </c>
      <c r="J212" s="457">
        <v>10.970000000000013</v>
      </c>
      <c r="K212" s="459">
        <v>-3.9299999999999891</v>
      </c>
    </row>
    <row r="213" spans="1:11" x14ac:dyDescent="0.3">
      <c r="A213" s="456">
        <v>46216</v>
      </c>
      <c r="B213" s="457" t="s">
        <v>12</v>
      </c>
      <c r="C213" s="458" t="s">
        <v>99</v>
      </c>
      <c r="D213" s="458" t="s">
        <v>103</v>
      </c>
      <c r="E213" s="457">
        <v>2.4994999999999998</v>
      </c>
      <c r="F213" s="457">
        <v>6.5799999999999859</v>
      </c>
      <c r="G213" s="457">
        <v>31.749999999999989</v>
      </c>
      <c r="H213" s="457">
        <v>1.2699999999999996</v>
      </c>
      <c r="I213" s="457">
        <v>4.7399999999999665</v>
      </c>
      <c r="J213" s="457">
        <v>14.849999999999985</v>
      </c>
      <c r="K213" s="459">
        <v>-5.1100000000000367</v>
      </c>
    </row>
    <row r="214" spans="1:11" x14ac:dyDescent="0.3">
      <c r="A214" s="456">
        <v>46216</v>
      </c>
      <c r="B214" s="457" t="s">
        <v>13</v>
      </c>
      <c r="C214" s="458" t="s">
        <v>103</v>
      </c>
      <c r="D214" s="458">
        <v>46428</v>
      </c>
      <c r="E214" s="457">
        <v>2.5870000000000002</v>
      </c>
      <c r="F214" s="457">
        <v>8.7500000000000355</v>
      </c>
      <c r="G214" s="457">
        <v>40.500000000000028</v>
      </c>
      <c r="H214" s="457">
        <v>1.6200000000000012</v>
      </c>
      <c r="I214" s="457">
        <v>7.1000000000000174</v>
      </c>
      <c r="J214" s="457">
        <v>19.000000000000039</v>
      </c>
      <c r="K214" s="459">
        <v>-5.6299999999999795</v>
      </c>
    </row>
    <row r="215" spans="1:11" x14ac:dyDescent="0.3">
      <c r="A215" s="456">
        <v>46216</v>
      </c>
      <c r="B215" s="457" t="s">
        <v>14</v>
      </c>
      <c r="C215" s="458">
        <v>46428</v>
      </c>
      <c r="D215" s="458">
        <v>46470</v>
      </c>
      <c r="E215" s="457">
        <v>2.6215000000000002</v>
      </c>
      <c r="F215" s="457">
        <v>3.4499999999999975</v>
      </c>
      <c r="G215" s="457">
        <v>43.950000000000024</v>
      </c>
      <c r="H215" s="457">
        <v>1.7580000000000009</v>
      </c>
      <c r="I215" s="457">
        <v>8.3000000000000185</v>
      </c>
      <c r="J215" s="457">
        <v>21.200000000000017</v>
      </c>
      <c r="K215" s="459">
        <v>-5.769999999999964</v>
      </c>
    </row>
    <row r="216" spans="1:11" x14ac:dyDescent="0.3">
      <c r="A216" s="456">
        <v>46216</v>
      </c>
      <c r="B216" s="457" t="s">
        <v>15</v>
      </c>
      <c r="C216" s="458">
        <v>46470</v>
      </c>
      <c r="D216" s="458">
        <v>46512</v>
      </c>
      <c r="E216" s="457">
        <v>2.66</v>
      </c>
      <c r="F216" s="457">
        <v>3.8499999999999979</v>
      </c>
      <c r="G216" s="457">
        <v>47.800000000000018</v>
      </c>
      <c r="H216" s="457">
        <v>1.9120000000000008</v>
      </c>
      <c r="I216" s="457">
        <v>8.4999999999999964</v>
      </c>
      <c r="J216" s="457">
        <v>22.700000000000031</v>
      </c>
      <c r="K216" s="459">
        <v>-5.3999999999999826</v>
      </c>
    </row>
    <row r="217" spans="1:11" x14ac:dyDescent="0.3">
      <c r="A217" s="456">
        <v>46216</v>
      </c>
      <c r="B217" s="457" t="s">
        <v>17</v>
      </c>
      <c r="C217" s="458">
        <v>46512</v>
      </c>
      <c r="D217" s="458">
        <v>46554</v>
      </c>
      <c r="E217" s="457">
        <v>2.6680000000000001</v>
      </c>
      <c r="F217" s="457">
        <v>0.80000000000000071</v>
      </c>
      <c r="G217" s="457">
        <v>48.600000000000023</v>
      </c>
      <c r="H217" s="457">
        <v>1.9440000000000008</v>
      </c>
      <c r="I217" s="457">
        <v>8.67</v>
      </c>
      <c r="J217" s="457">
        <v>22.930000000000028</v>
      </c>
      <c r="K217" s="459">
        <v>-5.8999999999999719</v>
      </c>
    </row>
    <row r="218" spans="1:11" x14ac:dyDescent="0.3">
      <c r="A218" s="456">
        <v>46216</v>
      </c>
      <c r="B218" s="457" t="s">
        <v>28</v>
      </c>
      <c r="C218" s="458"/>
      <c r="D218" s="458"/>
      <c r="E218" s="457">
        <v>2.673</v>
      </c>
      <c r="F218" s="457">
        <v>0.49999999999998934</v>
      </c>
      <c r="G218" s="457">
        <v>49.100000000000009</v>
      </c>
      <c r="H218" s="457">
        <v>1.9640000000000004</v>
      </c>
      <c r="I218" s="457">
        <v>8.4999999999999964</v>
      </c>
      <c r="J218" s="457">
        <v>22.500000000000007</v>
      </c>
      <c r="K218" s="459">
        <v>267.3</v>
      </c>
    </row>
    <row r="219" spans="1:11" x14ac:dyDescent="0.3">
      <c r="A219" s="456">
        <v>46216</v>
      </c>
      <c r="B219" s="457"/>
      <c r="C219" s="458"/>
      <c r="D219" s="458"/>
      <c r="E219" s="457"/>
      <c r="F219" s="457"/>
      <c r="G219" s="457"/>
      <c r="H219" s="457"/>
      <c r="I219" s="457">
        <v>-258.8</v>
      </c>
      <c r="J219" s="457">
        <v>-244.79999999999998</v>
      </c>
      <c r="K219" s="459">
        <v>0</v>
      </c>
    </row>
    <row r="220" spans="1:11" x14ac:dyDescent="0.3">
      <c r="A220" s="456">
        <v>46216</v>
      </c>
      <c r="B220" s="457"/>
      <c r="C220" s="458"/>
      <c r="D220" s="458"/>
      <c r="E220" s="457"/>
      <c r="F220" s="457"/>
      <c r="G220" s="457"/>
      <c r="H220" s="457"/>
      <c r="I220" s="457">
        <v>-258.8</v>
      </c>
      <c r="J220" s="457">
        <v>-244.79999999999998</v>
      </c>
      <c r="K220" s="459">
        <v>0</v>
      </c>
    </row>
    <row r="221" spans="1:11" x14ac:dyDescent="0.3">
      <c r="A221" s="456">
        <v>46216</v>
      </c>
      <c r="B221" s="457"/>
      <c r="C221" s="458"/>
      <c r="D221" s="458"/>
      <c r="E221" s="457"/>
      <c r="F221" s="457"/>
      <c r="G221" s="457"/>
      <c r="H221" s="457"/>
      <c r="I221" s="457">
        <v>-258.8</v>
      </c>
      <c r="J221" s="457">
        <v>-244.79999999999998</v>
      </c>
      <c r="K221" s="459">
        <v>0</v>
      </c>
    </row>
    <row r="222" spans="1:11" x14ac:dyDescent="0.3">
      <c r="A222" s="456">
        <v>46216</v>
      </c>
      <c r="B222" s="457"/>
      <c r="C222" s="458"/>
      <c r="D222" s="458"/>
      <c r="E222" s="457"/>
      <c r="F222" s="457"/>
      <c r="G222" s="457"/>
      <c r="H222" s="457"/>
      <c r="I222" s="457">
        <v>-258.8</v>
      </c>
      <c r="J222" s="457">
        <v>-244.79999999999998</v>
      </c>
      <c r="K222" s="459">
        <v>0</v>
      </c>
    </row>
    <row r="223" spans="1:11" x14ac:dyDescent="0.3">
      <c r="A223" s="471">
        <v>46217</v>
      </c>
      <c r="B223" s="472" t="s">
        <v>19</v>
      </c>
      <c r="C223" s="473" t="s">
        <v>94</v>
      </c>
      <c r="D223" s="473" t="s">
        <v>97</v>
      </c>
      <c r="E223" s="472">
        <v>2.2161</v>
      </c>
      <c r="F223" s="472">
        <v>3.2099999999999795</v>
      </c>
      <c r="G223" s="472">
        <v>3.2099999999999795</v>
      </c>
      <c r="H223" s="472">
        <v>0.12839999999999918</v>
      </c>
      <c r="I223" s="472">
        <v>-1.3900000000000023</v>
      </c>
      <c r="J223" s="472">
        <v>1.8100000000000005</v>
      </c>
      <c r="K223" s="474">
        <v>-2.6899999999999924</v>
      </c>
    </row>
    <row r="224" spans="1:11" x14ac:dyDescent="0.3">
      <c r="A224" s="471">
        <v>46217</v>
      </c>
      <c r="B224" s="472" t="s">
        <v>10</v>
      </c>
      <c r="C224" s="473" t="s">
        <v>97</v>
      </c>
      <c r="D224" s="473" t="s">
        <v>99</v>
      </c>
      <c r="E224" s="472">
        <v>2.4300000000000002</v>
      </c>
      <c r="F224" s="472">
        <v>21.390000000000022</v>
      </c>
      <c r="G224" s="472">
        <v>24.6</v>
      </c>
      <c r="H224" s="472">
        <v>0.9840000000000001</v>
      </c>
      <c r="I224" s="472">
        <v>-0.36999999999998145</v>
      </c>
      <c r="J224" s="472">
        <v>7.8600000000000225</v>
      </c>
      <c r="K224" s="474">
        <v>2.2000000000000242</v>
      </c>
    </row>
    <row r="225" spans="1:11" x14ac:dyDescent="0.3">
      <c r="A225" s="471">
        <v>46217</v>
      </c>
      <c r="B225" s="472" t="s">
        <v>12</v>
      </c>
      <c r="C225" s="473" t="s">
        <v>99</v>
      </c>
      <c r="D225" s="473" t="s">
        <v>103</v>
      </c>
      <c r="E225" s="472">
        <v>2.5055000000000001</v>
      </c>
      <c r="F225" s="472">
        <v>7.5499999999999901</v>
      </c>
      <c r="G225" s="472">
        <v>32.149999999999991</v>
      </c>
      <c r="H225" s="472">
        <v>1.2859999999999996</v>
      </c>
      <c r="I225" s="472">
        <v>0.60000000000002274</v>
      </c>
      <c r="J225" s="472">
        <v>11.980000000000013</v>
      </c>
      <c r="K225" s="474">
        <v>4.0799999999999947</v>
      </c>
    </row>
    <row r="226" spans="1:11" x14ac:dyDescent="0.3">
      <c r="A226" s="471">
        <v>46217</v>
      </c>
      <c r="B226" s="472" t="s">
        <v>13</v>
      </c>
      <c r="C226" s="473" t="s">
        <v>103</v>
      </c>
      <c r="D226" s="473">
        <v>46428</v>
      </c>
      <c r="E226" s="472">
        <v>2.5981999999999998</v>
      </c>
      <c r="F226" s="472">
        <v>9.2699999999999783</v>
      </c>
      <c r="G226" s="472">
        <v>41.419999999999966</v>
      </c>
      <c r="H226" s="472">
        <v>1.6567999999999987</v>
      </c>
      <c r="I226" s="472">
        <v>1.1199999999999655</v>
      </c>
      <c r="J226" s="472">
        <v>15.700000000000003</v>
      </c>
      <c r="K226" s="474">
        <v>5.7199999999999918</v>
      </c>
    </row>
    <row r="227" spans="1:11" x14ac:dyDescent="0.3">
      <c r="A227" s="471">
        <v>46217</v>
      </c>
      <c r="B227" s="472" t="s">
        <v>14</v>
      </c>
      <c r="C227" s="473">
        <v>46428</v>
      </c>
      <c r="D227" s="473">
        <v>46470</v>
      </c>
      <c r="E227" s="472">
        <v>2.6333000000000002</v>
      </c>
      <c r="F227" s="472">
        <v>3.5100000000000353</v>
      </c>
      <c r="G227" s="472">
        <v>44.930000000000007</v>
      </c>
      <c r="H227" s="472">
        <v>1.7972000000000004</v>
      </c>
      <c r="I227" s="472">
        <v>1.1800000000000033</v>
      </c>
      <c r="J227" s="472">
        <v>17.53</v>
      </c>
      <c r="K227" s="474">
        <v>7.930000000000037</v>
      </c>
    </row>
    <row r="228" spans="1:11" x14ac:dyDescent="0.3">
      <c r="A228" s="471">
        <v>46217</v>
      </c>
      <c r="B228" s="472" t="s">
        <v>15</v>
      </c>
      <c r="C228" s="473">
        <v>46470</v>
      </c>
      <c r="D228" s="473">
        <v>46512</v>
      </c>
      <c r="E228" s="472">
        <v>2.6825000000000001</v>
      </c>
      <c r="F228" s="472">
        <v>4.919999999999991</v>
      </c>
      <c r="G228" s="472">
        <v>49.849999999999994</v>
      </c>
      <c r="H228" s="472">
        <v>1.9939999999999998</v>
      </c>
      <c r="I228" s="472">
        <v>2.2499999999999964</v>
      </c>
      <c r="J228" s="472">
        <v>19.500000000000028</v>
      </c>
      <c r="K228" s="474">
        <v>10.550000000000015</v>
      </c>
    </row>
    <row r="229" spans="1:11" x14ac:dyDescent="0.3">
      <c r="A229" s="471">
        <v>46217</v>
      </c>
      <c r="B229" s="472" t="s">
        <v>17</v>
      </c>
      <c r="C229" s="473">
        <v>46512</v>
      </c>
      <c r="D229" s="473">
        <v>46554</v>
      </c>
      <c r="E229" s="472">
        <v>2.6930000000000001</v>
      </c>
      <c r="F229" s="472">
        <v>1.0499999999999954</v>
      </c>
      <c r="G229" s="472">
        <v>50.899999999999991</v>
      </c>
      <c r="H229" s="472">
        <v>2.0359999999999996</v>
      </c>
      <c r="I229" s="472">
        <v>2.4999999999999911</v>
      </c>
      <c r="J229" s="472">
        <v>19.750000000000021</v>
      </c>
      <c r="K229" s="474" t="s">
        <v>41</v>
      </c>
    </row>
    <row r="230" spans="1:11" x14ac:dyDescent="0.3">
      <c r="A230" s="471">
        <v>46217</v>
      </c>
      <c r="B230" s="472" t="s">
        <v>28</v>
      </c>
      <c r="C230" s="473"/>
      <c r="D230" s="473"/>
      <c r="E230" s="472">
        <v>2.7040000000000002</v>
      </c>
      <c r="F230" s="472">
        <v>1.1000000000000121</v>
      </c>
      <c r="G230" s="472">
        <v>52</v>
      </c>
      <c r="H230" s="472">
        <v>2.08</v>
      </c>
      <c r="I230" s="472">
        <v>3.1000000000000139</v>
      </c>
      <c r="J230" s="472">
        <v>19.910000000000004</v>
      </c>
      <c r="K230" s="474" t="s">
        <v>41</v>
      </c>
    </row>
    <row r="231" spans="1:11" x14ac:dyDescent="0.3">
      <c r="A231" s="471">
        <v>46217</v>
      </c>
      <c r="B231" s="472"/>
      <c r="C231" s="473"/>
      <c r="D231" s="473"/>
      <c r="E231" s="472"/>
      <c r="F231" s="472"/>
      <c r="G231" s="472"/>
      <c r="H231" s="472"/>
      <c r="I231" s="472">
        <v>-267.3</v>
      </c>
      <c r="J231" s="472">
        <v>-250.49</v>
      </c>
      <c r="K231" s="474" t="s">
        <v>41</v>
      </c>
    </row>
    <row r="232" spans="1:11" x14ac:dyDescent="0.3">
      <c r="A232" s="471">
        <v>46217</v>
      </c>
      <c r="B232" s="472"/>
      <c r="C232" s="473"/>
      <c r="D232" s="473"/>
      <c r="E232" s="472"/>
      <c r="F232" s="472"/>
      <c r="G232" s="472"/>
      <c r="H232" s="472"/>
      <c r="I232" s="472">
        <v>-267.3</v>
      </c>
      <c r="J232" s="472">
        <v>-250.49</v>
      </c>
      <c r="K232" s="474" t="s">
        <v>41</v>
      </c>
    </row>
    <row r="233" spans="1:11" x14ac:dyDescent="0.3">
      <c r="A233" s="471">
        <v>46217</v>
      </c>
      <c r="B233" s="472"/>
      <c r="C233" s="473"/>
      <c r="D233" s="473"/>
      <c r="E233" s="472"/>
      <c r="F233" s="472"/>
      <c r="G233" s="472"/>
      <c r="H233" s="472"/>
      <c r="I233" s="472">
        <v>-267.3</v>
      </c>
      <c r="J233" s="472">
        <v>-250.49</v>
      </c>
      <c r="K233" s="474" t="s">
        <v>41</v>
      </c>
    </row>
    <row r="234" spans="1:11" x14ac:dyDescent="0.3">
      <c r="A234" s="471">
        <v>46217</v>
      </c>
      <c r="B234" s="472"/>
      <c r="C234" s="473"/>
      <c r="D234" s="473"/>
      <c r="E234" s="472"/>
      <c r="F234" s="472"/>
      <c r="G234" s="472"/>
      <c r="H234" s="472"/>
      <c r="I234" s="472">
        <v>-267.3</v>
      </c>
      <c r="J234" s="472">
        <v>-250.49</v>
      </c>
      <c r="K234" s="474" t="s">
        <v>41</v>
      </c>
    </row>
    <row r="235" spans="1:11" x14ac:dyDescent="0.3">
      <c r="A235" s="9">
        <v>46218</v>
      </c>
      <c r="B235" s="10" t="s">
        <v>19</v>
      </c>
      <c r="C235" s="121" t="s">
        <v>94</v>
      </c>
      <c r="D235" s="121" t="s">
        <v>97</v>
      </c>
      <c r="E235" s="10">
        <v>2.2031999999999998</v>
      </c>
      <c r="F235" s="10">
        <v>1.9199999999999662</v>
      </c>
      <c r="G235" s="10">
        <v>1.9199999999999662</v>
      </c>
      <c r="H235" s="10">
        <v>7.6799999999998647E-2</v>
      </c>
      <c r="I235" s="10">
        <v>-1.2900000000000134</v>
      </c>
      <c r="J235" s="10">
        <v>-2.8900000000000148</v>
      </c>
      <c r="K235" s="11">
        <v>-2.7100000000000346</v>
      </c>
    </row>
    <row r="236" spans="1:11" x14ac:dyDescent="0.3">
      <c r="A236" s="9">
        <v>46218</v>
      </c>
      <c r="B236" s="10" t="s">
        <v>10</v>
      </c>
      <c r="C236" s="121" t="s">
        <v>97</v>
      </c>
      <c r="D236" s="121" t="s">
        <v>99</v>
      </c>
      <c r="E236" s="10">
        <v>2.4171</v>
      </c>
      <c r="F236" s="10">
        <v>21.390000000000022</v>
      </c>
      <c r="G236" s="10">
        <v>23.309999999999988</v>
      </c>
      <c r="H236" s="10">
        <v>0.93239999999999956</v>
      </c>
      <c r="I236" s="10">
        <v>-1.2900000000000134</v>
      </c>
      <c r="J236" s="10">
        <v>0.24999999999999467</v>
      </c>
      <c r="K236" s="11">
        <v>2.9100000000000126</v>
      </c>
    </row>
    <row r="237" spans="1:11" x14ac:dyDescent="0.3">
      <c r="A237" s="9">
        <v>46218</v>
      </c>
      <c r="B237" s="10" t="s">
        <v>12</v>
      </c>
      <c r="C237" s="121" t="s">
        <v>99</v>
      </c>
      <c r="D237" s="121" t="s">
        <v>103</v>
      </c>
      <c r="E237" s="10">
        <v>2.4900000000000002</v>
      </c>
      <c r="F237" s="10">
        <v>7.2900000000000187</v>
      </c>
      <c r="G237" s="10">
        <v>30.600000000000005</v>
      </c>
      <c r="H237" s="10">
        <v>1.2240000000000002</v>
      </c>
      <c r="I237" s="10">
        <v>-1.5499999999999847</v>
      </c>
      <c r="J237" s="10">
        <v>1.5000000000000124</v>
      </c>
      <c r="K237" s="11">
        <v>5.8000000000000274</v>
      </c>
    </row>
    <row r="238" spans="1:11" x14ac:dyDescent="0.3">
      <c r="A238" s="9">
        <v>46218</v>
      </c>
      <c r="B238" s="10" t="s">
        <v>13</v>
      </c>
      <c r="C238" s="121" t="s">
        <v>103</v>
      </c>
      <c r="D238" s="121">
        <v>46428</v>
      </c>
      <c r="E238" s="10">
        <v>2.5851000000000002</v>
      </c>
      <c r="F238" s="10">
        <v>9.5099999999999962</v>
      </c>
      <c r="G238" s="10">
        <v>40.11</v>
      </c>
      <c r="H238" s="10">
        <v>1.6044</v>
      </c>
      <c r="I238" s="10">
        <v>-1.3099999999999667</v>
      </c>
      <c r="J238" s="10">
        <v>2.1100000000000119</v>
      </c>
      <c r="K238" s="11">
        <v>8.5100000000000176</v>
      </c>
    </row>
    <row r="239" spans="1:11" x14ac:dyDescent="0.3">
      <c r="A239" s="9">
        <v>46218</v>
      </c>
      <c r="B239" s="10" t="s">
        <v>14</v>
      </c>
      <c r="C239" s="121">
        <v>46428</v>
      </c>
      <c r="D239" s="121">
        <v>46470</v>
      </c>
      <c r="E239" s="10">
        <v>2.6219999999999999</v>
      </c>
      <c r="F239" s="10">
        <v>3.6899999999999711</v>
      </c>
      <c r="G239" s="10">
        <v>43.799999999999969</v>
      </c>
      <c r="H239" s="10">
        <v>1.7519999999999987</v>
      </c>
      <c r="I239" s="10">
        <v>-1.130000000000031</v>
      </c>
      <c r="J239" s="10">
        <v>2.3699999999999832</v>
      </c>
      <c r="K239" s="11">
        <v>10.949999999999971</v>
      </c>
    </row>
    <row r="240" spans="1:11" x14ac:dyDescent="0.3">
      <c r="A240" s="9">
        <v>46218</v>
      </c>
      <c r="B240" s="10" t="s">
        <v>15</v>
      </c>
      <c r="C240" s="121">
        <v>46470</v>
      </c>
      <c r="D240" s="121">
        <v>46512</v>
      </c>
      <c r="E240" s="10">
        <v>2.6709999999999998</v>
      </c>
      <c r="F240" s="10">
        <v>4.8999999999999932</v>
      </c>
      <c r="G240" s="10">
        <v>48.699999999999967</v>
      </c>
      <c r="H240" s="10">
        <v>1.9479999999999986</v>
      </c>
      <c r="I240" s="10">
        <v>-1.1500000000000288</v>
      </c>
      <c r="J240" s="10">
        <v>3.1499999999999861</v>
      </c>
      <c r="K240" s="11">
        <v>14.080000000000004</v>
      </c>
    </row>
    <row r="241" spans="1:11" x14ac:dyDescent="0.3">
      <c r="A241" s="9">
        <v>46218</v>
      </c>
      <c r="B241" s="10" t="s">
        <v>17</v>
      </c>
      <c r="C241" s="121">
        <v>46512</v>
      </c>
      <c r="D241" s="121">
        <v>46554</v>
      </c>
      <c r="E241" s="10">
        <v>2.6819000000000002</v>
      </c>
      <c r="F241" s="10">
        <v>1.0900000000000354</v>
      </c>
      <c r="G241" s="10">
        <v>49.79</v>
      </c>
      <c r="H241" s="10">
        <v>1.9916</v>
      </c>
      <c r="I241" s="10">
        <v>-1.1099999999999888</v>
      </c>
      <c r="J241" s="10">
        <v>3.1400000000000095</v>
      </c>
      <c r="K241" s="11">
        <v>14.830000000000032</v>
      </c>
    </row>
    <row r="242" spans="1:11" x14ac:dyDescent="0.3">
      <c r="A242" s="9">
        <v>46218</v>
      </c>
      <c r="B242" s="10" t="s">
        <v>28</v>
      </c>
      <c r="C242" s="121"/>
      <c r="D242" s="121"/>
      <c r="E242" s="10">
        <v>2.69</v>
      </c>
      <c r="F242" s="10">
        <v>0.8099999999999774</v>
      </c>
      <c r="G242" s="10">
        <v>50.59999999999998</v>
      </c>
      <c r="H242" s="10">
        <v>2.0239999999999991</v>
      </c>
      <c r="I242" s="10">
        <v>-1.4000000000000234</v>
      </c>
      <c r="J242" s="10">
        <v>3.2000000000000028</v>
      </c>
      <c r="K242" s="11">
        <v>16.699999999999982</v>
      </c>
    </row>
    <row r="243" spans="1:11" x14ac:dyDescent="0.3">
      <c r="A243" s="9">
        <v>46218</v>
      </c>
      <c r="B243" s="10"/>
      <c r="C243" s="121"/>
      <c r="D243" s="121"/>
      <c r="E243" s="10"/>
      <c r="F243" s="10"/>
      <c r="G243" s="10"/>
      <c r="H243" s="10"/>
      <c r="I243" s="10">
        <v>-270.40000000000003</v>
      </c>
      <c r="J243" s="10">
        <v>-265.8</v>
      </c>
      <c r="K243" s="11">
        <v>-252.3</v>
      </c>
    </row>
    <row r="244" spans="1:11" x14ac:dyDescent="0.3">
      <c r="A244" s="9">
        <v>46218</v>
      </c>
      <c r="B244" s="10"/>
      <c r="C244" s="121"/>
      <c r="D244" s="121"/>
      <c r="E244" s="10"/>
      <c r="F244" s="10"/>
      <c r="G244" s="10"/>
      <c r="H244" s="10"/>
      <c r="I244" s="10">
        <v>-270.40000000000003</v>
      </c>
      <c r="J244" s="10">
        <v>-265.8</v>
      </c>
      <c r="K244" s="11">
        <v>-252.3</v>
      </c>
    </row>
    <row r="245" spans="1:11" x14ac:dyDescent="0.3">
      <c r="A245" s="9">
        <v>46218</v>
      </c>
      <c r="B245" s="10"/>
      <c r="C245" s="121"/>
      <c r="D245" s="121"/>
      <c r="E245" s="10"/>
      <c r="F245" s="10"/>
      <c r="G245" s="10"/>
      <c r="H245" s="10"/>
      <c r="I245" s="10">
        <v>-270.40000000000003</v>
      </c>
      <c r="J245" s="10">
        <v>-265.8</v>
      </c>
      <c r="K245" s="11">
        <v>-252.3</v>
      </c>
    </row>
    <row r="246" spans="1:11" x14ac:dyDescent="0.3">
      <c r="A246" s="9">
        <v>46218</v>
      </c>
      <c r="B246" s="10"/>
      <c r="C246" s="121"/>
      <c r="D246" s="121"/>
      <c r="E246" s="10"/>
      <c r="F246" s="10"/>
      <c r="G246" s="10"/>
      <c r="H246" s="10"/>
      <c r="I246" s="10">
        <v>-270.40000000000003</v>
      </c>
      <c r="J246" s="10">
        <v>-265.8</v>
      </c>
      <c r="K246" s="11">
        <v>-252.3</v>
      </c>
    </row>
    <row r="247" spans="1:11" x14ac:dyDescent="0.3">
      <c r="A247" s="9">
        <v>46219</v>
      </c>
      <c r="B247" s="10" t="s">
        <v>19</v>
      </c>
      <c r="C247" s="121" t="s">
        <v>94</v>
      </c>
      <c r="D247" s="121" t="s">
        <v>97</v>
      </c>
      <c r="E247" s="10">
        <v>2.206</v>
      </c>
      <c r="F247" s="10">
        <v>2.1999999999999797</v>
      </c>
      <c r="G247" s="10">
        <v>2.1999999999999797</v>
      </c>
      <c r="H247" s="10">
        <v>8.799999999999919E-2</v>
      </c>
      <c r="I247" s="10">
        <v>0.28000000000001357</v>
      </c>
      <c r="J247" s="10">
        <v>-1.4000000000000234</v>
      </c>
      <c r="K247" s="11">
        <v>-2.8000000000000025</v>
      </c>
    </row>
    <row r="248" spans="1:11" x14ac:dyDescent="0.3">
      <c r="A248" s="9">
        <v>46219</v>
      </c>
      <c r="B248" s="10" t="s">
        <v>10</v>
      </c>
      <c r="C248" s="121" t="s">
        <v>97</v>
      </c>
      <c r="D248" s="121" t="s">
        <v>99</v>
      </c>
      <c r="E248" s="10">
        <v>2.4199000000000002</v>
      </c>
      <c r="F248" s="10">
        <v>21.390000000000022</v>
      </c>
      <c r="G248" s="10">
        <v>23.59</v>
      </c>
      <c r="H248" s="10">
        <v>0.94359999999999999</v>
      </c>
      <c r="I248" s="10">
        <v>0.28000000000001357</v>
      </c>
      <c r="J248" s="10">
        <v>2.1900000000000031</v>
      </c>
      <c r="K248" s="11">
        <v>2.8900000000000148</v>
      </c>
    </row>
    <row r="249" spans="1:11" x14ac:dyDescent="0.3">
      <c r="A249" s="9">
        <v>46219</v>
      </c>
      <c r="B249" s="10" t="s">
        <v>12</v>
      </c>
      <c r="C249" s="121" t="s">
        <v>99</v>
      </c>
      <c r="D249" s="121" t="s">
        <v>103</v>
      </c>
      <c r="E249" s="10">
        <v>2.5007999999999999</v>
      </c>
      <c r="F249" s="10">
        <v>8.089999999999975</v>
      </c>
      <c r="G249" s="10">
        <v>31.679999999999975</v>
      </c>
      <c r="H249" s="10">
        <v>1.267199999999999</v>
      </c>
      <c r="I249" s="10">
        <v>1.0799999999999699</v>
      </c>
      <c r="J249" s="10">
        <v>5.1800000000000068</v>
      </c>
      <c r="K249" s="11">
        <v>6.3800000000000079</v>
      </c>
    </row>
    <row r="250" spans="1:11" x14ac:dyDescent="0.3">
      <c r="A250" s="9">
        <v>46219</v>
      </c>
      <c r="B250" s="10" t="s">
        <v>13</v>
      </c>
      <c r="C250" s="121" t="s">
        <v>103</v>
      </c>
      <c r="D250" s="121" t="s">
        <v>125</v>
      </c>
      <c r="E250" s="10">
        <v>2.6082000000000001</v>
      </c>
      <c r="F250" s="10">
        <v>10.740000000000016</v>
      </c>
      <c r="G250" s="10">
        <v>42.419999999999987</v>
      </c>
      <c r="H250" s="10">
        <v>1.6967999999999994</v>
      </c>
      <c r="I250" s="10">
        <v>2.3099999999999898</v>
      </c>
      <c r="J250" s="10">
        <v>9.0300000000000047</v>
      </c>
      <c r="K250" s="11">
        <v>9.8200000000000287</v>
      </c>
    </row>
    <row r="251" spans="1:11" x14ac:dyDescent="0.3">
      <c r="A251" s="9">
        <v>46219</v>
      </c>
      <c r="B251" s="10" t="s">
        <v>14</v>
      </c>
      <c r="C251" s="121" t="s">
        <v>125</v>
      </c>
      <c r="D251" s="121" t="s">
        <v>147</v>
      </c>
      <c r="E251" s="10">
        <v>2.649</v>
      </c>
      <c r="F251" s="10">
        <v>4.0799999999999947</v>
      </c>
      <c r="G251" s="10">
        <v>46.499999999999986</v>
      </c>
      <c r="H251" s="10">
        <v>1.8599999999999994</v>
      </c>
      <c r="I251" s="10">
        <v>2.7000000000000135</v>
      </c>
      <c r="J251" s="10">
        <v>10.959999999999992</v>
      </c>
      <c r="K251" s="11">
        <v>12.199999999999989</v>
      </c>
    </row>
    <row r="252" spans="1:11" x14ac:dyDescent="0.3">
      <c r="A252" s="9">
        <v>46219</v>
      </c>
      <c r="B252" s="10" t="s">
        <v>15</v>
      </c>
      <c r="C252" s="121" t="s">
        <v>147</v>
      </c>
      <c r="D252" s="121" t="s">
        <v>148</v>
      </c>
      <c r="E252" s="10">
        <v>2.7048000000000001</v>
      </c>
      <c r="F252" s="10">
        <v>5.5800000000000072</v>
      </c>
      <c r="G252" s="10">
        <v>52.079999999999991</v>
      </c>
      <c r="H252" s="10">
        <v>2.0831999999999997</v>
      </c>
      <c r="I252" s="10" t="s">
        <v>41</v>
      </c>
      <c r="J252" s="10" t="s">
        <v>41</v>
      </c>
      <c r="K252" s="11" t="s">
        <v>41</v>
      </c>
    </row>
    <row r="253" spans="1:11" x14ac:dyDescent="0.3">
      <c r="A253" s="9">
        <v>46219</v>
      </c>
      <c r="B253" s="10" t="s">
        <v>17</v>
      </c>
      <c r="C253" s="121" t="s">
        <v>148</v>
      </c>
      <c r="D253" s="121" t="s">
        <v>199</v>
      </c>
      <c r="E253" s="10">
        <v>2.7176999999999998</v>
      </c>
      <c r="F253" s="10">
        <v>1.2899999999999689</v>
      </c>
      <c r="G253" s="10">
        <v>53.369999999999962</v>
      </c>
      <c r="H253" s="10">
        <v>2.1347999999999985</v>
      </c>
      <c r="I253" s="10" t="s">
        <v>41</v>
      </c>
      <c r="J253" s="10" t="s">
        <v>41</v>
      </c>
      <c r="K253" s="11" t="s">
        <v>41</v>
      </c>
    </row>
    <row r="254" spans="1:11" x14ac:dyDescent="0.3">
      <c r="A254" s="9">
        <v>46219</v>
      </c>
      <c r="B254" s="10" t="s">
        <v>28</v>
      </c>
      <c r="C254" s="121"/>
      <c r="D254" s="121"/>
      <c r="E254" s="10">
        <v>2.7303000000000002</v>
      </c>
      <c r="F254" s="10">
        <v>1.2600000000000389</v>
      </c>
      <c r="G254" s="10">
        <v>54.63</v>
      </c>
      <c r="H254" s="10">
        <v>2.1852</v>
      </c>
      <c r="I254" s="10">
        <v>4.0300000000000225</v>
      </c>
      <c r="J254" s="10" t="s">
        <v>41</v>
      </c>
      <c r="K254" s="11">
        <v>18.630000000000013</v>
      </c>
    </row>
    <row r="255" spans="1:11" x14ac:dyDescent="0.3">
      <c r="A255" s="9">
        <v>46219</v>
      </c>
      <c r="B255" s="10"/>
      <c r="C255" s="121"/>
      <c r="D255" s="121"/>
      <c r="E255" s="10"/>
      <c r="F255" s="10"/>
      <c r="G255" s="10"/>
      <c r="H255" s="10"/>
      <c r="I255" s="10">
        <v>-269</v>
      </c>
      <c r="J255" s="10" t="s">
        <v>41</v>
      </c>
      <c r="K255" s="11">
        <v>-254.4</v>
      </c>
    </row>
    <row r="256" spans="1:11" x14ac:dyDescent="0.3">
      <c r="A256" s="9">
        <v>46219</v>
      </c>
      <c r="B256" s="10"/>
      <c r="C256" s="121"/>
      <c r="D256" s="121"/>
      <c r="E256" s="10"/>
      <c r="F256" s="10"/>
      <c r="G256" s="10"/>
      <c r="H256" s="10"/>
      <c r="I256" s="10">
        <v>-269</v>
      </c>
      <c r="J256" s="10" t="s">
        <v>41</v>
      </c>
      <c r="K256" s="11">
        <v>-254.4</v>
      </c>
    </row>
    <row r="257" spans="1:11" x14ac:dyDescent="0.3">
      <c r="A257" s="9">
        <v>46219</v>
      </c>
      <c r="B257" s="10"/>
      <c r="C257" s="121"/>
      <c r="D257" s="121"/>
      <c r="E257" s="10"/>
      <c r="F257" s="10"/>
      <c r="G257" s="10"/>
      <c r="H257" s="10"/>
      <c r="I257" s="10">
        <v>-269</v>
      </c>
      <c r="J257" s="10" t="s">
        <v>41</v>
      </c>
      <c r="K257" s="11">
        <v>-254.4</v>
      </c>
    </row>
    <row r="258" spans="1:11" x14ac:dyDescent="0.3">
      <c r="A258" s="9">
        <v>46219</v>
      </c>
      <c r="B258" s="10"/>
      <c r="C258" s="121"/>
      <c r="D258" s="121"/>
      <c r="E258" s="10"/>
      <c r="F258" s="10"/>
      <c r="G258" s="10"/>
      <c r="H258" s="10"/>
      <c r="I258" s="10">
        <v>-269</v>
      </c>
      <c r="J258" s="10" t="s">
        <v>41</v>
      </c>
      <c r="K258" s="11">
        <v>-254.4</v>
      </c>
    </row>
    <row r="259" spans="1:11" x14ac:dyDescent="0.3">
      <c r="A259" s="486">
        <v>46220</v>
      </c>
      <c r="B259" s="487" t="s">
        <v>19</v>
      </c>
      <c r="C259" s="488" t="s">
        <v>94</v>
      </c>
      <c r="D259" s="488" t="s">
        <v>97</v>
      </c>
      <c r="E259" s="487">
        <v>2.2056</v>
      </c>
      <c r="F259" s="487">
        <v>2.0599999999999952</v>
      </c>
      <c r="G259" s="487">
        <v>2.0599999999999952</v>
      </c>
      <c r="H259" s="487">
        <v>8.2399999999999807E-2</v>
      </c>
      <c r="I259" s="487">
        <v>-3.9999999999995595E-2</v>
      </c>
      <c r="J259" s="487">
        <v>-1.0400000000000187</v>
      </c>
      <c r="K259" s="489">
        <v>-2.1399999999999864</v>
      </c>
    </row>
    <row r="260" spans="1:11" x14ac:dyDescent="0.3">
      <c r="A260" s="486">
        <v>46220</v>
      </c>
      <c r="B260" s="487" t="s">
        <v>10</v>
      </c>
      <c r="C260" s="488" t="s">
        <v>97</v>
      </c>
      <c r="D260" s="488" t="s">
        <v>99</v>
      </c>
      <c r="E260" s="487">
        <v>2.4155000000000002</v>
      </c>
      <c r="F260" s="487">
        <v>20.99000000000002</v>
      </c>
      <c r="G260" s="487">
        <v>23.050000000000015</v>
      </c>
      <c r="H260" s="487">
        <v>0.9220000000000006</v>
      </c>
      <c r="I260" s="487">
        <v>-0.43999999999999595</v>
      </c>
      <c r="J260" s="487">
        <v>1.1200000000000099</v>
      </c>
      <c r="K260" s="489">
        <v>2.5500000000000078</v>
      </c>
    </row>
    <row r="261" spans="1:11" x14ac:dyDescent="0.3">
      <c r="A261" s="486">
        <v>46220</v>
      </c>
      <c r="B261" s="487" t="s">
        <v>12</v>
      </c>
      <c r="C261" s="488" t="s">
        <v>99</v>
      </c>
      <c r="D261" s="488" t="s">
        <v>103</v>
      </c>
      <c r="E261" s="487">
        <v>2.5009000000000001</v>
      </c>
      <c r="F261" s="487">
        <v>8.539999999999992</v>
      </c>
      <c r="G261" s="487">
        <v>31.590000000000007</v>
      </c>
      <c r="H261" s="487">
        <v>1.2636000000000003</v>
      </c>
      <c r="I261" s="487">
        <v>1.0000000000021103E-2</v>
      </c>
      <c r="J261" s="487">
        <v>4.8799999999999955</v>
      </c>
      <c r="K261" s="489">
        <v>6.8900000000000183</v>
      </c>
    </row>
    <row r="262" spans="1:11" x14ac:dyDescent="0.3">
      <c r="A262" s="486">
        <v>46220</v>
      </c>
      <c r="B262" s="487" t="s">
        <v>13</v>
      </c>
      <c r="C262" s="488" t="s">
        <v>103</v>
      </c>
      <c r="D262" s="488" t="s">
        <v>125</v>
      </c>
      <c r="E262" s="487">
        <v>2.6246999999999998</v>
      </c>
      <c r="F262" s="487">
        <v>12.379999999999969</v>
      </c>
      <c r="G262" s="487">
        <v>43.969999999999978</v>
      </c>
      <c r="H262" s="487">
        <v>1.758799999999999</v>
      </c>
      <c r="I262" s="487">
        <v>1.6499999999999737</v>
      </c>
      <c r="J262" s="487">
        <v>10.86999999999998</v>
      </c>
      <c r="K262" s="489">
        <v>12.069999999999981</v>
      </c>
    </row>
    <row r="263" spans="1:11" x14ac:dyDescent="0.3">
      <c r="A263" s="486">
        <v>46220</v>
      </c>
      <c r="B263" s="487" t="s">
        <v>14</v>
      </c>
      <c r="C263" s="488" t="s">
        <v>125</v>
      </c>
      <c r="D263" s="488" t="s">
        <v>147</v>
      </c>
      <c r="E263" s="487">
        <v>2.6720000000000002</v>
      </c>
      <c r="F263" s="487">
        <v>4.7300000000000342</v>
      </c>
      <c r="G263" s="487">
        <v>48.70000000000001</v>
      </c>
      <c r="H263" s="487">
        <v>1.9480000000000004</v>
      </c>
      <c r="I263" s="487">
        <v>2.3000000000000131</v>
      </c>
      <c r="J263" s="487">
        <v>13.350000000000017</v>
      </c>
      <c r="K263" s="489">
        <v>15.200000000000014</v>
      </c>
    </row>
    <row r="264" spans="1:11" x14ac:dyDescent="0.3">
      <c r="A264" s="486">
        <v>46220</v>
      </c>
      <c r="B264" s="487" t="s">
        <v>15</v>
      </c>
      <c r="C264" s="488" t="s">
        <v>147</v>
      </c>
      <c r="D264" s="488" t="s">
        <v>148</v>
      </c>
      <c r="E264" s="487">
        <v>2.7334999999999998</v>
      </c>
      <c r="F264" s="487">
        <v>6.1499999999999666</v>
      </c>
      <c r="G264" s="487">
        <v>54.84999999999998</v>
      </c>
      <c r="H264" s="487">
        <v>2.1939999999999991</v>
      </c>
      <c r="I264" s="487">
        <v>2.8699999999999726</v>
      </c>
      <c r="J264" s="487" t="s">
        <v>41</v>
      </c>
      <c r="K264" s="489" t="s">
        <v>41</v>
      </c>
    </row>
    <row r="265" spans="1:11" x14ac:dyDescent="0.3">
      <c r="A265" s="486">
        <v>46220</v>
      </c>
      <c r="B265" s="487" t="s">
        <v>17</v>
      </c>
      <c r="C265" s="488" t="s">
        <v>148</v>
      </c>
      <c r="D265" s="488" t="s">
        <v>199</v>
      </c>
      <c r="E265" s="487">
        <v>2.7480000000000002</v>
      </c>
      <c r="F265" s="487">
        <v>1.4500000000000401</v>
      </c>
      <c r="G265" s="487">
        <v>56.300000000000018</v>
      </c>
      <c r="H265" s="487">
        <v>2.2520000000000007</v>
      </c>
      <c r="I265" s="487">
        <v>3.0300000000000438</v>
      </c>
      <c r="J265" s="487" t="s">
        <v>41</v>
      </c>
      <c r="K265" s="489" t="s">
        <v>41</v>
      </c>
    </row>
    <row r="266" spans="1:11" x14ac:dyDescent="0.3">
      <c r="A266" s="486">
        <v>46220</v>
      </c>
      <c r="B266" s="487" t="s">
        <v>28</v>
      </c>
      <c r="C266" s="488"/>
      <c r="D266" s="488"/>
      <c r="E266" s="487">
        <v>2.7545000000000002</v>
      </c>
      <c r="F266" s="487">
        <v>0.64999999999999503</v>
      </c>
      <c r="G266" s="487">
        <v>56.95000000000001</v>
      </c>
      <c r="H266" s="487">
        <v>2.2780000000000005</v>
      </c>
      <c r="I266" s="487">
        <v>2.42</v>
      </c>
      <c r="J266" s="487">
        <v>16.650000000000009</v>
      </c>
      <c r="K266" s="489">
        <v>21.450000000000014</v>
      </c>
    </row>
    <row r="267" spans="1:11" x14ac:dyDescent="0.3">
      <c r="A267" s="486">
        <v>46220</v>
      </c>
      <c r="B267" s="487"/>
      <c r="C267" s="488"/>
      <c r="D267" s="488"/>
      <c r="E267" s="487"/>
      <c r="F267" s="487"/>
      <c r="G267" s="487"/>
      <c r="H267" s="487"/>
      <c r="I267" s="487">
        <v>-273.03000000000003</v>
      </c>
      <c r="J267" s="487">
        <v>-258.8</v>
      </c>
      <c r="K267" s="489">
        <v>-254</v>
      </c>
    </row>
    <row r="268" spans="1:11" x14ac:dyDescent="0.3">
      <c r="A268" s="486">
        <v>46220</v>
      </c>
      <c r="B268" s="487"/>
      <c r="C268" s="488"/>
      <c r="D268" s="488"/>
      <c r="E268" s="487"/>
      <c r="F268" s="487"/>
      <c r="G268" s="487"/>
      <c r="H268" s="487"/>
      <c r="I268" s="487">
        <v>-273.03000000000003</v>
      </c>
      <c r="J268" s="487">
        <v>-258.8</v>
      </c>
      <c r="K268" s="489">
        <v>-254</v>
      </c>
    </row>
    <row r="269" spans="1:11" x14ac:dyDescent="0.3">
      <c r="A269" s="486">
        <v>46220</v>
      </c>
      <c r="B269" s="487"/>
      <c r="C269" s="488"/>
      <c r="D269" s="488"/>
      <c r="E269" s="487"/>
      <c r="F269" s="487"/>
      <c r="G269" s="487"/>
      <c r="H269" s="487"/>
      <c r="I269" s="487">
        <v>-273.03000000000003</v>
      </c>
      <c r="J269" s="487">
        <v>-258.8</v>
      </c>
      <c r="K269" s="489">
        <v>-254</v>
      </c>
    </row>
    <row r="270" spans="1:11" x14ac:dyDescent="0.3">
      <c r="A270" s="486">
        <v>46220</v>
      </c>
      <c r="B270" s="487"/>
      <c r="C270" s="488"/>
      <c r="D270" s="488"/>
      <c r="E270" s="487"/>
      <c r="F270" s="487"/>
      <c r="G270" s="487"/>
      <c r="H270" s="487"/>
      <c r="I270" s="487">
        <v>-273.03000000000003</v>
      </c>
      <c r="J270" s="487">
        <v>-258.8</v>
      </c>
      <c r="K270" s="489">
        <v>-254</v>
      </c>
    </row>
    <row r="271" spans="1:11" x14ac:dyDescent="0.3">
      <c r="A271" s="486">
        <v>46223</v>
      </c>
      <c r="B271" s="487" t="s">
        <v>19</v>
      </c>
      <c r="C271" s="488" t="s">
        <v>94</v>
      </c>
      <c r="D271" s="488" t="s">
        <v>97</v>
      </c>
      <c r="E271" s="487">
        <v>2.1995</v>
      </c>
      <c r="F271" s="487">
        <v>1.3500000000000068</v>
      </c>
      <c r="G271" s="487">
        <v>1.3500000000000068</v>
      </c>
      <c r="H271" s="487">
        <v>5.400000000000027E-2</v>
      </c>
      <c r="I271" s="487">
        <v>-0.60999999999999943</v>
      </c>
      <c r="J271" s="487">
        <v>-3.0499999999999972</v>
      </c>
      <c r="K271" s="489">
        <v>-2.7499999999999858</v>
      </c>
    </row>
    <row r="272" spans="1:11" x14ac:dyDescent="0.3">
      <c r="A272" s="486">
        <v>46223</v>
      </c>
      <c r="B272" s="487" t="s">
        <v>10</v>
      </c>
      <c r="C272" s="488" t="s">
        <v>97</v>
      </c>
      <c r="D272" s="488" t="s">
        <v>99</v>
      </c>
      <c r="E272" s="487">
        <v>2.4140000000000001</v>
      </c>
      <c r="F272" s="487">
        <v>21.450000000000014</v>
      </c>
      <c r="G272" s="487">
        <v>22.800000000000018</v>
      </c>
      <c r="H272" s="487">
        <v>0.9120000000000007</v>
      </c>
      <c r="I272" s="487">
        <v>-0.15000000000000568</v>
      </c>
      <c r="J272" s="487">
        <v>-1.9699999999999829</v>
      </c>
      <c r="K272" s="489">
        <v>2.4000000000000021</v>
      </c>
    </row>
    <row r="273" spans="1:11" x14ac:dyDescent="0.3">
      <c r="A273" s="486">
        <v>46223</v>
      </c>
      <c r="B273" s="487" t="s">
        <v>12</v>
      </c>
      <c r="C273" s="488" t="s">
        <v>99</v>
      </c>
      <c r="D273" s="488" t="s">
        <v>103</v>
      </c>
      <c r="E273" s="487">
        <v>2.4980000000000002</v>
      </c>
      <c r="F273" s="487">
        <v>8.4000000000000075</v>
      </c>
      <c r="G273" s="487">
        <v>31.200000000000028</v>
      </c>
      <c r="H273" s="487">
        <v>1.2480000000000011</v>
      </c>
      <c r="I273" s="487">
        <v>-0.28999999999999027</v>
      </c>
      <c r="J273" s="487">
        <v>-0.14999999999996128</v>
      </c>
      <c r="K273" s="489">
        <v>6.6000000000000281</v>
      </c>
    </row>
    <row r="274" spans="1:11" x14ac:dyDescent="0.3">
      <c r="A274" s="486">
        <v>46223</v>
      </c>
      <c r="B274" s="487" t="s">
        <v>13</v>
      </c>
      <c r="C274" s="488" t="s">
        <v>103</v>
      </c>
      <c r="D274" s="488" t="s">
        <v>125</v>
      </c>
      <c r="E274" s="487">
        <v>2.6252</v>
      </c>
      <c r="F274" s="487">
        <v>12.719999999999976</v>
      </c>
      <c r="G274" s="487">
        <v>43.92</v>
      </c>
      <c r="H274" s="487">
        <v>1.7568000000000001</v>
      </c>
      <c r="I274" s="487">
        <v>5.0000000000016698E-2</v>
      </c>
      <c r="J274" s="487">
        <v>3.819999999999979</v>
      </c>
      <c r="K274" s="489">
        <v>12.119999999999997</v>
      </c>
    </row>
    <row r="275" spans="1:11" x14ac:dyDescent="0.3">
      <c r="A275" s="486">
        <v>46223</v>
      </c>
      <c r="B275" s="487" t="s">
        <v>14</v>
      </c>
      <c r="C275" s="488" t="s">
        <v>125</v>
      </c>
      <c r="D275" s="488" t="s">
        <v>147</v>
      </c>
      <c r="E275" s="487">
        <v>2.6684999999999999</v>
      </c>
      <c r="F275" s="487">
        <v>4.3299999999999894</v>
      </c>
      <c r="G275" s="487">
        <v>48.249999999999993</v>
      </c>
      <c r="H275" s="487">
        <v>1.9299999999999997</v>
      </c>
      <c r="I275" s="487">
        <v>-0.35000000000002807</v>
      </c>
      <c r="J275" s="487">
        <v>4.6999999999999709</v>
      </c>
      <c r="K275" s="489">
        <v>14.849999999999985</v>
      </c>
    </row>
    <row r="276" spans="1:11" x14ac:dyDescent="0.3">
      <c r="A276" s="486">
        <v>46223</v>
      </c>
      <c r="B276" s="487" t="s">
        <v>15</v>
      </c>
      <c r="C276" s="488" t="s">
        <v>147</v>
      </c>
      <c r="D276" s="488" t="s">
        <v>148</v>
      </c>
      <c r="E276" s="487">
        <v>2.7280000000000002</v>
      </c>
      <c r="F276" s="487">
        <v>5.950000000000033</v>
      </c>
      <c r="G276" s="487">
        <v>54.200000000000024</v>
      </c>
      <c r="H276" s="487">
        <v>2.168000000000001</v>
      </c>
      <c r="I276" s="487">
        <v>-0.54999999999996163</v>
      </c>
      <c r="J276" s="487" t="s">
        <v>41</v>
      </c>
      <c r="K276" s="489" t="s">
        <v>41</v>
      </c>
    </row>
    <row r="277" spans="1:11" x14ac:dyDescent="0.3">
      <c r="A277" s="486">
        <v>46223</v>
      </c>
      <c r="B277" s="487" t="s">
        <v>17</v>
      </c>
      <c r="C277" s="488" t="s">
        <v>148</v>
      </c>
      <c r="D277" s="488" t="s">
        <v>199</v>
      </c>
      <c r="E277" s="487">
        <v>2.7431000000000001</v>
      </c>
      <c r="F277" s="487">
        <v>1.5099999999999891</v>
      </c>
      <c r="G277" s="487">
        <v>55.710000000000015</v>
      </c>
      <c r="H277" s="487">
        <v>2.2284000000000006</v>
      </c>
      <c r="I277" s="487">
        <v>-0.49000000000001265</v>
      </c>
      <c r="J277" s="487" t="s">
        <v>41</v>
      </c>
      <c r="K277" s="489" t="s">
        <v>41</v>
      </c>
    </row>
    <row r="278" spans="1:11" x14ac:dyDescent="0.3">
      <c r="A278" s="486">
        <v>46223</v>
      </c>
      <c r="B278" s="487" t="s">
        <v>28</v>
      </c>
      <c r="C278" s="488"/>
      <c r="D278" s="488"/>
      <c r="E278" s="487">
        <v>2.7513999999999998</v>
      </c>
      <c r="F278" s="487">
        <v>0.8299999999999752</v>
      </c>
      <c r="G278" s="487">
        <v>56.539999999999992</v>
      </c>
      <c r="H278" s="487">
        <v>2.2615999999999996</v>
      </c>
      <c r="I278" s="487">
        <v>-0.31000000000003247</v>
      </c>
      <c r="J278" s="487">
        <v>7.8399999999999803</v>
      </c>
      <c r="K278" s="489">
        <v>21.139999999999979</v>
      </c>
    </row>
    <row r="279" spans="1:11" x14ac:dyDescent="0.3">
      <c r="A279" s="486">
        <v>46223</v>
      </c>
      <c r="B279" s="487"/>
      <c r="C279" s="488"/>
      <c r="D279" s="488"/>
      <c r="E279" s="487"/>
      <c r="F279" s="487"/>
      <c r="G279" s="487"/>
      <c r="H279" s="487"/>
      <c r="I279" s="487">
        <v>-275.45000000000005</v>
      </c>
      <c r="J279" s="487">
        <v>-267.3</v>
      </c>
      <c r="K279" s="489">
        <v>-254</v>
      </c>
    </row>
    <row r="280" spans="1:11" x14ac:dyDescent="0.3">
      <c r="A280" s="486">
        <v>46223</v>
      </c>
      <c r="B280" s="487"/>
      <c r="C280" s="488"/>
      <c r="D280" s="488"/>
      <c r="E280" s="487"/>
      <c r="F280" s="487"/>
      <c r="G280" s="487"/>
      <c r="H280" s="487"/>
      <c r="I280" s="487">
        <v>-275.45000000000005</v>
      </c>
      <c r="J280" s="487">
        <v>-267.3</v>
      </c>
      <c r="K280" s="489">
        <v>-254</v>
      </c>
    </row>
    <row r="281" spans="1:11" x14ac:dyDescent="0.3">
      <c r="A281" s="486">
        <v>46223</v>
      </c>
      <c r="B281" s="487"/>
      <c r="C281" s="488"/>
      <c r="D281" s="488"/>
      <c r="E281" s="487"/>
      <c r="F281" s="487"/>
      <c r="G281" s="487"/>
      <c r="H281" s="487"/>
      <c r="I281" s="487">
        <v>-275.45000000000005</v>
      </c>
      <c r="J281" s="487">
        <v>-267.3</v>
      </c>
      <c r="K281" s="489">
        <v>-254</v>
      </c>
    </row>
    <row r="282" spans="1:11" x14ac:dyDescent="0.3">
      <c r="A282" s="486">
        <v>46223</v>
      </c>
      <c r="B282" s="487"/>
      <c r="C282" s="488"/>
      <c r="D282" s="488"/>
      <c r="E282" s="487"/>
      <c r="F282" s="487"/>
      <c r="G282" s="487"/>
      <c r="H282" s="487"/>
      <c r="I282" s="487">
        <v>-275.45000000000005</v>
      </c>
      <c r="J282" s="487">
        <v>-267.3</v>
      </c>
      <c r="K282" s="489">
        <v>-254</v>
      </c>
    </row>
    <row r="283" spans="1:11" x14ac:dyDescent="0.3">
      <c r="A283" s="486">
        <v>46224</v>
      </c>
      <c r="B283" s="487" t="s">
        <v>19</v>
      </c>
      <c r="C283" s="488" t="s">
        <v>94</v>
      </c>
      <c r="D283" s="488" t="s">
        <v>97</v>
      </c>
      <c r="E283" s="487">
        <v>2.198</v>
      </c>
      <c r="F283" s="487">
        <v>1.399999999999979</v>
      </c>
      <c r="G283" s="487">
        <v>1.399999999999979</v>
      </c>
      <c r="H283" s="487">
        <v>5.5999999999999162E-2</v>
      </c>
      <c r="I283" s="487">
        <v>-0.15000000000000568</v>
      </c>
      <c r="J283" s="487">
        <v>-1.8100000000000005</v>
      </c>
      <c r="K283" s="489">
        <v>-3.2500000000000195</v>
      </c>
    </row>
    <row r="284" spans="1:11" x14ac:dyDescent="0.3">
      <c r="A284" s="486">
        <v>46224</v>
      </c>
      <c r="B284" s="487" t="s">
        <v>10</v>
      </c>
      <c r="C284" s="488" t="s">
        <v>97</v>
      </c>
      <c r="D284" s="488" t="s">
        <v>99</v>
      </c>
      <c r="E284" s="487">
        <v>2.41</v>
      </c>
      <c r="F284" s="487">
        <v>21.200000000000017</v>
      </c>
      <c r="G284" s="487">
        <v>22.599999999999998</v>
      </c>
      <c r="H284" s="487">
        <v>0.90399999999999991</v>
      </c>
      <c r="I284" s="487">
        <v>-0.40000000000000036</v>
      </c>
      <c r="J284" s="487">
        <v>-2.0000000000000018</v>
      </c>
      <c r="K284" s="489">
        <v>0.24000000000001798</v>
      </c>
    </row>
    <row r="285" spans="1:11" x14ac:dyDescent="0.3">
      <c r="A285" s="486">
        <v>46224</v>
      </c>
      <c r="B285" s="487" t="s">
        <v>12</v>
      </c>
      <c r="C285" s="488" t="s">
        <v>99</v>
      </c>
      <c r="D285" s="488" t="s">
        <v>103</v>
      </c>
      <c r="E285" s="487">
        <v>2.4958999999999998</v>
      </c>
      <c r="F285" s="487">
        <v>8.5899999999999643</v>
      </c>
      <c r="G285" s="487">
        <v>31.189999999999962</v>
      </c>
      <c r="H285" s="487">
        <v>1.2475999999999985</v>
      </c>
      <c r="I285" s="487">
        <v>-0.21000000000004349</v>
      </c>
      <c r="J285" s="487">
        <v>-0.9600000000000275</v>
      </c>
      <c r="K285" s="489">
        <v>3.0899999999999928</v>
      </c>
    </row>
    <row r="286" spans="1:11" x14ac:dyDescent="0.3">
      <c r="A286" s="486">
        <v>46224</v>
      </c>
      <c r="B286" s="487" t="s">
        <v>13</v>
      </c>
      <c r="C286" s="488" t="s">
        <v>103</v>
      </c>
      <c r="D286" s="488" t="s">
        <v>125</v>
      </c>
      <c r="E286" s="487">
        <v>2.6284999999999998</v>
      </c>
      <c r="F286" s="487">
        <v>13.260000000000005</v>
      </c>
      <c r="G286" s="487">
        <v>44.449999999999967</v>
      </c>
      <c r="H286" s="487">
        <v>1.7779999999999987</v>
      </c>
      <c r="I286" s="487">
        <v>0.32999999999998586</v>
      </c>
      <c r="J286" s="487">
        <v>3.0299999999999994</v>
      </c>
      <c r="K286" s="489">
        <v>7.3499999999999677</v>
      </c>
    </row>
    <row r="287" spans="1:11" x14ac:dyDescent="0.3">
      <c r="A287" s="486">
        <v>46224</v>
      </c>
      <c r="B287" s="487" t="s">
        <v>14</v>
      </c>
      <c r="C287" s="488" t="s">
        <v>125</v>
      </c>
      <c r="D287" s="488" t="s">
        <v>147</v>
      </c>
      <c r="E287" s="487">
        <v>2.6760000000000002</v>
      </c>
      <c r="F287" s="487">
        <v>4.750000000000032</v>
      </c>
      <c r="G287" s="487">
        <v>49.2</v>
      </c>
      <c r="H287" s="487">
        <v>1.9680000000000002</v>
      </c>
      <c r="I287" s="487">
        <v>0.75000000000002842</v>
      </c>
      <c r="J287" s="487">
        <v>4.269999999999996</v>
      </c>
      <c r="K287" s="489">
        <v>9.6000000000000085</v>
      </c>
    </row>
    <row r="288" spans="1:11" x14ac:dyDescent="0.3">
      <c r="A288" s="486">
        <v>46224</v>
      </c>
      <c r="B288" s="487" t="s">
        <v>15</v>
      </c>
      <c r="C288" s="488" t="s">
        <v>147</v>
      </c>
      <c r="D288" s="488" t="s">
        <v>148</v>
      </c>
      <c r="E288" s="487">
        <v>2.7416</v>
      </c>
      <c r="F288" s="487">
        <v>6.5599999999999881</v>
      </c>
      <c r="G288" s="487">
        <v>55.759999999999991</v>
      </c>
      <c r="H288" s="487">
        <v>2.2303999999999995</v>
      </c>
      <c r="I288" s="487">
        <v>1.3599999999999834</v>
      </c>
      <c r="J288" s="487" t="s">
        <v>41</v>
      </c>
      <c r="K288" s="489" t="s">
        <v>41</v>
      </c>
    </row>
    <row r="289" spans="1:11" x14ac:dyDescent="0.3">
      <c r="A289" s="486">
        <v>46224</v>
      </c>
      <c r="B289" s="487" t="s">
        <v>17</v>
      </c>
      <c r="C289" s="488" t="s">
        <v>148</v>
      </c>
      <c r="D289" s="488" t="s">
        <v>199</v>
      </c>
      <c r="E289" s="487">
        <v>2.7650000000000001</v>
      </c>
      <c r="F289" s="487">
        <v>2.3400000000000087</v>
      </c>
      <c r="G289" s="487">
        <v>58.099999999999994</v>
      </c>
      <c r="H289" s="487">
        <v>2.3239999999999998</v>
      </c>
      <c r="I289" s="487">
        <v>2.1900000000000031</v>
      </c>
      <c r="J289" s="487" t="s">
        <v>41</v>
      </c>
      <c r="K289" s="489" t="s">
        <v>41</v>
      </c>
    </row>
    <row r="290" spans="1:11" x14ac:dyDescent="0.3">
      <c r="A290" s="486">
        <v>46224</v>
      </c>
      <c r="B290" s="487" t="s">
        <v>28</v>
      </c>
      <c r="C290" s="488"/>
      <c r="D290" s="488"/>
      <c r="E290" s="487">
        <v>2.7765</v>
      </c>
      <c r="F290" s="487">
        <v>1.1499999999999844</v>
      </c>
      <c r="G290" s="487">
        <v>59.249999999999979</v>
      </c>
      <c r="H290" s="487">
        <v>2.3699999999999992</v>
      </c>
      <c r="I290" s="487">
        <v>2.5100000000000122</v>
      </c>
      <c r="J290" s="487">
        <v>7.2499999999999787</v>
      </c>
      <c r="K290" s="489">
        <v>16.75</v>
      </c>
    </row>
    <row r="291" spans="1:11" x14ac:dyDescent="0.3">
      <c r="A291" s="486">
        <v>46224</v>
      </c>
      <c r="B291" s="487"/>
      <c r="C291" s="488"/>
      <c r="D291" s="488"/>
      <c r="E291" s="487"/>
      <c r="F291" s="487"/>
      <c r="G291" s="487"/>
      <c r="H291" s="487"/>
      <c r="I291" s="487">
        <v>-275.14</v>
      </c>
      <c r="J291" s="487">
        <v>-270.40000000000003</v>
      </c>
      <c r="K291" s="489">
        <v>-260.89999999999998</v>
      </c>
    </row>
    <row r="292" spans="1:11" x14ac:dyDescent="0.3">
      <c r="A292" s="486">
        <v>46224</v>
      </c>
      <c r="B292" s="487"/>
      <c r="C292" s="488"/>
      <c r="D292" s="488"/>
      <c r="E292" s="487"/>
      <c r="F292" s="487"/>
      <c r="G292" s="487"/>
      <c r="H292" s="487"/>
      <c r="I292" s="487">
        <v>-275.14</v>
      </c>
      <c r="J292" s="487">
        <v>-270.40000000000003</v>
      </c>
      <c r="K292" s="489">
        <v>-260.89999999999998</v>
      </c>
    </row>
    <row r="293" spans="1:11" x14ac:dyDescent="0.3">
      <c r="A293" s="486">
        <v>46224</v>
      </c>
      <c r="B293" s="487"/>
      <c r="C293" s="488"/>
      <c r="D293" s="488"/>
      <c r="E293" s="487"/>
      <c r="F293" s="487"/>
      <c r="G293" s="487"/>
      <c r="H293" s="487"/>
      <c r="I293" s="487">
        <v>-275.14</v>
      </c>
      <c r="J293" s="487">
        <v>-270.40000000000003</v>
      </c>
      <c r="K293" s="489">
        <v>-260.89999999999998</v>
      </c>
    </row>
    <row r="294" spans="1:11" x14ac:dyDescent="0.3">
      <c r="A294" s="486">
        <v>46224</v>
      </c>
      <c r="B294" s="487"/>
      <c r="C294" s="488"/>
      <c r="D294" s="488"/>
      <c r="E294" s="487"/>
      <c r="F294" s="487"/>
      <c r="G294" s="487"/>
      <c r="H294" s="487"/>
      <c r="I294" s="487">
        <v>-275.14</v>
      </c>
      <c r="J294" s="487">
        <v>-270.40000000000003</v>
      </c>
      <c r="K294" s="489">
        <v>-260.89999999999998</v>
      </c>
    </row>
    <row r="295" spans="1:11" x14ac:dyDescent="0.3">
      <c r="A295" s="501">
        <v>46225</v>
      </c>
      <c r="B295" s="502" t="s">
        <v>19</v>
      </c>
      <c r="C295" s="503" t="s">
        <v>94</v>
      </c>
      <c r="D295" s="503" t="s">
        <v>97</v>
      </c>
      <c r="E295" s="502">
        <v>2.2002000000000002</v>
      </c>
      <c r="F295" s="502">
        <v>1.7200000000000326</v>
      </c>
      <c r="G295" s="502">
        <v>1.7200000000000326</v>
      </c>
      <c r="H295" s="502">
        <v>6.8800000000001305E-2</v>
      </c>
      <c r="I295" s="502">
        <v>0.22000000000002018</v>
      </c>
      <c r="J295" s="502">
        <v>-0.29999999999996696</v>
      </c>
      <c r="K295" s="504">
        <v>-1.4799999999999702</v>
      </c>
    </row>
    <row r="296" spans="1:11" x14ac:dyDescent="0.3">
      <c r="A296" s="501">
        <v>46225</v>
      </c>
      <c r="B296" s="502" t="s">
        <v>10</v>
      </c>
      <c r="C296" s="503" t="s">
        <v>97</v>
      </c>
      <c r="D296" s="503" t="s">
        <v>99</v>
      </c>
      <c r="E296" s="502">
        <v>2.4220000000000002</v>
      </c>
      <c r="F296" s="502">
        <v>22.18</v>
      </c>
      <c r="G296" s="502">
        <v>23.900000000000034</v>
      </c>
      <c r="H296" s="502">
        <v>0.9560000000000014</v>
      </c>
      <c r="I296" s="502">
        <v>1.2000000000000011</v>
      </c>
      <c r="J296" s="502">
        <v>0.49000000000001265</v>
      </c>
      <c r="K296" s="504">
        <v>3.8000000000000256</v>
      </c>
    </row>
    <row r="297" spans="1:11" x14ac:dyDescent="0.3">
      <c r="A297" s="501">
        <v>46225</v>
      </c>
      <c r="B297" s="502" t="s">
        <v>12</v>
      </c>
      <c r="C297" s="503" t="s">
        <v>99</v>
      </c>
      <c r="D297" s="503" t="s">
        <v>103</v>
      </c>
      <c r="E297" s="502">
        <v>2.5169999999999999</v>
      </c>
      <c r="F297" s="502">
        <v>9.4999999999999751</v>
      </c>
      <c r="G297" s="502">
        <v>33.400000000000006</v>
      </c>
      <c r="H297" s="502">
        <v>1.3360000000000003</v>
      </c>
      <c r="I297" s="502">
        <v>2.1100000000000119</v>
      </c>
      <c r="J297" s="502">
        <v>2.6999999999999691</v>
      </c>
      <c r="K297" s="504">
        <v>8.4999999999999964</v>
      </c>
    </row>
    <row r="298" spans="1:11" x14ac:dyDescent="0.3">
      <c r="A298" s="501">
        <v>46225</v>
      </c>
      <c r="B298" s="502" t="s">
        <v>13</v>
      </c>
      <c r="C298" s="503" t="s">
        <v>103</v>
      </c>
      <c r="D298" s="503" t="s">
        <v>125</v>
      </c>
      <c r="E298" s="502">
        <v>2.6619999999999999</v>
      </c>
      <c r="F298" s="502">
        <v>14.500000000000002</v>
      </c>
      <c r="G298" s="502">
        <v>47.900000000000006</v>
      </c>
      <c r="H298" s="502">
        <v>1.9160000000000001</v>
      </c>
      <c r="I298" s="502">
        <v>3.3500000000000085</v>
      </c>
      <c r="J298" s="502">
        <v>7.6899999999999746</v>
      </c>
      <c r="K298" s="504">
        <v>14.999999999999991</v>
      </c>
    </row>
    <row r="299" spans="1:11" x14ac:dyDescent="0.3">
      <c r="A299" s="501">
        <v>46225</v>
      </c>
      <c r="B299" s="502" t="s">
        <v>14</v>
      </c>
      <c r="C299" s="503" t="s">
        <v>125</v>
      </c>
      <c r="D299" s="503" t="s">
        <v>147</v>
      </c>
      <c r="E299" s="502">
        <v>2.7212000000000001</v>
      </c>
      <c r="F299" s="502">
        <v>5.9200000000000141</v>
      </c>
      <c r="G299" s="502">
        <v>53.820000000000022</v>
      </c>
      <c r="H299" s="502">
        <v>2.1528000000000009</v>
      </c>
      <c r="I299" s="502">
        <v>4.5199999999999907</v>
      </c>
      <c r="J299" s="502">
        <v>9.9200000000000177</v>
      </c>
      <c r="K299" s="504">
        <v>19.220000000000013</v>
      </c>
    </row>
    <row r="300" spans="1:11" x14ac:dyDescent="0.3">
      <c r="A300" s="501">
        <v>46225</v>
      </c>
      <c r="B300" s="502" t="s">
        <v>15</v>
      </c>
      <c r="C300" s="503" t="s">
        <v>147</v>
      </c>
      <c r="D300" s="503" t="s">
        <v>148</v>
      </c>
      <c r="E300" s="502">
        <v>2.7959999999999998</v>
      </c>
      <c r="F300" s="502">
        <v>7.4799999999999756</v>
      </c>
      <c r="G300" s="502">
        <v>61.3</v>
      </c>
      <c r="H300" s="502">
        <v>2.452</v>
      </c>
      <c r="I300" s="502">
        <v>5.4399999999999782</v>
      </c>
      <c r="J300" s="502" t="s">
        <v>41</v>
      </c>
      <c r="K300" s="504" t="s">
        <v>41</v>
      </c>
    </row>
    <row r="301" spans="1:11" x14ac:dyDescent="0.3">
      <c r="A301" s="501">
        <v>46225</v>
      </c>
      <c r="B301" s="502" t="s">
        <v>17</v>
      </c>
      <c r="C301" s="503" t="s">
        <v>148</v>
      </c>
      <c r="D301" s="503" t="s">
        <v>199</v>
      </c>
      <c r="E301" s="502">
        <v>2.8292999999999999</v>
      </c>
      <c r="F301" s="502">
        <v>3.3300000000000107</v>
      </c>
      <c r="G301" s="502">
        <v>64.63000000000001</v>
      </c>
      <c r="H301" s="502">
        <v>2.5852000000000004</v>
      </c>
      <c r="I301" s="502">
        <v>6.4299999999999802</v>
      </c>
      <c r="J301" s="502" t="s">
        <v>41</v>
      </c>
      <c r="K301" s="504" t="s">
        <v>41</v>
      </c>
    </row>
    <row r="302" spans="1:11" x14ac:dyDescent="0.3">
      <c r="A302" s="501">
        <v>46225</v>
      </c>
      <c r="B302" s="502" t="s">
        <v>28</v>
      </c>
      <c r="C302" s="503"/>
      <c r="D302" s="503"/>
      <c r="E302" s="502">
        <v>2.8445</v>
      </c>
      <c r="F302" s="502">
        <v>1.5200000000000102</v>
      </c>
      <c r="G302" s="502">
        <v>66.15000000000002</v>
      </c>
      <c r="H302" s="502">
        <v>2.6460000000000008</v>
      </c>
      <c r="I302" s="502">
        <v>6.800000000000006</v>
      </c>
      <c r="J302" s="502">
        <v>15.450000000000008</v>
      </c>
      <c r="K302" s="504">
        <v>31.65</v>
      </c>
    </row>
    <row r="303" spans="1:11" x14ac:dyDescent="0.3">
      <c r="A303" s="501">
        <v>46225</v>
      </c>
      <c r="B303" s="502"/>
      <c r="C303" s="503"/>
      <c r="D303" s="503"/>
      <c r="E303" s="502"/>
      <c r="F303" s="502"/>
      <c r="G303" s="502"/>
      <c r="H303" s="502"/>
      <c r="I303" s="502">
        <v>-277.64999999999998</v>
      </c>
      <c r="J303" s="502">
        <v>-269</v>
      </c>
      <c r="K303" s="504">
        <v>-252.8</v>
      </c>
    </row>
    <row r="304" spans="1:11" x14ac:dyDescent="0.3">
      <c r="A304" s="501">
        <v>46225</v>
      </c>
      <c r="B304" s="502"/>
      <c r="C304" s="503"/>
      <c r="D304" s="503"/>
      <c r="E304" s="502"/>
      <c r="F304" s="502"/>
      <c r="G304" s="502"/>
      <c r="H304" s="502"/>
      <c r="I304" s="502">
        <v>-277.64999999999998</v>
      </c>
      <c r="J304" s="502">
        <v>-269</v>
      </c>
      <c r="K304" s="504">
        <v>-252.8</v>
      </c>
    </row>
    <row r="305" spans="1:11" x14ac:dyDescent="0.3">
      <c r="A305" s="501">
        <v>46225</v>
      </c>
      <c r="B305" s="502"/>
      <c r="C305" s="503"/>
      <c r="D305" s="503"/>
      <c r="E305" s="502"/>
      <c r="F305" s="502"/>
      <c r="G305" s="502"/>
      <c r="H305" s="502"/>
      <c r="I305" s="502">
        <v>-277.64999999999998</v>
      </c>
      <c r="J305" s="502">
        <v>-269</v>
      </c>
      <c r="K305" s="504">
        <v>-252.8</v>
      </c>
    </row>
    <row r="306" spans="1:11" x14ac:dyDescent="0.3">
      <c r="A306" s="501">
        <v>46225</v>
      </c>
      <c r="B306" s="502"/>
      <c r="C306" s="503"/>
      <c r="D306" s="503"/>
      <c r="E306" s="502"/>
      <c r="F306" s="502"/>
      <c r="G306" s="502"/>
      <c r="H306" s="502"/>
      <c r="I306" s="502">
        <v>-277.64999999999998</v>
      </c>
      <c r="J306" s="502">
        <v>-269</v>
      </c>
      <c r="K306" s="504">
        <v>-252.8</v>
      </c>
    </row>
    <row r="307" spans="1:11" x14ac:dyDescent="0.3">
      <c r="A307" s="9">
        <v>46226</v>
      </c>
      <c r="B307" s="10" t="s">
        <v>19</v>
      </c>
      <c r="C307" s="121" t="s">
        <v>94</v>
      </c>
      <c r="D307" s="121" t="s">
        <v>97</v>
      </c>
      <c r="E307" s="10">
        <v>2.1909999999999998</v>
      </c>
      <c r="F307" s="10">
        <v>0.69999999999996732</v>
      </c>
      <c r="G307" s="10">
        <v>0.69999999999996732</v>
      </c>
      <c r="H307" s="10">
        <v>2.7999999999998693E-2</v>
      </c>
      <c r="I307" s="10">
        <v>-0.9200000000000319</v>
      </c>
      <c r="J307" s="10">
        <v>-1.5000000000000124</v>
      </c>
      <c r="K307" s="11">
        <v>-1.9000000000000128</v>
      </c>
    </row>
    <row r="308" spans="1:11" x14ac:dyDescent="0.3">
      <c r="A308" s="9">
        <v>46226</v>
      </c>
      <c r="B308" s="10" t="s">
        <v>10</v>
      </c>
      <c r="C308" s="121" t="s">
        <v>97</v>
      </c>
      <c r="D308" s="121" t="s">
        <v>99</v>
      </c>
      <c r="E308" s="10">
        <v>2.4235000000000002</v>
      </c>
      <c r="F308" s="10">
        <v>23.250000000000036</v>
      </c>
      <c r="G308" s="10">
        <v>23.950000000000003</v>
      </c>
      <c r="H308" s="10">
        <v>0.95800000000000007</v>
      </c>
      <c r="I308" s="10">
        <v>0.15000000000000568</v>
      </c>
      <c r="J308" s="10">
        <v>0.36000000000000476</v>
      </c>
      <c r="K308" s="11">
        <v>4.9400000000000333</v>
      </c>
    </row>
    <row r="309" spans="1:11" x14ac:dyDescent="0.3">
      <c r="A309" s="9">
        <v>46226</v>
      </c>
      <c r="B309" s="10" t="s">
        <v>12</v>
      </c>
      <c r="C309" s="121" t="s">
        <v>99</v>
      </c>
      <c r="D309" s="121" t="s">
        <v>103</v>
      </c>
      <c r="E309" s="10">
        <v>2.5249999999999999</v>
      </c>
      <c r="F309" s="10">
        <v>10.14999999999997</v>
      </c>
      <c r="G309" s="10">
        <v>34.099999999999973</v>
      </c>
      <c r="H309" s="10">
        <v>1.363999999999999</v>
      </c>
      <c r="I309" s="10">
        <v>0.80000000000000071</v>
      </c>
      <c r="J309" s="10">
        <v>2.42</v>
      </c>
      <c r="K309" s="11">
        <v>10.789999999999988</v>
      </c>
    </row>
    <row r="310" spans="1:11" x14ac:dyDescent="0.3">
      <c r="A310" s="9">
        <v>46226</v>
      </c>
      <c r="B310" s="10" t="s">
        <v>13</v>
      </c>
      <c r="C310" s="121" t="s">
        <v>103</v>
      </c>
      <c r="D310" s="121" t="s">
        <v>125</v>
      </c>
      <c r="E310" s="10">
        <v>2.6779999999999999</v>
      </c>
      <c r="F310" s="10">
        <v>15.300000000000002</v>
      </c>
      <c r="G310" s="10">
        <v>49.399999999999977</v>
      </c>
      <c r="H310" s="10">
        <v>1.9759999999999991</v>
      </c>
      <c r="I310" s="10">
        <v>1.6000000000000014</v>
      </c>
      <c r="J310" s="10">
        <v>6.9799999999999862</v>
      </c>
      <c r="K310" s="11">
        <v>18.900000000000006</v>
      </c>
    </row>
    <row r="311" spans="1:11" x14ac:dyDescent="0.3">
      <c r="A311" s="9">
        <v>46226</v>
      </c>
      <c r="B311" s="10" t="s">
        <v>14</v>
      </c>
      <c r="C311" s="121" t="s">
        <v>125</v>
      </c>
      <c r="D311" s="121" t="s">
        <v>147</v>
      </c>
      <c r="E311" s="10">
        <v>2.7490999999999999</v>
      </c>
      <c r="F311" s="10">
        <v>7.1099999999999941</v>
      </c>
      <c r="G311" s="10">
        <v>56.50999999999997</v>
      </c>
      <c r="H311" s="10">
        <v>2.2603999999999989</v>
      </c>
      <c r="I311" s="10">
        <v>2.7899999999999814</v>
      </c>
      <c r="J311" s="10">
        <v>10.009999999999986</v>
      </c>
      <c r="K311" s="11">
        <v>24.370000000000005</v>
      </c>
    </row>
    <row r="312" spans="1:11" x14ac:dyDescent="0.3">
      <c r="A312" s="9">
        <v>46226</v>
      </c>
      <c r="B312" s="10" t="s">
        <v>15</v>
      </c>
      <c r="C312" s="121" t="s">
        <v>147</v>
      </c>
      <c r="D312" s="121" t="s">
        <v>148</v>
      </c>
      <c r="E312" s="10">
        <v>2.8340000000000001</v>
      </c>
      <c r="F312" s="10">
        <v>8.4900000000000198</v>
      </c>
      <c r="G312" s="10">
        <v>64.999999999999986</v>
      </c>
      <c r="H312" s="10">
        <v>2.5999999999999996</v>
      </c>
      <c r="I312" s="10">
        <v>3.8000000000000256</v>
      </c>
      <c r="J312" s="10">
        <v>12.919999999999998</v>
      </c>
      <c r="K312" s="11" t="s">
        <v>41</v>
      </c>
    </row>
    <row r="313" spans="1:11" x14ac:dyDescent="0.3">
      <c r="A313" s="9">
        <v>46226</v>
      </c>
      <c r="B313" s="10" t="s">
        <v>17</v>
      </c>
      <c r="C313" s="121" t="s">
        <v>148</v>
      </c>
      <c r="D313" s="121" t="s">
        <v>199</v>
      </c>
      <c r="E313" s="10">
        <v>2.88</v>
      </c>
      <c r="F313" s="10">
        <v>4.5999999999999819</v>
      </c>
      <c r="G313" s="10">
        <v>69.599999999999966</v>
      </c>
      <c r="H313" s="10">
        <v>2.7839999999999985</v>
      </c>
      <c r="I313" s="10">
        <v>5.0699999999999967</v>
      </c>
      <c r="J313" s="10">
        <v>16.230000000000011</v>
      </c>
      <c r="K313" s="11" t="s">
        <v>41</v>
      </c>
    </row>
    <row r="314" spans="1:11" x14ac:dyDescent="0.3">
      <c r="A314" s="9">
        <v>46226</v>
      </c>
      <c r="B314" s="10" t="s">
        <v>28</v>
      </c>
      <c r="C314" s="121"/>
      <c r="D314" s="121"/>
      <c r="E314" s="10">
        <v>2.9104000000000001</v>
      </c>
      <c r="F314" s="10">
        <v>3.0400000000000205</v>
      </c>
      <c r="G314" s="10">
        <v>72.639999999999986</v>
      </c>
      <c r="H314" s="10">
        <v>2.9055999999999993</v>
      </c>
      <c r="I314" s="10">
        <v>6.590000000000007</v>
      </c>
      <c r="J314" s="10">
        <v>18.009999999999991</v>
      </c>
      <c r="K314" s="11">
        <v>39.080000000000005</v>
      </c>
    </row>
    <row r="315" spans="1:11" x14ac:dyDescent="0.3">
      <c r="A315" s="9">
        <v>46226</v>
      </c>
      <c r="B315" s="10"/>
      <c r="C315" s="121"/>
      <c r="D315" s="121"/>
      <c r="E315" s="10"/>
      <c r="F315" s="10"/>
      <c r="G315" s="10"/>
      <c r="H315" s="10"/>
      <c r="I315" s="10">
        <v>-284.45</v>
      </c>
      <c r="J315" s="10">
        <v>-273.03000000000003</v>
      </c>
      <c r="K315" s="11">
        <v>-251.96</v>
      </c>
    </row>
    <row r="316" spans="1:11" x14ac:dyDescent="0.3">
      <c r="A316" s="9">
        <v>46226</v>
      </c>
      <c r="B316" s="10"/>
      <c r="C316" s="121"/>
      <c r="D316" s="121"/>
      <c r="E316" s="10"/>
      <c r="F316" s="10"/>
      <c r="G316" s="10"/>
      <c r="H316" s="10"/>
      <c r="I316" s="10">
        <v>-284.45</v>
      </c>
      <c r="J316" s="10">
        <v>-273.03000000000003</v>
      </c>
      <c r="K316" s="11">
        <v>-251.96</v>
      </c>
    </row>
    <row r="317" spans="1:11" x14ac:dyDescent="0.3">
      <c r="A317" s="9">
        <v>46226</v>
      </c>
      <c r="B317" s="10"/>
      <c r="C317" s="121"/>
      <c r="D317" s="121"/>
      <c r="E317" s="10"/>
      <c r="F317" s="10"/>
      <c r="G317" s="10"/>
      <c r="H317" s="10"/>
      <c r="I317" s="10">
        <v>-284.45</v>
      </c>
      <c r="J317" s="10">
        <v>-273.03000000000003</v>
      </c>
      <c r="K317" s="11">
        <v>-251.96</v>
      </c>
    </row>
    <row r="318" spans="1:11" x14ac:dyDescent="0.3">
      <c r="A318" s="9">
        <v>46226</v>
      </c>
      <c r="B318" s="10"/>
      <c r="C318" s="121"/>
      <c r="D318" s="121"/>
      <c r="E318" s="10"/>
      <c r="F318" s="10"/>
      <c r="G318" s="10"/>
      <c r="H318" s="10"/>
      <c r="I318" s="10">
        <v>-284.45</v>
      </c>
      <c r="J318" s="10">
        <v>-273.03000000000003</v>
      </c>
      <c r="K318" s="11">
        <v>-251.96</v>
      </c>
    </row>
    <row r="319" spans="1:11" x14ac:dyDescent="0.3">
      <c r="A319" s="516">
        <v>46227</v>
      </c>
      <c r="B319" s="517" t="s">
        <v>19</v>
      </c>
      <c r="C319" s="518" t="s">
        <v>94</v>
      </c>
      <c r="D319" s="518" t="s">
        <v>97</v>
      </c>
      <c r="E319" s="517">
        <v>2.1907000000000001</v>
      </c>
      <c r="F319" s="517">
        <v>0.57000000000000384</v>
      </c>
      <c r="G319" s="517">
        <v>0.57000000000000384</v>
      </c>
      <c r="H319" s="517">
        <v>2.2800000000000153E-2</v>
      </c>
      <c r="I319" s="517">
        <v>-2.9999999999974492E-2</v>
      </c>
      <c r="J319" s="517">
        <v>-1.4899999999999913</v>
      </c>
      <c r="K319" s="519">
        <v>-1.330000000000009</v>
      </c>
    </row>
    <row r="320" spans="1:11" x14ac:dyDescent="0.3">
      <c r="A320" s="516">
        <v>46227</v>
      </c>
      <c r="B320" s="517" t="s">
        <v>10</v>
      </c>
      <c r="C320" s="518" t="s">
        <v>97</v>
      </c>
      <c r="D320" s="518" t="s">
        <v>99</v>
      </c>
      <c r="E320" s="517">
        <v>2.4140000000000001</v>
      </c>
      <c r="F320" s="517">
        <v>22.330000000000005</v>
      </c>
      <c r="G320" s="517">
        <v>22.900000000000009</v>
      </c>
      <c r="H320" s="517">
        <v>0.91600000000000037</v>
      </c>
      <c r="I320" s="517">
        <v>-0.95000000000000639</v>
      </c>
      <c r="J320" s="517">
        <v>-0.15000000000000568</v>
      </c>
      <c r="K320" s="519">
        <v>5.8699999999999974</v>
      </c>
    </row>
    <row r="321" spans="1:11" x14ac:dyDescent="0.3">
      <c r="A321" s="516">
        <v>46227</v>
      </c>
      <c r="B321" s="517" t="s">
        <v>12</v>
      </c>
      <c r="C321" s="518" t="s">
        <v>99</v>
      </c>
      <c r="D321" s="518" t="s">
        <v>103</v>
      </c>
      <c r="E321" s="517">
        <v>2.5023</v>
      </c>
      <c r="F321" s="517">
        <v>8.8299999999999823</v>
      </c>
      <c r="G321" s="517">
        <v>31.72999999999999</v>
      </c>
      <c r="H321" s="517">
        <v>1.2691999999999997</v>
      </c>
      <c r="I321" s="517">
        <v>-2.2699999999999942</v>
      </c>
      <c r="J321" s="517">
        <v>0.13999999999998458</v>
      </c>
      <c r="K321" s="519">
        <v>11.180000000000012</v>
      </c>
    </row>
    <row r="322" spans="1:11" x14ac:dyDescent="0.3">
      <c r="A322" s="516">
        <v>46227</v>
      </c>
      <c r="B322" s="517" t="s">
        <v>13</v>
      </c>
      <c r="C322" s="518" t="s">
        <v>103</v>
      </c>
      <c r="D322" s="518" t="s">
        <v>125</v>
      </c>
      <c r="E322" s="517">
        <v>2.6408999999999998</v>
      </c>
      <c r="F322" s="517">
        <v>13.859999999999983</v>
      </c>
      <c r="G322" s="517">
        <v>45.589999999999975</v>
      </c>
      <c r="H322" s="517">
        <v>1.823599999999999</v>
      </c>
      <c r="I322" s="517">
        <v>-3.7100000000000133</v>
      </c>
      <c r="J322" s="517">
        <v>1.6199999999999992</v>
      </c>
      <c r="K322" s="519">
        <v>18.589999999999975</v>
      </c>
    </row>
    <row r="323" spans="1:11" x14ac:dyDescent="0.3">
      <c r="A323" s="516">
        <v>46227</v>
      </c>
      <c r="B323" s="517" t="s">
        <v>14</v>
      </c>
      <c r="C323" s="518" t="s">
        <v>125</v>
      </c>
      <c r="D323" s="518" t="s">
        <v>147</v>
      </c>
      <c r="E323" s="517">
        <v>2.7025000000000001</v>
      </c>
      <c r="F323" s="517">
        <v>6.1600000000000321</v>
      </c>
      <c r="G323" s="517">
        <v>51.750000000000007</v>
      </c>
      <c r="H323" s="517">
        <v>2.0700000000000003</v>
      </c>
      <c r="I323" s="517">
        <v>-4.6599999999999753</v>
      </c>
      <c r="J323" s="517">
        <v>3.0499999999999972</v>
      </c>
      <c r="K323" s="519">
        <v>23.330000000000027</v>
      </c>
    </row>
    <row r="324" spans="1:11" x14ac:dyDescent="0.3">
      <c r="A324" s="516">
        <v>46227</v>
      </c>
      <c r="B324" s="517" t="s">
        <v>15</v>
      </c>
      <c r="C324" s="518" t="s">
        <v>147</v>
      </c>
      <c r="D324" s="518" t="s">
        <v>148</v>
      </c>
      <c r="E324" s="517">
        <v>2.7770000000000001</v>
      </c>
      <c r="F324" s="517">
        <v>7.4500000000000011</v>
      </c>
      <c r="G324" s="517">
        <v>59.20000000000001</v>
      </c>
      <c r="H324" s="517">
        <v>2.3680000000000003</v>
      </c>
      <c r="I324" s="517">
        <v>-5.699999999999994</v>
      </c>
      <c r="J324" s="517">
        <v>4.3500000000000316</v>
      </c>
      <c r="K324" s="519" t="s">
        <v>41</v>
      </c>
    </row>
    <row r="325" spans="1:11" x14ac:dyDescent="0.3">
      <c r="A325" s="516">
        <v>46227</v>
      </c>
      <c r="B325" s="517" t="s">
        <v>17</v>
      </c>
      <c r="C325" s="518" t="s">
        <v>148</v>
      </c>
      <c r="D325" s="518" t="s">
        <v>199</v>
      </c>
      <c r="E325" s="517">
        <v>2.8102</v>
      </c>
      <c r="F325" s="517">
        <v>3.3199999999999896</v>
      </c>
      <c r="G325" s="517">
        <v>62.519999999999996</v>
      </c>
      <c r="H325" s="517">
        <v>2.5007999999999999</v>
      </c>
      <c r="I325" s="517">
        <v>-6.9799999999999862</v>
      </c>
      <c r="J325" s="517">
        <v>6.2199999999999811</v>
      </c>
      <c r="K325" s="519" t="s">
        <v>41</v>
      </c>
    </row>
    <row r="326" spans="1:11" x14ac:dyDescent="0.3">
      <c r="A326" s="516">
        <v>46227</v>
      </c>
      <c r="B326" s="517" t="s">
        <v>28</v>
      </c>
      <c r="C326" s="518"/>
      <c r="D326" s="518"/>
      <c r="E326" s="517">
        <v>2.8330000000000002</v>
      </c>
      <c r="F326" s="517">
        <v>2.2800000000000153</v>
      </c>
      <c r="G326" s="517">
        <v>64.800000000000011</v>
      </c>
      <c r="H326" s="517">
        <v>2.5920000000000005</v>
      </c>
      <c r="I326" s="517">
        <v>-7.7399999999999913</v>
      </c>
      <c r="J326" s="517">
        <v>7.8500000000000014</v>
      </c>
      <c r="K326" s="519">
        <v>34.699999999999996</v>
      </c>
    </row>
    <row r="327" spans="1:11" x14ac:dyDescent="0.3">
      <c r="A327" s="516">
        <v>46227</v>
      </c>
      <c r="B327" s="517"/>
      <c r="C327" s="518"/>
      <c r="D327" s="518"/>
      <c r="E327" s="517"/>
      <c r="F327" s="517"/>
      <c r="G327" s="517"/>
      <c r="H327" s="517"/>
      <c r="I327" s="517">
        <v>-291.04000000000002</v>
      </c>
      <c r="J327" s="517">
        <v>-275.45000000000005</v>
      </c>
      <c r="K327" s="519">
        <v>-248.60000000000002</v>
      </c>
    </row>
    <row r="328" spans="1:11" x14ac:dyDescent="0.3">
      <c r="A328" s="516">
        <v>46227</v>
      </c>
      <c r="B328" s="517"/>
      <c r="C328" s="518"/>
      <c r="D328" s="518"/>
      <c r="E328" s="517"/>
      <c r="F328" s="517"/>
      <c r="G328" s="517"/>
      <c r="H328" s="517"/>
      <c r="I328" s="517">
        <v>-291.04000000000002</v>
      </c>
      <c r="J328" s="517">
        <v>-275.45000000000005</v>
      </c>
      <c r="K328" s="519">
        <v>-248.60000000000002</v>
      </c>
    </row>
    <row r="329" spans="1:11" x14ac:dyDescent="0.3">
      <c r="A329" s="516">
        <v>46227</v>
      </c>
      <c r="B329" s="517"/>
      <c r="C329" s="518"/>
      <c r="D329" s="518"/>
      <c r="E329" s="517"/>
      <c r="F329" s="517"/>
      <c r="G329" s="517"/>
      <c r="H329" s="517"/>
      <c r="I329" s="517">
        <v>-291.04000000000002</v>
      </c>
      <c r="J329" s="517">
        <v>-275.45000000000005</v>
      </c>
      <c r="K329" s="519">
        <v>-248.60000000000002</v>
      </c>
    </row>
    <row r="330" spans="1:11" x14ac:dyDescent="0.3">
      <c r="A330" s="516">
        <v>46227</v>
      </c>
      <c r="B330" s="517"/>
      <c r="C330" s="518"/>
      <c r="D330" s="518"/>
      <c r="E330" s="517"/>
      <c r="F330" s="517"/>
      <c r="G330" s="517"/>
      <c r="H330" s="517"/>
      <c r="I330" s="517">
        <v>-291.04000000000002</v>
      </c>
      <c r="J330" s="517">
        <v>-275.45000000000005</v>
      </c>
      <c r="K330" s="519">
        <v>-248.60000000000002</v>
      </c>
    </row>
    <row r="331" spans="1:11" x14ac:dyDescent="0.3">
      <c r="A331" s="516">
        <v>46230</v>
      </c>
      <c r="B331" s="517" t="s">
        <v>10</v>
      </c>
      <c r="C331" s="518" t="s">
        <v>97</v>
      </c>
      <c r="D331" s="518" t="s">
        <v>99</v>
      </c>
      <c r="E331" s="517">
        <v>2.4119999999999999</v>
      </c>
      <c r="F331" s="517">
        <v>22.599999999999998</v>
      </c>
      <c r="G331" s="517">
        <v>22.599999999999998</v>
      </c>
      <c r="H331" s="517">
        <v>0.90399999999999991</v>
      </c>
      <c r="I331" s="517">
        <v>-0.20000000000002238</v>
      </c>
      <c r="J331" s="517">
        <v>-0.20000000000002238</v>
      </c>
      <c r="K331" s="519">
        <v>5.6699999999999751</v>
      </c>
    </row>
    <row r="332" spans="1:11" x14ac:dyDescent="0.3">
      <c r="A332" s="516">
        <v>46230</v>
      </c>
      <c r="B332" s="517" t="s">
        <v>12</v>
      </c>
      <c r="C332" s="518" t="s">
        <v>99</v>
      </c>
      <c r="D332" s="518" t="s">
        <v>103</v>
      </c>
      <c r="E332" s="517">
        <v>2.4870000000000001</v>
      </c>
      <c r="F332" s="517">
        <v>7.5000000000000178</v>
      </c>
      <c r="G332" s="517">
        <v>30.100000000000016</v>
      </c>
      <c r="H332" s="517">
        <v>1.2040000000000006</v>
      </c>
      <c r="I332" s="517">
        <v>-1.5299999999999869</v>
      </c>
      <c r="J332" s="517">
        <v>-1.1000000000000121</v>
      </c>
      <c r="K332" s="519">
        <v>9.6500000000000252</v>
      </c>
    </row>
    <row r="333" spans="1:11" x14ac:dyDescent="0.3">
      <c r="A333" s="516">
        <v>46230</v>
      </c>
      <c r="B333" s="517" t="s">
        <v>13</v>
      </c>
      <c r="C333" s="518" t="s">
        <v>103</v>
      </c>
      <c r="D333" s="518" t="s">
        <v>125</v>
      </c>
      <c r="E333" s="517">
        <v>2.6070000000000002</v>
      </c>
      <c r="F333" s="517">
        <v>12.000000000000011</v>
      </c>
      <c r="G333" s="517">
        <v>42.100000000000023</v>
      </c>
      <c r="H333" s="517">
        <v>1.6840000000000008</v>
      </c>
      <c r="I333" s="517">
        <v>-3.3899999999999597</v>
      </c>
      <c r="J333" s="517">
        <v>-1.8199999999999772</v>
      </c>
      <c r="K333" s="519">
        <v>15.200000000000014</v>
      </c>
    </row>
    <row r="334" spans="1:11" x14ac:dyDescent="0.3">
      <c r="A334" s="516">
        <v>46230</v>
      </c>
      <c r="B334" s="517" t="s">
        <v>14</v>
      </c>
      <c r="C334" s="518" t="s">
        <v>125</v>
      </c>
      <c r="D334" s="518" t="s">
        <v>147</v>
      </c>
      <c r="E334" s="517">
        <v>2.6589999999999998</v>
      </c>
      <c r="F334" s="517">
        <v>5.1999999999999602</v>
      </c>
      <c r="G334" s="517">
        <v>47.299999999999983</v>
      </c>
      <c r="H334" s="517">
        <v>1.8919999999999992</v>
      </c>
      <c r="I334" s="517">
        <v>-4.3500000000000316</v>
      </c>
      <c r="J334" s="517">
        <v>-0.95000000000000639</v>
      </c>
      <c r="K334" s="519">
        <v>18.979999999999997</v>
      </c>
    </row>
    <row r="335" spans="1:11" x14ac:dyDescent="0.3">
      <c r="A335" s="516">
        <v>46230</v>
      </c>
      <c r="B335" s="517" t="s">
        <v>15</v>
      </c>
      <c r="C335" s="518" t="s">
        <v>147</v>
      </c>
      <c r="D335" s="518" t="s">
        <v>148</v>
      </c>
      <c r="E335" s="517">
        <v>2.7242000000000002</v>
      </c>
      <c r="F335" s="517">
        <v>6.5200000000000369</v>
      </c>
      <c r="G335" s="517">
        <v>53.820000000000022</v>
      </c>
      <c r="H335" s="517">
        <v>2.1528000000000009</v>
      </c>
      <c r="I335" s="517">
        <v>-5.2799999999999958</v>
      </c>
      <c r="J335" s="517">
        <v>-0.38000000000000256</v>
      </c>
      <c r="K335" s="519" t="s">
        <v>41</v>
      </c>
    </row>
    <row r="336" spans="1:11" x14ac:dyDescent="0.3">
      <c r="A336" s="516">
        <v>46230</v>
      </c>
      <c r="B336" s="517" t="s">
        <v>17</v>
      </c>
      <c r="C336" s="518" t="s">
        <v>148</v>
      </c>
      <c r="D336" s="518" t="s">
        <v>199</v>
      </c>
      <c r="E336" s="517">
        <v>2.7484000000000002</v>
      </c>
      <c r="F336" s="517">
        <v>2.42</v>
      </c>
      <c r="G336" s="517">
        <v>56.240000000000023</v>
      </c>
      <c r="H336" s="517">
        <v>2.2496000000000009</v>
      </c>
      <c r="I336" s="517">
        <v>-6.1799999999999855</v>
      </c>
      <c r="J336" s="517">
        <v>0.53000000000000824</v>
      </c>
      <c r="K336" s="519" t="s">
        <v>41</v>
      </c>
    </row>
    <row r="337" spans="1:11" x14ac:dyDescent="0.3">
      <c r="A337" s="516">
        <v>46230</v>
      </c>
      <c r="B337" s="517" t="s">
        <v>18</v>
      </c>
      <c r="C337" s="518" t="s">
        <v>199</v>
      </c>
      <c r="D337" s="518" t="s">
        <v>145</v>
      </c>
      <c r="E337" s="517">
        <v>2.762</v>
      </c>
      <c r="F337" s="517">
        <v>1.3599999999999834</v>
      </c>
      <c r="G337" s="517">
        <v>57.600000000000009</v>
      </c>
      <c r="H337" s="517">
        <v>2.3040000000000003</v>
      </c>
      <c r="I337" s="517" t="s">
        <v>41</v>
      </c>
      <c r="J337" s="517" t="s">
        <v>41</v>
      </c>
      <c r="K337" s="519" t="s">
        <v>41</v>
      </c>
    </row>
    <row r="338" spans="1:11" x14ac:dyDescent="0.3">
      <c r="A338" s="516">
        <v>46230</v>
      </c>
      <c r="B338" s="517" t="s">
        <v>28</v>
      </c>
      <c r="C338" s="518"/>
      <c r="D338" s="518"/>
      <c r="E338" s="517">
        <v>2.7639999999999998</v>
      </c>
      <c r="F338" s="517">
        <v>0.19999999999997797</v>
      </c>
      <c r="G338" s="517">
        <v>57.799999999999983</v>
      </c>
      <c r="H338" s="517">
        <v>2.3119999999999994</v>
      </c>
      <c r="I338" s="517">
        <v>-6.9000000000000394</v>
      </c>
      <c r="J338" s="517">
        <v>1.2599999999999945</v>
      </c>
      <c r="K338" s="519">
        <v>27.799999999999958</v>
      </c>
    </row>
    <row r="339" spans="1:11" x14ac:dyDescent="0.3">
      <c r="A339" s="516">
        <v>46230</v>
      </c>
      <c r="B339" s="517"/>
      <c r="C339" s="518"/>
      <c r="D339" s="518"/>
      <c r="E339" s="517"/>
      <c r="F339" s="517"/>
      <c r="G339" s="517"/>
      <c r="H339" s="517"/>
      <c r="I339" s="517">
        <v>-283.3</v>
      </c>
      <c r="J339" s="517">
        <v>-275.14</v>
      </c>
      <c r="K339" s="519">
        <v>-248.60000000000002</v>
      </c>
    </row>
    <row r="340" spans="1:11" x14ac:dyDescent="0.3">
      <c r="A340" s="516">
        <v>46230</v>
      </c>
      <c r="B340" s="517"/>
      <c r="C340" s="518"/>
      <c r="D340" s="518"/>
      <c r="E340" s="517"/>
      <c r="F340" s="517"/>
      <c r="G340" s="517"/>
      <c r="H340" s="517"/>
      <c r="I340" s="517">
        <v>-283.3</v>
      </c>
      <c r="J340" s="517">
        <v>-275.14</v>
      </c>
      <c r="K340" s="519">
        <v>-248.60000000000002</v>
      </c>
    </row>
    <row r="341" spans="1:11" x14ac:dyDescent="0.3">
      <c r="A341" s="516">
        <v>46230</v>
      </c>
      <c r="B341" s="517"/>
      <c r="C341" s="518"/>
      <c r="D341" s="518"/>
      <c r="E341" s="517"/>
      <c r="F341" s="517"/>
      <c r="G341" s="517"/>
      <c r="H341" s="517"/>
      <c r="I341" s="517">
        <v>-283.3</v>
      </c>
      <c r="J341" s="517">
        <v>-275.14</v>
      </c>
      <c r="K341" s="519">
        <v>-248.60000000000002</v>
      </c>
    </row>
    <row r="342" spans="1:11" x14ac:dyDescent="0.3">
      <c r="A342" s="516">
        <v>46230</v>
      </c>
      <c r="B342" s="517"/>
      <c r="C342" s="518"/>
      <c r="D342" s="518"/>
      <c r="E342" s="517"/>
      <c r="F342" s="517"/>
      <c r="G342" s="517"/>
      <c r="H342" s="517"/>
      <c r="I342" s="517">
        <v>-283.3</v>
      </c>
      <c r="J342" s="517">
        <v>-275.14</v>
      </c>
      <c r="K342" s="519">
        <v>-248.60000000000002</v>
      </c>
    </row>
    <row r="343" spans="1:11" x14ac:dyDescent="0.3">
      <c r="A343" s="9">
        <v>46231</v>
      </c>
      <c r="B343" s="10" t="s">
        <v>10</v>
      </c>
      <c r="C343" s="121" t="s">
        <v>97</v>
      </c>
      <c r="D343" s="121" t="s">
        <v>99</v>
      </c>
      <c r="E343" s="10">
        <v>2.4094000000000002</v>
      </c>
      <c r="F343" s="10">
        <v>22.440000000000015</v>
      </c>
      <c r="G343" s="10">
        <v>22.440000000000015</v>
      </c>
      <c r="H343" s="10">
        <v>0.89760000000000062</v>
      </c>
      <c r="I343" s="10">
        <v>-0.25999999999997137</v>
      </c>
      <c r="J343" s="10">
        <v>-5.9999999999993392E-2</v>
      </c>
      <c r="K343" s="11">
        <v>6.29000000000004</v>
      </c>
    </row>
    <row r="344" spans="1:11" x14ac:dyDescent="0.3">
      <c r="A344" s="9">
        <v>46231</v>
      </c>
      <c r="B344" s="10" t="s">
        <v>12</v>
      </c>
      <c r="C344" s="121" t="s">
        <v>99</v>
      </c>
      <c r="D344" s="121" t="s">
        <v>103</v>
      </c>
      <c r="E344" s="10">
        <v>2.4790999999999999</v>
      </c>
      <c r="F344" s="10">
        <v>6.9699999999999651</v>
      </c>
      <c r="G344" s="10">
        <v>29.409999999999982</v>
      </c>
      <c r="H344" s="10">
        <v>1.1763999999999992</v>
      </c>
      <c r="I344" s="10">
        <v>-0.79000000000002402</v>
      </c>
      <c r="J344" s="10">
        <v>-1.6799999999999926</v>
      </c>
      <c r="K344" s="11">
        <v>10.639999999999983</v>
      </c>
    </row>
    <row r="345" spans="1:11" x14ac:dyDescent="0.3">
      <c r="A345" s="9">
        <v>46231</v>
      </c>
      <c r="B345" s="10" t="s">
        <v>13</v>
      </c>
      <c r="C345" s="121" t="s">
        <v>103</v>
      </c>
      <c r="D345" s="121" t="s">
        <v>125</v>
      </c>
      <c r="E345" s="10">
        <v>2.5920999999999998</v>
      </c>
      <c r="F345" s="10">
        <v>11.299999999999999</v>
      </c>
      <c r="G345" s="10">
        <v>40.70999999999998</v>
      </c>
      <c r="H345" s="10">
        <v>1.6283999999999992</v>
      </c>
      <c r="I345" s="10">
        <v>-1.4900000000000357</v>
      </c>
      <c r="J345" s="10">
        <v>-3.6399999999999988</v>
      </c>
      <c r="K345" s="11">
        <v>16.909999999999982</v>
      </c>
    </row>
    <row r="346" spans="1:11" x14ac:dyDescent="0.3">
      <c r="A346" s="9">
        <v>46231</v>
      </c>
      <c r="B346" s="10" t="s">
        <v>14</v>
      </c>
      <c r="C346" s="121" t="s">
        <v>125</v>
      </c>
      <c r="D346" s="121" t="s">
        <v>147</v>
      </c>
      <c r="E346" s="10">
        <v>2.6408999999999998</v>
      </c>
      <c r="F346" s="10">
        <v>4.8799999999999955</v>
      </c>
      <c r="G346" s="10">
        <v>45.589999999999975</v>
      </c>
      <c r="H346" s="10">
        <v>1.823599999999999</v>
      </c>
      <c r="I346" s="10">
        <v>-1.8100000000000005</v>
      </c>
      <c r="J346" s="10">
        <v>-3.5100000000000353</v>
      </c>
      <c r="K346" s="11">
        <v>20.77</v>
      </c>
    </row>
    <row r="347" spans="1:11" x14ac:dyDescent="0.3">
      <c r="A347" s="9">
        <v>46231</v>
      </c>
      <c r="B347" s="10" t="s">
        <v>15</v>
      </c>
      <c r="C347" s="121" t="s">
        <v>147</v>
      </c>
      <c r="D347" s="121" t="s">
        <v>148</v>
      </c>
      <c r="E347" s="10">
        <v>2.6993999999999998</v>
      </c>
      <c r="F347" s="10">
        <v>5.85</v>
      </c>
      <c r="G347" s="10">
        <v>51.439999999999976</v>
      </c>
      <c r="H347" s="10">
        <v>2.057599999999999</v>
      </c>
      <c r="I347" s="10">
        <v>-2.4800000000000377</v>
      </c>
      <c r="J347" s="10">
        <v>-4.2200000000000237</v>
      </c>
      <c r="K347" s="11" t="s">
        <v>41</v>
      </c>
    </row>
    <row r="348" spans="1:11" x14ac:dyDescent="0.3">
      <c r="A348" s="9">
        <v>46231</v>
      </c>
      <c r="B348" s="10" t="s">
        <v>17</v>
      </c>
      <c r="C348" s="121" t="s">
        <v>148</v>
      </c>
      <c r="D348" s="121" t="s">
        <v>199</v>
      </c>
      <c r="E348" s="10">
        <v>2.7170000000000001</v>
      </c>
      <c r="F348" s="10">
        <v>1.7600000000000282</v>
      </c>
      <c r="G348" s="10">
        <v>53.2</v>
      </c>
      <c r="H348" s="10">
        <v>2.1280000000000001</v>
      </c>
      <c r="I348" s="10">
        <v>-3.1400000000000095</v>
      </c>
      <c r="J348" s="10">
        <v>-4.8000000000000043</v>
      </c>
      <c r="K348" s="11" t="s">
        <v>41</v>
      </c>
    </row>
    <row r="349" spans="1:11" x14ac:dyDescent="0.3">
      <c r="A349" s="9">
        <v>46231</v>
      </c>
      <c r="B349" s="10" t="s">
        <v>18</v>
      </c>
      <c r="C349" s="121" t="s">
        <v>199</v>
      </c>
      <c r="D349" s="121" t="s">
        <v>145</v>
      </c>
      <c r="E349" s="10">
        <v>2.73</v>
      </c>
      <c r="F349" s="10">
        <v>1.2999999999999901</v>
      </c>
      <c r="G349" s="10">
        <v>54.499999999999993</v>
      </c>
      <c r="H349" s="10">
        <v>2.1799999999999997</v>
      </c>
      <c r="I349" s="10">
        <v>-3.2000000000000028</v>
      </c>
      <c r="J349" s="10" t="s">
        <v>41</v>
      </c>
      <c r="K349" s="11" t="s">
        <v>41</v>
      </c>
    </row>
    <row r="350" spans="1:11" x14ac:dyDescent="0.3">
      <c r="A350" s="9">
        <v>46231</v>
      </c>
      <c r="B350" s="10" t="s">
        <v>28</v>
      </c>
      <c r="C350" s="121"/>
      <c r="D350" s="121"/>
      <c r="E350" s="10">
        <v>2.73</v>
      </c>
      <c r="F350" s="10">
        <v>0</v>
      </c>
      <c r="G350" s="10">
        <v>54.499999999999993</v>
      </c>
      <c r="H350" s="10">
        <v>2.1799999999999997</v>
      </c>
      <c r="I350" s="10">
        <v>-3.3999999999999808</v>
      </c>
      <c r="J350" s="10">
        <v>-4.6499999999999986</v>
      </c>
      <c r="K350" s="11">
        <v>29.020000000000003</v>
      </c>
    </row>
    <row r="351" spans="1:11" x14ac:dyDescent="0.3">
      <c r="A351" s="9">
        <v>46231</v>
      </c>
      <c r="B351" s="10"/>
      <c r="C351" s="121"/>
      <c r="D351" s="121"/>
      <c r="E351" s="10"/>
      <c r="F351" s="10"/>
      <c r="G351" s="10"/>
      <c r="H351" s="10"/>
      <c r="I351" s="10">
        <v>-276.39999999999998</v>
      </c>
      <c r="J351" s="10">
        <v>-277.64999999999998</v>
      </c>
      <c r="K351" s="11">
        <v>-243.98</v>
      </c>
    </row>
    <row r="352" spans="1:11" x14ac:dyDescent="0.3">
      <c r="A352" s="9">
        <v>46231</v>
      </c>
      <c r="B352" s="10"/>
      <c r="C352" s="121"/>
      <c r="D352" s="121"/>
      <c r="E352" s="10"/>
      <c r="F352" s="10"/>
      <c r="G352" s="10"/>
      <c r="H352" s="10"/>
      <c r="I352" s="10">
        <v>-276.39999999999998</v>
      </c>
      <c r="J352" s="10">
        <v>-277.64999999999998</v>
      </c>
      <c r="K352" s="11">
        <v>-243.98</v>
      </c>
    </row>
    <row r="353" spans="1:11" x14ac:dyDescent="0.3">
      <c r="A353" s="9">
        <v>46231</v>
      </c>
      <c r="B353" s="10"/>
      <c r="C353" s="121"/>
      <c r="D353" s="121"/>
      <c r="E353" s="10"/>
      <c r="F353" s="10"/>
      <c r="G353" s="10"/>
      <c r="H353" s="10"/>
      <c r="I353" s="10">
        <v>-276.39999999999998</v>
      </c>
      <c r="J353" s="10">
        <v>-277.64999999999998</v>
      </c>
      <c r="K353" s="11">
        <v>-243.98</v>
      </c>
    </row>
    <row r="354" spans="1:11" x14ac:dyDescent="0.3">
      <c r="A354" s="9">
        <v>46231</v>
      </c>
      <c r="B354" s="10"/>
      <c r="C354" s="121"/>
      <c r="D354" s="121"/>
      <c r="E354" s="10"/>
      <c r="F354" s="10"/>
      <c r="G354" s="10"/>
      <c r="H354" s="10"/>
      <c r="I354" s="10">
        <v>-276.39999999999998</v>
      </c>
      <c r="J354" s="10">
        <v>-277.64999999999998</v>
      </c>
      <c r="K354" s="11">
        <v>-243.98</v>
      </c>
    </row>
    <row r="355" spans="1:11" x14ac:dyDescent="0.3">
      <c r="A355" s="9">
        <v>46232</v>
      </c>
      <c r="B355" s="10" t="s">
        <v>10</v>
      </c>
      <c r="C355" s="121" t="s">
        <v>97</v>
      </c>
      <c r="D355" s="121" t="s">
        <v>99</v>
      </c>
      <c r="E355" s="10">
        <v>2.4119999999999999</v>
      </c>
      <c r="F355" s="10">
        <v>22.799999999999976</v>
      </c>
      <c r="G355" s="10">
        <v>22.799999999999976</v>
      </c>
      <c r="H355" s="10">
        <v>0.91199999999999903</v>
      </c>
      <c r="I355" s="10">
        <v>0.25999999999997137</v>
      </c>
      <c r="J355" s="10">
        <v>-1.0000000000000231</v>
      </c>
      <c r="K355" s="11">
        <v>4.9900000000000055</v>
      </c>
    </row>
    <row r="356" spans="1:11" x14ac:dyDescent="0.3">
      <c r="A356" s="9">
        <v>46232</v>
      </c>
      <c r="B356" s="10" t="s">
        <v>12</v>
      </c>
      <c r="C356" s="121" t="s">
        <v>99</v>
      </c>
      <c r="D356" s="121" t="s">
        <v>103</v>
      </c>
      <c r="E356" s="10">
        <v>2.4980000000000002</v>
      </c>
      <c r="F356" s="10">
        <v>8.6000000000000298</v>
      </c>
      <c r="G356" s="10">
        <v>31.400000000000006</v>
      </c>
      <c r="H356" s="10">
        <v>1.2560000000000002</v>
      </c>
      <c r="I356" s="10">
        <v>1.8900000000000361</v>
      </c>
      <c r="J356" s="10">
        <v>-1.8999999999999684</v>
      </c>
      <c r="K356" s="11">
        <v>10.570000000000013</v>
      </c>
    </row>
    <row r="357" spans="1:11" x14ac:dyDescent="0.3">
      <c r="A357" s="9">
        <v>46232</v>
      </c>
      <c r="B357" s="10" t="s">
        <v>13</v>
      </c>
      <c r="C357" s="121" t="s">
        <v>103</v>
      </c>
      <c r="D357" s="121" t="s">
        <v>125</v>
      </c>
      <c r="E357" s="10">
        <v>2.6324999999999998</v>
      </c>
      <c r="F357" s="10">
        <v>13.449999999999962</v>
      </c>
      <c r="G357" s="10">
        <v>44.849999999999966</v>
      </c>
      <c r="H357" s="10">
        <v>1.7939999999999987</v>
      </c>
      <c r="I357" s="10">
        <v>4.0399999999999991</v>
      </c>
      <c r="J357" s="10">
        <v>-2.9500000000000082</v>
      </c>
      <c r="K357" s="11">
        <v>18.350000000000001</v>
      </c>
    </row>
    <row r="358" spans="1:11" x14ac:dyDescent="0.3">
      <c r="A358" s="9">
        <v>46232</v>
      </c>
      <c r="B358" s="10" t="s">
        <v>14</v>
      </c>
      <c r="C358" s="121" t="s">
        <v>125</v>
      </c>
      <c r="D358" s="121" t="s">
        <v>147</v>
      </c>
      <c r="E358" s="10">
        <v>2.6855000000000002</v>
      </c>
      <c r="F358" s="10">
        <v>5.300000000000038</v>
      </c>
      <c r="G358" s="10">
        <v>50.150000000000006</v>
      </c>
      <c r="H358" s="10">
        <v>2.0060000000000002</v>
      </c>
      <c r="I358" s="10">
        <v>4.4600000000000417</v>
      </c>
      <c r="J358" s="10">
        <v>-3.5699999999999843</v>
      </c>
      <c r="K358" s="11">
        <v>22.540000000000006</v>
      </c>
    </row>
    <row r="359" spans="1:11" x14ac:dyDescent="0.3">
      <c r="A359" s="9">
        <v>46232</v>
      </c>
      <c r="B359" s="10" t="s">
        <v>15</v>
      </c>
      <c r="C359" s="121" t="s">
        <v>147</v>
      </c>
      <c r="D359" s="121" t="s">
        <v>148</v>
      </c>
      <c r="E359" s="10">
        <v>2.7507000000000001</v>
      </c>
      <c r="F359" s="10">
        <v>6.5199999999999925</v>
      </c>
      <c r="G359" s="10">
        <v>56.67</v>
      </c>
      <c r="H359" s="10">
        <v>2.2667999999999999</v>
      </c>
      <c r="I359" s="10">
        <v>5.1300000000000345</v>
      </c>
      <c r="J359" s="10">
        <v>-4.5299999999999674</v>
      </c>
      <c r="K359" s="11" t="s">
        <v>41</v>
      </c>
    </row>
    <row r="360" spans="1:11" x14ac:dyDescent="0.3">
      <c r="A360" s="9">
        <v>46232</v>
      </c>
      <c r="B360" s="10" t="s">
        <v>17</v>
      </c>
      <c r="C360" s="121" t="s">
        <v>148</v>
      </c>
      <c r="D360" s="121" t="s">
        <v>199</v>
      </c>
      <c r="E360" s="10">
        <v>2.7679999999999998</v>
      </c>
      <c r="F360" s="10">
        <v>1.7299999999999649</v>
      </c>
      <c r="G360" s="10">
        <v>58.399999999999963</v>
      </c>
      <c r="H360" s="10">
        <v>2.3359999999999985</v>
      </c>
      <c r="I360" s="10">
        <v>5.0999999999999712</v>
      </c>
      <c r="J360" s="10">
        <v>-6.1300000000000132</v>
      </c>
      <c r="K360" s="11" t="s">
        <v>41</v>
      </c>
    </row>
    <row r="361" spans="1:11" x14ac:dyDescent="0.3">
      <c r="A361" s="9">
        <v>46232</v>
      </c>
      <c r="B361" s="10" t="s">
        <v>18</v>
      </c>
      <c r="C361" s="121" t="s">
        <v>199</v>
      </c>
      <c r="D361" s="121" t="s">
        <v>145</v>
      </c>
      <c r="E361" s="10">
        <v>2.7869999999999999</v>
      </c>
      <c r="F361" s="10">
        <v>1.9000000000000128</v>
      </c>
      <c r="G361" s="10">
        <v>60.299999999999976</v>
      </c>
      <c r="H361" s="10">
        <v>2.411999999999999</v>
      </c>
      <c r="I361" s="10">
        <v>5.699999999999994</v>
      </c>
      <c r="J361" s="10" t="s">
        <v>41</v>
      </c>
      <c r="K361" s="11" t="s">
        <v>41</v>
      </c>
    </row>
    <row r="362" spans="1:11" x14ac:dyDescent="0.3">
      <c r="A362" s="9">
        <v>46232</v>
      </c>
      <c r="B362" s="10" t="s">
        <v>28</v>
      </c>
      <c r="C362" s="121"/>
      <c r="D362" s="121"/>
      <c r="E362" s="10">
        <v>2.7875000000000001</v>
      </c>
      <c r="F362" s="10">
        <v>5.0000000000016698E-2</v>
      </c>
      <c r="G362" s="10">
        <v>60.349999999999994</v>
      </c>
      <c r="H362" s="10">
        <v>2.4139999999999997</v>
      </c>
      <c r="I362" s="10">
        <v>5.7500000000000107</v>
      </c>
      <c r="J362" s="10">
        <v>-5.699999999999994</v>
      </c>
      <c r="K362" s="11">
        <v>31.820000000000004</v>
      </c>
    </row>
    <row r="363" spans="1:11" x14ac:dyDescent="0.3">
      <c r="A363" s="9">
        <v>46232</v>
      </c>
      <c r="B363" s="10"/>
      <c r="C363" s="121"/>
      <c r="D363" s="121"/>
      <c r="E363" s="10"/>
      <c r="F363" s="10"/>
      <c r="G363" s="10"/>
      <c r="H363" s="10"/>
      <c r="I363" s="10">
        <v>-273</v>
      </c>
      <c r="J363" s="10">
        <v>-284.45</v>
      </c>
      <c r="K363" s="11">
        <v>-246.93</v>
      </c>
    </row>
    <row r="364" spans="1:11" x14ac:dyDescent="0.3">
      <c r="A364" s="9">
        <v>46232</v>
      </c>
      <c r="B364" s="10"/>
      <c r="C364" s="121"/>
      <c r="D364" s="121"/>
      <c r="E364" s="10"/>
      <c r="F364" s="10"/>
      <c r="G364" s="10"/>
      <c r="H364" s="10"/>
      <c r="I364" s="10">
        <v>-273</v>
      </c>
      <c r="J364" s="10">
        <v>-284.45</v>
      </c>
      <c r="K364" s="11">
        <v>-246.93</v>
      </c>
    </row>
    <row r="365" spans="1:11" x14ac:dyDescent="0.3">
      <c r="A365" s="9">
        <v>46232</v>
      </c>
      <c r="B365" s="10"/>
      <c r="C365" s="121"/>
      <c r="D365" s="121"/>
      <c r="E365" s="10"/>
      <c r="F365" s="10"/>
      <c r="G365" s="10"/>
      <c r="H365" s="10"/>
      <c r="I365" s="10">
        <v>-273</v>
      </c>
      <c r="J365" s="10">
        <v>-284.45</v>
      </c>
      <c r="K365" s="11">
        <v>-246.93</v>
      </c>
    </row>
    <row r="366" spans="1:11" x14ac:dyDescent="0.3">
      <c r="A366" s="9">
        <v>46232</v>
      </c>
      <c r="B366" s="10"/>
      <c r="C366" s="121"/>
      <c r="D366" s="121"/>
      <c r="E366" s="10"/>
      <c r="F366" s="10"/>
      <c r="G366" s="10"/>
      <c r="H366" s="10"/>
      <c r="I366" s="10">
        <v>-273</v>
      </c>
      <c r="J366" s="10">
        <v>-284.45</v>
      </c>
      <c r="K366" s="11">
        <v>-246.93</v>
      </c>
    </row>
    <row r="367" spans="1:11" x14ac:dyDescent="0.3">
      <c r="A367" s="9">
        <v>46233</v>
      </c>
      <c r="B367" s="10" t="s">
        <v>10</v>
      </c>
      <c r="C367" s="121" t="s">
        <v>97</v>
      </c>
      <c r="D367" s="121" t="s">
        <v>99</v>
      </c>
      <c r="E367" s="10">
        <v>2.4060999999999999</v>
      </c>
      <c r="F367" s="10">
        <v>22.109999999999985</v>
      </c>
      <c r="G367" s="10">
        <v>22.109999999999985</v>
      </c>
      <c r="H367" s="10">
        <v>0.88439999999999941</v>
      </c>
      <c r="I367" s="10">
        <v>-0.59000000000000163</v>
      </c>
      <c r="J367" s="10">
        <v>-1.7400000000000304</v>
      </c>
      <c r="K367" s="11">
        <v>4.9900000000000055</v>
      </c>
    </row>
    <row r="368" spans="1:11" x14ac:dyDescent="0.3">
      <c r="A368" s="9">
        <v>46233</v>
      </c>
      <c r="B368" s="10" t="s">
        <v>12</v>
      </c>
      <c r="C368" s="121" t="s">
        <v>99</v>
      </c>
      <c r="D368" s="121" t="s">
        <v>103</v>
      </c>
      <c r="E368" s="10">
        <v>2.4809999999999999</v>
      </c>
      <c r="F368" s="10">
        <v>7.4899999999999967</v>
      </c>
      <c r="G368" s="10">
        <v>29.59999999999998</v>
      </c>
      <c r="H368" s="10">
        <v>1.1839999999999993</v>
      </c>
      <c r="I368" s="10">
        <v>-1.7000000000000348</v>
      </c>
      <c r="J368" s="10">
        <v>-4.4000000000000039</v>
      </c>
      <c r="K368" s="11">
        <v>9.7699999999999676</v>
      </c>
    </row>
    <row r="369" spans="1:11" x14ac:dyDescent="0.3">
      <c r="A369" s="9">
        <v>46233</v>
      </c>
      <c r="B369" s="10" t="s">
        <v>13</v>
      </c>
      <c r="C369" s="121" t="s">
        <v>103</v>
      </c>
      <c r="D369" s="121" t="s">
        <v>125</v>
      </c>
      <c r="E369" s="10">
        <v>2.6019999999999999</v>
      </c>
      <c r="F369" s="10">
        <v>12.1</v>
      </c>
      <c r="G369" s="10">
        <v>41.699999999999982</v>
      </c>
      <c r="H369" s="10">
        <v>1.6679999999999993</v>
      </c>
      <c r="I369" s="10">
        <v>-3.0499999999999972</v>
      </c>
      <c r="J369" s="10">
        <v>-7.6000000000000068</v>
      </c>
      <c r="K369" s="11">
        <v>16.819999999999968</v>
      </c>
    </row>
    <row r="370" spans="1:11" x14ac:dyDescent="0.3">
      <c r="A370" s="9">
        <v>46233</v>
      </c>
      <c r="B370" s="10" t="s">
        <v>14</v>
      </c>
      <c r="C370" s="121" t="s">
        <v>125</v>
      </c>
      <c r="D370" s="121" t="s">
        <v>147</v>
      </c>
      <c r="E370" s="10">
        <v>2.6469999999999998</v>
      </c>
      <c r="F370" s="10">
        <v>4.4999999999999929</v>
      </c>
      <c r="G370" s="10">
        <v>46.199999999999974</v>
      </c>
      <c r="H370" s="10">
        <v>1.847999999999999</v>
      </c>
      <c r="I370" s="10">
        <v>-3.8500000000000423</v>
      </c>
      <c r="J370" s="10">
        <v>-10.210000000000008</v>
      </c>
      <c r="K370" s="11">
        <v>20.279999999999987</v>
      </c>
    </row>
    <row r="371" spans="1:11" x14ac:dyDescent="0.3">
      <c r="A371" s="9">
        <v>46233</v>
      </c>
      <c r="B371" s="10" t="s">
        <v>15</v>
      </c>
      <c r="C371" s="121" t="s">
        <v>147</v>
      </c>
      <c r="D371" s="121" t="s">
        <v>148</v>
      </c>
      <c r="E371" s="10">
        <v>2.7069999999999999</v>
      </c>
      <c r="F371" s="10">
        <v>6.0000000000000053</v>
      </c>
      <c r="G371" s="10">
        <v>52.199999999999982</v>
      </c>
      <c r="H371" s="10">
        <v>2.0879999999999992</v>
      </c>
      <c r="I371" s="10">
        <v>-4.3700000000000294</v>
      </c>
      <c r="J371" s="10">
        <v>-12.700000000000022</v>
      </c>
      <c r="K371" s="11" t="s">
        <v>41</v>
      </c>
    </row>
    <row r="372" spans="1:11" x14ac:dyDescent="0.3">
      <c r="A372" s="9">
        <v>46233</v>
      </c>
      <c r="B372" s="10" t="s">
        <v>17</v>
      </c>
      <c r="C372" s="121" t="s">
        <v>148</v>
      </c>
      <c r="D372" s="121" t="s">
        <v>199</v>
      </c>
      <c r="E372" s="10">
        <v>2.7294999999999998</v>
      </c>
      <c r="F372" s="10">
        <v>2.2499999999999964</v>
      </c>
      <c r="G372" s="10">
        <v>54.449999999999974</v>
      </c>
      <c r="H372" s="10">
        <v>2.177999999999999</v>
      </c>
      <c r="I372" s="10">
        <v>-3.8499999999999979</v>
      </c>
      <c r="J372" s="10">
        <v>-15.050000000000008</v>
      </c>
      <c r="K372" s="11" t="s">
        <v>41</v>
      </c>
    </row>
    <row r="373" spans="1:11" x14ac:dyDescent="0.3">
      <c r="A373" s="9">
        <v>46233</v>
      </c>
      <c r="B373" s="10" t="s">
        <v>18</v>
      </c>
      <c r="C373" s="121" t="s">
        <v>199</v>
      </c>
      <c r="D373" s="121" t="s">
        <v>145</v>
      </c>
      <c r="E373" s="10">
        <v>2.7488000000000001</v>
      </c>
      <c r="F373" s="10">
        <v>1.9300000000000317</v>
      </c>
      <c r="G373" s="10">
        <v>56.38000000000001</v>
      </c>
      <c r="H373" s="10">
        <v>2.2552000000000003</v>
      </c>
      <c r="I373" s="10">
        <v>-3.819999999999979</v>
      </c>
      <c r="J373" s="10" t="s">
        <v>41</v>
      </c>
      <c r="K373" s="11" t="s">
        <v>41</v>
      </c>
    </row>
    <row r="374" spans="1:11" x14ac:dyDescent="0.3">
      <c r="A374" s="9">
        <v>46233</v>
      </c>
      <c r="B374" s="10" t="s">
        <v>28</v>
      </c>
      <c r="C374" s="121"/>
      <c r="D374" s="121"/>
      <c r="E374" s="10">
        <v>2.7538999999999998</v>
      </c>
      <c r="F374" s="10">
        <v>0.50999999999996604</v>
      </c>
      <c r="G374" s="10">
        <v>56.889999999999972</v>
      </c>
      <c r="H374" s="10">
        <v>2.275599999999999</v>
      </c>
      <c r="I374" s="10">
        <v>-3.3600000000000296</v>
      </c>
      <c r="J374" s="10">
        <v>-15.650000000000031</v>
      </c>
      <c r="K374" s="11">
        <v>29.089999999999971</v>
      </c>
    </row>
    <row r="375" spans="1:11" x14ac:dyDescent="0.3">
      <c r="A375" s="9">
        <v>46233</v>
      </c>
      <c r="B375" s="10"/>
      <c r="C375" s="121"/>
      <c r="D375" s="121"/>
      <c r="E375" s="10"/>
      <c r="F375" s="10"/>
      <c r="G375" s="10"/>
      <c r="H375" s="10"/>
      <c r="I375" s="10">
        <v>-278.75</v>
      </c>
      <c r="J375" s="10">
        <v>-291.04000000000002</v>
      </c>
      <c r="K375" s="11">
        <v>-246.3</v>
      </c>
    </row>
    <row r="376" spans="1:11" x14ac:dyDescent="0.3">
      <c r="A376" s="9">
        <v>46233</v>
      </c>
      <c r="B376" s="10"/>
      <c r="C376" s="121"/>
      <c r="D376" s="121"/>
      <c r="E376" s="10"/>
      <c r="F376" s="10"/>
      <c r="G376" s="10"/>
      <c r="H376" s="10"/>
      <c r="I376" s="10">
        <v>-278.75</v>
      </c>
      <c r="J376" s="10">
        <v>-291.04000000000002</v>
      </c>
      <c r="K376" s="11">
        <v>-246.3</v>
      </c>
    </row>
    <row r="377" spans="1:11" x14ac:dyDescent="0.3">
      <c r="A377" s="9">
        <v>46233</v>
      </c>
      <c r="B377" s="10"/>
      <c r="C377" s="121"/>
      <c r="D377" s="121"/>
      <c r="E377" s="10"/>
      <c r="F377" s="10"/>
      <c r="G377" s="10"/>
      <c r="H377" s="10"/>
      <c r="I377" s="10">
        <v>-278.75</v>
      </c>
      <c r="J377" s="10">
        <v>-291.04000000000002</v>
      </c>
      <c r="K377" s="11">
        <v>-246.3</v>
      </c>
    </row>
    <row r="378" spans="1:11" x14ac:dyDescent="0.3">
      <c r="A378" s="9">
        <v>46233</v>
      </c>
      <c r="B378" s="10"/>
      <c r="C378" s="121"/>
      <c r="D378" s="121"/>
      <c r="E378" s="10"/>
      <c r="F378" s="10"/>
      <c r="G378" s="10"/>
      <c r="H378" s="10"/>
      <c r="I378" s="10">
        <v>-278.75</v>
      </c>
      <c r="J378" s="10">
        <v>-291.04000000000002</v>
      </c>
      <c r="K378" s="11">
        <v>-246.3</v>
      </c>
    </row>
    <row r="379" spans="1:11" x14ac:dyDescent="0.3">
      <c r="A379" s="535">
        <v>46234</v>
      </c>
      <c r="B379" s="536" t="s">
        <v>10</v>
      </c>
      <c r="C379" s="537" t="s">
        <v>97</v>
      </c>
      <c r="D379" s="537" t="s">
        <v>99</v>
      </c>
      <c r="E379" s="536">
        <v>2.4112</v>
      </c>
      <c r="F379" s="536">
        <v>22.619999999999997</v>
      </c>
      <c r="G379" s="536">
        <v>22.619999999999997</v>
      </c>
      <c r="H379" s="536">
        <v>0.90479999999999994</v>
      </c>
      <c r="I379" s="536">
        <v>0.51000000000001044</v>
      </c>
      <c r="J379" s="536">
        <v>-0.28000000000001357</v>
      </c>
      <c r="K379" s="538">
        <v>5.500000000000016</v>
      </c>
    </row>
    <row r="380" spans="1:11" x14ac:dyDescent="0.3">
      <c r="A380" s="535">
        <v>46234</v>
      </c>
      <c r="B380" s="536" t="s">
        <v>12</v>
      </c>
      <c r="C380" s="537" t="s">
        <v>99</v>
      </c>
      <c r="D380" s="537" t="s">
        <v>103</v>
      </c>
      <c r="E380" s="536">
        <v>2.4874999999999998</v>
      </c>
      <c r="F380" s="536">
        <v>7.6299999999999812</v>
      </c>
      <c r="G380" s="536">
        <v>30.249999999999979</v>
      </c>
      <c r="H380" s="536">
        <v>1.2099999999999991</v>
      </c>
      <c r="I380" s="536">
        <v>0.64999999999999503</v>
      </c>
      <c r="J380" s="536">
        <v>-1.4800000000000146</v>
      </c>
      <c r="K380" s="538">
        <v>10.419999999999963</v>
      </c>
    </row>
    <row r="381" spans="1:11" x14ac:dyDescent="0.3">
      <c r="A381" s="535">
        <v>46234</v>
      </c>
      <c r="B381" s="536" t="s">
        <v>13</v>
      </c>
      <c r="C381" s="537" t="s">
        <v>103</v>
      </c>
      <c r="D381" s="537" t="s">
        <v>125</v>
      </c>
      <c r="E381" s="536">
        <v>2.621</v>
      </c>
      <c r="F381" s="536">
        <v>13.350000000000017</v>
      </c>
      <c r="G381" s="536">
        <v>43.599999999999994</v>
      </c>
      <c r="H381" s="536">
        <v>1.7439999999999998</v>
      </c>
      <c r="I381" s="536">
        <v>1.9000000000000128</v>
      </c>
      <c r="J381" s="536">
        <v>-1.9899999999999807</v>
      </c>
      <c r="K381" s="538">
        <v>18.719999999999981</v>
      </c>
    </row>
    <row r="382" spans="1:11" x14ac:dyDescent="0.3">
      <c r="A382" s="535">
        <v>46234</v>
      </c>
      <c r="B382" s="536" t="s">
        <v>14</v>
      </c>
      <c r="C382" s="537" t="s">
        <v>125</v>
      </c>
      <c r="D382" s="537" t="s">
        <v>147</v>
      </c>
      <c r="E382" s="536">
        <v>2.673</v>
      </c>
      <c r="F382" s="536">
        <v>5.2000000000000046</v>
      </c>
      <c r="G382" s="536">
        <v>48.8</v>
      </c>
      <c r="H382" s="536">
        <v>1.952</v>
      </c>
      <c r="I382" s="536">
        <v>2.6000000000000245</v>
      </c>
      <c r="J382" s="536">
        <v>-2.9500000000000082</v>
      </c>
      <c r="K382" s="538">
        <v>22.88000000000001</v>
      </c>
    </row>
    <row r="383" spans="1:11" x14ac:dyDescent="0.3">
      <c r="A383" s="535">
        <v>46234</v>
      </c>
      <c r="B383" s="536" t="s">
        <v>15</v>
      </c>
      <c r="C383" s="537" t="s">
        <v>147</v>
      </c>
      <c r="D383" s="537" t="s">
        <v>148</v>
      </c>
      <c r="E383" s="536">
        <v>2.74</v>
      </c>
      <c r="F383" s="536">
        <v>6.7000000000000171</v>
      </c>
      <c r="G383" s="536">
        <v>55.500000000000014</v>
      </c>
      <c r="H383" s="536">
        <v>2.2200000000000006</v>
      </c>
      <c r="I383" s="536">
        <v>3.3000000000000362</v>
      </c>
      <c r="J383" s="536">
        <v>-3.6999999999999922</v>
      </c>
      <c r="K383" s="538" t="s">
        <v>41</v>
      </c>
    </row>
    <row r="384" spans="1:11" x14ac:dyDescent="0.3">
      <c r="A384" s="535">
        <v>46234</v>
      </c>
      <c r="B384" s="536" t="s">
        <v>17</v>
      </c>
      <c r="C384" s="537" t="s">
        <v>148</v>
      </c>
      <c r="D384" s="537" t="s">
        <v>199</v>
      </c>
      <c r="E384" s="536">
        <v>2.7673000000000001</v>
      </c>
      <c r="F384" s="536">
        <v>2.729999999999988</v>
      </c>
      <c r="G384" s="536">
        <v>58.230000000000004</v>
      </c>
      <c r="H384" s="536">
        <v>2.3292000000000002</v>
      </c>
      <c r="I384" s="536">
        <v>3.7800000000000278</v>
      </c>
      <c r="J384" s="536">
        <v>-4.2899999999999938</v>
      </c>
      <c r="K384" s="538" t="s">
        <v>41</v>
      </c>
    </row>
    <row r="385" spans="1:11" x14ac:dyDescent="0.3">
      <c r="A385" s="535">
        <v>46234</v>
      </c>
      <c r="B385" s="536" t="s">
        <v>18</v>
      </c>
      <c r="C385" s="537" t="s">
        <v>199</v>
      </c>
      <c r="D385" s="537" t="s">
        <v>145</v>
      </c>
      <c r="E385" s="536">
        <v>2.7909999999999999</v>
      </c>
      <c r="F385" s="536">
        <v>2.3699999999999832</v>
      </c>
      <c r="G385" s="536">
        <v>60.599999999999987</v>
      </c>
      <c r="H385" s="536">
        <v>2.4239999999999995</v>
      </c>
      <c r="I385" s="536">
        <v>4.2199999999999793</v>
      </c>
      <c r="J385" s="536" t="s">
        <v>41</v>
      </c>
      <c r="K385" s="538" t="s">
        <v>41</v>
      </c>
    </row>
    <row r="386" spans="1:11" x14ac:dyDescent="0.3">
      <c r="A386" s="535">
        <v>46234</v>
      </c>
      <c r="B386" s="536" t="s">
        <v>28</v>
      </c>
      <c r="C386" s="537"/>
      <c r="D386" s="537"/>
      <c r="E386" s="536">
        <v>2.7986</v>
      </c>
      <c r="F386" s="536">
        <v>0.76000000000000512</v>
      </c>
      <c r="G386" s="536">
        <v>61.359999999999992</v>
      </c>
      <c r="H386" s="536">
        <v>2.4543999999999997</v>
      </c>
      <c r="I386" s="536">
        <v>4.4700000000000184</v>
      </c>
      <c r="J386" s="536">
        <v>-3.4400000000000208</v>
      </c>
      <c r="K386" s="538">
        <v>33.559999999999988</v>
      </c>
    </row>
    <row r="387" spans="1:11" x14ac:dyDescent="0.3">
      <c r="A387" s="535">
        <v>46234</v>
      </c>
      <c r="B387" s="536"/>
      <c r="C387" s="537"/>
      <c r="D387" s="537"/>
      <c r="E387" s="536"/>
      <c r="F387" s="536"/>
      <c r="G387" s="536"/>
      <c r="H387" s="536"/>
      <c r="I387" s="536">
        <v>-275.39</v>
      </c>
      <c r="J387" s="536">
        <v>-283.3</v>
      </c>
      <c r="K387" s="538">
        <v>-246.3</v>
      </c>
    </row>
    <row r="388" spans="1:11" x14ac:dyDescent="0.3">
      <c r="A388" s="535">
        <v>46234</v>
      </c>
      <c r="B388" s="536"/>
      <c r="C388" s="537"/>
      <c r="D388" s="537"/>
      <c r="E388" s="536"/>
      <c r="F388" s="536"/>
      <c r="G388" s="536"/>
      <c r="H388" s="536"/>
      <c r="I388" s="536">
        <v>-275.39</v>
      </c>
      <c r="J388" s="536">
        <v>-283.3</v>
      </c>
      <c r="K388" s="538">
        <v>-246.3</v>
      </c>
    </row>
    <row r="389" spans="1:11" x14ac:dyDescent="0.3">
      <c r="A389" s="535">
        <v>46234</v>
      </c>
      <c r="B389" s="536"/>
      <c r="C389" s="537"/>
      <c r="D389" s="537"/>
      <c r="E389" s="536"/>
      <c r="F389" s="536"/>
      <c r="G389" s="536"/>
      <c r="H389" s="536"/>
      <c r="I389" s="536">
        <v>-275.39</v>
      </c>
      <c r="J389" s="536">
        <v>-283.3</v>
      </c>
      <c r="K389" s="538">
        <v>-246.3</v>
      </c>
    </row>
    <row r="390" spans="1:11" x14ac:dyDescent="0.3">
      <c r="A390" s="535">
        <v>46234</v>
      </c>
      <c r="B390" s="536"/>
      <c r="C390" s="537"/>
      <c r="D390" s="537"/>
      <c r="E390" s="536"/>
      <c r="F390" s="536"/>
      <c r="G390" s="536"/>
      <c r="H390" s="536"/>
      <c r="I390" s="536">
        <v>-275.39</v>
      </c>
      <c r="J390" s="536">
        <v>-283.3</v>
      </c>
      <c r="K390" s="538">
        <v>-246.3</v>
      </c>
    </row>
    <row r="391" spans="1:11" x14ac:dyDescent="0.3">
      <c r="A391" s="535">
        <v>46237</v>
      </c>
      <c r="B391" s="536" t="s">
        <v>10</v>
      </c>
      <c r="C391" s="537" t="s">
        <v>97</v>
      </c>
      <c r="D391" s="537" t="s">
        <v>99</v>
      </c>
      <c r="E391" s="536">
        <v>2.4079999999999999</v>
      </c>
      <c r="F391" s="536">
        <v>22.399999999999977</v>
      </c>
      <c r="G391" s="536">
        <v>22.399999999999977</v>
      </c>
      <c r="H391" s="536">
        <v>0.89599999999999913</v>
      </c>
      <c r="I391" s="536">
        <v>-0.32000000000000917</v>
      </c>
      <c r="J391" s="536">
        <v>-0.40000000000000036</v>
      </c>
      <c r="K391" s="538">
        <v>8.8999999999999968</v>
      </c>
    </row>
    <row r="392" spans="1:11" x14ac:dyDescent="0.3">
      <c r="A392" s="535">
        <v>46237</v>
      </c>
      <c r="B392" s="536" t="s">
        <v>12</v>
      </c>
      <c r="C392" s="537" t="s">
        <v>99</v>
      </c>
      <c r="D392" s="537" t="s">
        <v>103</v>
      </c>
      <c r="E392" s="536">
        <v>2.4750000000000001</v>
      </c>
      <c r="F392" s="536">
        <v>6.7000000000000171</v>
      </c>
      <c r="G392" s="536">
        <v>29.099999999999994</v>
      </c>
      <c r="H392" s="536">
        <v>1.1639999999999997</v>
      </c>
      <c r="I392" s="536">
        <v>-1.2499999999999734</v>
      </c>
      <c r="J392" s="536">
        <v>-1.2000000000000011</v>
      </c>
      <c r="K392" s="538">
        <v>13.080000000000025</v>
      </c>
    </row>
    <row r="393" spans="1:11" x14ac:dyDescent="0.3">
      <c r="A393" s="535">
        <v>46237</v>
      </c>
      <c r="B393" s="536" t="s">
        <v>13</v>
      </c>
      <c r="C393" s="537" t="s">
        <v>103</v>
      </c>
      <c r="D393" s="537" t="s">
        <v>125</v>
      </c>
      <c r="E393" s="536">
        <v>2.5920000000000001</v>
      </c>
      <c r="F393" s="536">
        <v>11.7</v>
      </c>
      <c r="G393" s="536">
        <v>40.79999999999999</v>
      </c>
      <c r="H393" s="536">
        <v>1.6319999999999997</v>
      </c>
      <c r="I393" s="536">
        <v>-2.8999999999999915</v>
      </c>
      <c r="J393" s="536">
        <v>-1.5000000000000124</v>
      </c>
      <c r="K393" s="538">
        <v>20.100000000000009</v>
      </c>
    </row>
    <row r="394" spans="1:11" x14ac:dyDescent="0.3">
      <c r="A394" s="535">
        <v>46237</v>
      </c>
      <c r="B394" s="536" t="s">
        <v>14</v>
      </c>
      <c r="C394" s="537" t="s">
        <v>125</v>
      </c>
      <c r="D394" s="537" t="s">
        <v>147</v>
      </c>
      <c r="E394" s="536">
        <v>2.6343000000000001</v>
      </c>
      <c r="F394" s="536">
        <v>4.2300000000000004</v>
      </c>
      <c r="G394" s="536">
        <v>45.029999999999994</v>
      </c>
      <c r="H394" s="536">
        <v>1.8011999999999997</v>
      </c>
      <c r="I394" s="536">
        <v>-3.8699999999999957</v>
      </c>
      <c r="J394" s="536">
        <v>-2.4699999999999722</v>
      </c>
      <c r="K394" s="538">
        <v>22.910000000000032</v>
      </c>
    </row>
    <row r="395" spans="1:11" x14ac:dyDescent="0.3">
      <c r="A395" s="535">
        <v>46237</v>
      </c>
      <c r="B395" s="536" t="s">
        <v>15</v>
      </c>
      <c r="C395" s="537" t="s">
        <v>147</v>
      </c>
      <c r="D395" s="537" t="s">
        <v>148</v>
      </c>
      <c r="E395" s="536">
        <v>2.6903999999999999</v>
      </c>
      <c r="F395" s="536">
        <v>5.6099999999999817</v>
      </c>
      <c r="G395" s="536">
        <v>50.639999999999972</v>
      </c>
      <c r="H395" s="536">
        <v>2.025599999999999</v>
      </c>
      <c r="I395" s="536">
        <v>-4.9600000000000311</v>
      </c>
      <c r="J395" s="536">
        <v>-3.3800000000000274</v>
      </c>
      <c r="K395" s="538" t="s">
        <v>41</v>
      </c>
    </row>
    <row r="396" spans="1:11" x14ac:dyDescent="0.3">
      <c r="A396" s="535">
        <v>46237</v>
      </c>
      <c r="B396" s="536" t="s">
        <v>17</v>
      </c>
      <c r="C396" s="537" t="s">
        <v>148</v>
      </c>
      <c r="D396" s="537" t="s">
        <v>199</v>
      </c>
      <c r="E396" s="536">
        <v>2.7111000000000001</v>
      </c>
      <c r="F396" s="536">
        <v>2.0700000000000163</v>
      </c>
      <c r="G396" s="536">
        <v>52.709999999999994</v>
      </c>
      <c r="H396" s="536">
        <v>2.1083999999999996</v>
      </c>
      <c r="I396" s="536">
        <v>-5.6200000000000028</v>
      </c>
      <c r="J396" s="536">
        <v>-3.7300000000000111</v>
      </c>
      <c r="K396" s="538" t="s">
        <v>41</v>
      </c>
    </row>
    <row r="397" spans="1:11" x14ac:dyDescent="0.3">
      <c r="A397" s="535">
        <v>46237</v>
      </c>
      <c r="B397" s="536" t="s">
        <v>18</v>
      </c>
      <c r="C397" s="537" t="s">
        <v>199</v>
      </c>
      <c r="D397" s="537" t="s">
        <v>145</v>
      </c>
      <c r="E397" s="536">
        <v>2.7267000000000001</v>
      </c>
      <c r="F397" s="536">
        <v>1.5600000000000058</v>
      </c>
      <c r="G397" s="536">
        <v>54.269999999999996</v>
      </c>
      <c r="H397" s="536">
        <v>2.1707999999999998</v>
      </c>
      <c r="I397" s="536">
        <v>-6.4299999999999802</v>
      </c>
      <c r="J397" s="536">
        <v>-3.5299999999999887</v>
      </c>
      <c r="K397" s="538" t="s">
        <v>41</v>
      </c>
    </row>
    <row r="398" spans="1:11" x14ac:dyDescent="0.3">
      <c r="A398" s="535">
        <v>46237</v>
      </c>
      <c r="B398" s="536" t="s">
        <v>28</v>
      </c>
      <c r="C398" s="537"/>
      <c r="D398" s="537"/>
      <c r="E398" s="536">
        <v>2.7288000000000001</v>
      </c>
      <c r="F398" s="536">
        <v>0.20999999999999908</v>
      </c>
      <c r="G398" s="536">
        <v>54.48</v>
      </c>
      <c r="H398" s="536">
        <v>2.1791999999999998</v>
      </c>
      <c r="I398" s="536">
        <v>-6.9799999999999862</v>
      </c>
      <c r="J398" s="536">
        <v>-3.5199999999999676</v>
      </c>
      <c r="K398" s="538">
        <v>28.480000000000018</v>
      </c>
    </row>
    <row r="399" spans="1:11" x14ac:dyDescent="0.3">
      <c r="A399" s="535">
        <v>46237</v>
      </c>
      <c r="B399" s="536"/>
      <c r="C399" s="537"/>
      <c r="D399" s="537"/>
      <c r="E399" s="536"/>
      <c r="F399" s="536"/>
      <c r="G399" s="536"/>
      <c r="H399" s="536"/>
      <c r="I399" s="536">
        <v>-279.86</v>
      </c>
      <c r="J399" s="536">
        <v>-276.39999999999998</v>
      </c>
      <c r="K399" s="538">
        <v>-244.4</v>
      </c>
    </row>
    <row r="400" spans="1:11" x14ac:dyDescent="0.3">
      <c r="A400" s="535">
        <v>46237</v>
      </c>
      <c r="B400" s="536"/>
      <c r="C400" s="537"/>
      <c r="D400" s="537"/>
      <c r="E400" s="536"/>
      <c r="F400" s="536"/>
      <c r="G400" s="536"/>
      <c r="H400" s="536"/>
      <c r="I400" s="536">
        <v>-279.86</v>
      </c>
      <c r="J400" s="536">
        <v>-276.39999999999998</v>
      </c>
      <c r="K400" s="538">
        <v>-244.4</v>
      </c>
    </row>
    <row r="401" spans="1:11" x14ac:dyDescent="0.3">
      <c r="A401" s="535">
        <v>46237</v>
      </c>
      <c r="B401" s="536"/>
      <c r="C401" s="537"/>
      <c r="D401" s="537"/>
      <c r="E401" s="536"/>
      <c r="F401" s="536"/>
      <c r="G401" s="536"/>
      <c r="H401" s="536"/>
      <c r="I401" s="536">
        <v>-279.86</v>
      </c>
      <c r="J401" s="536">
        <v>-276.39999999999998</v>
      </c>
      <c r="K401" s="538">
        <v>-244.4</v>
      </c>
    </row>
    <row r="402" spans="1:11" x14ac:dyDescent="0.3">
      <c r="A402" s="535">
        <v>46237</v>
      </c>
      <c r="B402" s="536"/>
      <c r="C402" s="537"/>
      <c r="D402" s="537"/>
      <c r="E402" s="536"/>
      <c r="F402" s="536"/>
      <c r="G402" s="536"/>
      <c r="H402" s="536"/>
      <c r="I402" s="536">
        <v>-279.86</v>
      </c>
      <c r="J402" s="536">
        <v>-276.39999999999998</v>
      </c>
      <c r="K402" s="538">
        <v>-244.4</v>
      </c>
    </row>
    <row r="403" spans="1:11" x14ac:dyDescent="0.3">
      <c r="A403" s="9">
        <v>46238</v>
      </c>
      <c r="B403" s="10" t="s">
        <v>10</v>
      </c>
      <c r="C403" s="121" t="s">
        <v>97</v>
      </c>
      <c r="D403" s="121" t="s">
        <v>99</v>
      </c>
      <c r="E403" s="10">
        <v>2.4015</v>
      </c>
      <c r="F403" s="10">
        <v>21.649999999999991</v>
      </c>
      <c r="G403" s="10">
        <v>21.649999999999991</v>
      </c>
      <c r="H403" s="10">
        <v>0.86599999999999966</v>
      </c>
      <c r="I403" s="10">
        <v>-0.64999999999999503</v>
      </c>
      <c r="J403" s="10">
        <v>-0.79000000000002402</v>
      </c>
      <c r="K403" s="11">
        <v>6.590000000000007</v>
      </c>
    </row>
    <row r="404" spans="1:11" x14ac:dyDescent="0.3">
      <c r="A404" s="9">
        <v>46238</v>
      </c>
      <c r="B404" s="10" t="s">
        <v>12</v>
      </c>
      <c r="C404" s="121" t="s">
        <v>99</v>
      </c>
      <c r="D404" s="121" t="s">
        <v>103</v>
      </c>
      <c r="E404" s="10">
        <v>2.4569999999999999</v>
      </c>
      <c r="F404" s="10">
        <v>5.5499999999999883</v>
      </c>
      <c r="G404" s="10">
        <v>27.199999999999982</v>
      </c>
      <c r="H404" s="10">
        <v>1.0879999999999992</v>
      </c>
      <c r="I404" s="10">
        <v>-1.8000000000000238</v>
      </c>
      <c r="J404" s="10">
        <v>-2.2100000000000009</v>
      </c>
      <c r="K404" s="11">
        <v>10.08</v>
      </c>
    </row>
    <row r="405" spans="1:11" x14ac:dyDescent="0.3">
      <c r="A405" s="9">
        <v>46238</v>
      </c>
      <c r="B405" s="10" t="s">
        <v>13</v>
      </c>
      <c r="C405" s="121" t="s">
        <v>103</v>
      </c>
      <c r="D405" s="121" t="s">
        <v>125</v>
      </c>
      <c r="E405" s="10">
        <v>2.5579999999999998</v>
      </c>
      <c r="F405" s="10">
        <v>10.099999999999998</v>
      </c>
      <c r="G405" s="10">
        <v>37.299999999999976</v>
      </c>
      <c r="H405" s="10">
        <v>1.4919999999999991</v>
      </c>
      <c r="I405" s="10">
        <v>-3.4000000000000252</v>
      </c>
      <c r="J405" s="10">
        <v>-3.4100000000000019</v>
      </c>
      <c r="K405" s="11">
        <v>16.39999999999997</v>
      </c>
    </row>
    <row r="406" spans="1:11" x14ac:dyDescent="0.3">
      <c r="A406" s="9">
        <v>46238</v>
      </c>
      <c r="B406" s="10" t="s">
        <v>14</v>
      </c>
      <c r="C406" s="121" t="s">
        <v>125</v>
      </c>
      <c r="D406" s="121" t="s">
        <v>147</v>
      </c>
      <c r="E406" s="10">
        <v>2.5920000000000001</v>
      </c>
      <c r="F406" s="10">
        <v>3.4000000000000252</v>
      </c>
      <c r="G406" s="10">
        <v>40.700000000000003</v>
      </c>
      <c r="H406" s="10">
        <v>1.6280000000000001</v>
      </c>
      <c r="I406" s="10">
        <v>-4.2300000000000004</v>
      </c>
      <c r="J406" s="10">
        <v>-4.8899999999999721</v>
      </c>
      <c r="K406" s="11">
        <v>19.300000000000004</v>
      </c>
    </row>
    <row r="407" spans="1:11" x14ac:dyDescent="0.3">
      <c r="A407" s="9">
        <v>46238</v>
      </c>
      <c r="B407" s="10" t="s">
        <v>15</v>
      </c>
      <c r="C407" s="121" t="s">
        <v>147</v>
      </c>
      <c r="D407" s="121" t="s">
        <v>148</v>
      </c>
      <c r="E407" s="10">
        <v>2.6415000000000002</v>
      </c>
      <c r="F407" s="10">
        <v>4.9500000000000099</v>
      </c>
      <c r="G407" s="10">
        <v>45.650000000000013</v>
      </c>
      <c r="H407" s="10">
        <v>1.8260000000000005</v>
      </c>
      <c r="I407" s="10">
        <v>-4.8899999999999721</v>
      </c>
      <c r="J407" s="10">
        <v>-5.7899999999999618</v>
      </c>
      <c r="K407" s="11" t="s">
        <v>41</v>
      </c>
    </row>
    <row r="408" spans="1:11" x14ac:dyDescent="0.3">
      <c r="A408" s="9">
        <v>46238</v>
      </c>
      <c r="B408" s="10" t="s">
        <v>17</v>
      </c>
      <c r="C408" s="121" t="s">
        <v>148</v>
      </c>
      <c r="D408" s="121" t="s">
        <v>199</v>
      </c>
      <c r="E408" s="10">
        <v>2.6579999999999999</v>
      </c>
      <c r="F408" s="10">
        <v>1.6499999999999737</v>
      </c>
      <c r="G408" s="10">
        <v>47.299999999999983</v>
      </c>
      <c r="H408" s="10">
        <v>1.8919999999999992</v>
      </c>
      <c r="I408" s="10">
        <v>-5.3100000000000147</v>
      </c>
      <c r="J408" s="10">
        <v>-5.9000000000000163</v>
      </c>
      <c r="K408" s="11" t="s">
        <v>41</v>
      </c>
    </row>
    <row r="409" spans="1:11" x14ac:dyDescent="0.3">
      <c r="A409" s="9">
        <v>46238</v>
      </c>
      <c r="B409" s="10" t="s">
        <v>18</v>
      </c>
      <c r="C409" s="121" t="s">
        <v>199</v>
      </c>
      <c r="D409" s="121" t="s">
        <v>145</v>
      </c>
      <c r="E409" s="10">
        <v>2.6709999999999998</v>
      </c>
      <c r="F409" s="10">
        <v>1.2999999999999901</v>
      </c>
      <c r="G409" s="10">
        <v>48.59999999999998</v>
      </c>
      <c r="H409" s="10">
        <v>1.9439999999999993</v>
      </c>
      <c r="I409" s="10">
        <v>-5.5700000000000305</v>
      </c>
      <c r="J409" s="10">
        <v>-5.9000000000000163</v>
      </c>
      <c r="K409" s="11" t="s">
        <v>41</v>
      </c>
    </row>
    <row r="410" spans="1:11" x14ac:dyDescent="0.3">
      <c r="A410" s="9">
        <v>46238</v>
      </c>
      <c r="B410" s="10" t="s">
        <v>28</v>
      </c>
      <c r="C410" s="121"/>
      <c r="D410" s="121"/>
      <c r="E410" s="10">
        <v>2.6728000000000001</v>
      </c>
      <c r="F410" s="10">
        <v>0.18000000000002458</v>
      </c>
      <c r="G410" s="10">
        <v>48.78</v>
      </c>
      <c r="H410" s="10">
        <v>1.9512</v>
      </c>
      <c r="I410" s="10">
        <v>-5.600000000000005</v>
      </c>
      <c r="J410" s="10">
        <v>-5.7199999999999918</v>
      </c>
      <c r="K410" s="11">
        <v>24.780000000000022</v>
      </c>
    </row>
    <row r="411" spans="1:11" x14ac:dyDescent="0.3">
      <c r="A411" s="9">
        <v>46238</v>
      </c>
      <c r="B411" s="10"/>
      <c r="C411" s="121"/>
      <c r="D411" s="121"/>
      <c r="E411" s="10"/>
      <c r="F411" s="10"/>
      <c r="G411" s="10"/>
      <c r="H411" s="10"/>
      <c r="I411" s="10">
        <v>-272.88</v>
      </c>
      <c r="J411" s="10">
        <v>-273</v>
      </c>
      <c r="K411" s="11">
        <v>-242.49999999999997</v>
      </c>
    </row>
    <row r="412" spans="1:11" x14ac:dyDescent="0.3">
      <c r="A412" s="9">
        <v>46238</v>
      </c>
      <c r="B412" s="10"/>
      <c r="C412" s="121"/>
      <c r="D412" s="121"/>
      <c r="E412" s="10"/>
      <c r="F412" s="10"/>
      <c r="G412" s="10"/>
      <c r="H412" s="10"/>
      <c r="I412" s="10">
        <v>-272.88</v>
      </c>
      <c r="J412" s="10">
        <v>-273</v>
      </c>
      <c r="K412" s="11">
        <v>-242.49999999999997</v>
      </c>
    </row>
    <row r="413" spans="1:11" x14ac:dyDescent="0.3">
      <c r="A413" s="9">
        <v>46238</v>
      </c>
      <c r="B413" s="10"/>
      <c r="C413" s="121"/>
      <c r="D413" s="121"/>
      <c r="E413" s="10"/>
      <c r="F413" s="10"/>
      <c r="G413" s="10"/>
      <c r="H413" s="10"/>
      <c r="I413" s="10">
        <v>-272.88</v>
      </c>
      <c r="J413" s="10">
        <v>-273</v>
      </c>
      <c r="K413" s="11">
        <v>-242.49999999999997</v>
      </c>
    </row>
    <row r="414" spans="1:11" x14ac:dyDescent="0.3">
      <c r="A414" s="9">
        <v>46238</v>
      </c>
      <c r="B414" s="10"/>
      <c r="C414" s="121"/>
      <c r="D414" s="121"/>
      <c r="E414" s="10"/>
      <c r="F414" s="10"/>
      <c r="G414" s="10"/>
      <c r="H414" s="10"/>
      <c r="I414" s="10">
        <v>-272.88</v>
      </c>
      <c r="J414" s="10">
        <v>-273</v>
      </c>
      <c r="K414" s="11">
        <v>-242.49999999999997</v>
      </c>
    </row>
    <row r="415" spans="1:11" x14ac:dyDescent="0.3">
      <c r="A415" s="546">
        <v>46239</v>
      </c>
      <c r="B415" s="547" t="s">
        <v>10</v>
      </c>
      <c r="C415" s="548" t="s">
        <v>97</v>
      </c>
      <c r="D415" s="548" t="s">
        <v>99</v>
      </c>
      <c r="E415" s="547">
        <v>2.4039999999999999</v>
      </c>
      <c r="F415" s="547">
        <v>21.899999999999984</v>
      </c>
      <c r="G415" s="547">
        <v>21.899999999999984</v>
      </c>
      <c r="H415" s="547">
        <v>0.87599999999999933</v>
      </c>
      <c r="I415" s="547">
        <v>0.24999999999999467</v>
      </c>
      <c r="J415" s="547">
        <v>-0.80000000000000071</v>
      </c>
      <c r="K415" s="549">
        <v>8.4999999999999964</v>
      </c>
    </row>
    <row r="416" spans="1:11" x14ac:dyDescent="0.3">
      <c r="A416" s="546">
        <v>46239</v>
      </c>
      <c r="B416" s="547" t="s">
        <v>12</v>
      </c>
      <c r="C416" s="548" t="s">
        <v>99</v>
      </c>
      <c r="D416" s="548" t="s">
        <v>103</v>
      </c>
      <c r="E416" s="547">
        <v>2.4470000000000001</v>
      </c>
      <c r="F416" s="547">
        <v>4.3000000000000149</v>
      </c>
      <c r="G416" s="547">
        <v>26.200000000000003</v>
      </c>
      <c r="H416" s="547">
        <v>1.048</v>
      </c>
      <c r="I416" s="547">
        <v>-0.99999999999997868</v>
      </c>
      <c r="J416" s="547">
        <v>-5.1000000000000156</v>
      </c>
      <c r="K416" s="549">
        <v>10.280000000000022</v>
      </c>
    </row>
    <row r="417" spans="1:11" x14ac:dyDescent="0.3">
      <c r="A417" s="546">
        <v>46239</v>
      </c>
      <c r="B417" s="547" t="s">
        <v>13</v>
      </c>
      <c r="C417" s="548" t="s">
        <v>103</v>
      </c>
      <c r="D417" s="548" t="s">
        <v>125</v>
      </c>
      <c r="E417" s="547">
        <v>2.5485000000000002</v>
      </c>
      <c r="F417" s="547">
        <v>10.150000000000015</v>
      </c>
      <c r="G417" s="547">
        <v>36.350000000000016</v>
      </c>
      <c r="H417" s="547">
        <v>1.4540000000000006</v>
      </c>
      <c r="I417" s="547">
        <v>-0.94999999999996199</v>
      </c>
      <c r="J417" s="547">
        <v>-8.3999999999999631</v>
      </c>
      <c r="K417" s="549">
        <v>15.75000000000002</v>
      </c>
    </row>
    <row r="418" spans="1:11" x14ac:dyDescent="0.3">
      <c r="A418" s="546">
        <v>46239</v>
      </c>
      <c r="B418" s="547" t="s">
        <v>14</v>
      </c>
      <c r="C418" s="548" t="s">
        <v>125</v>
      </c>
      <c r="D418" s="548" t="s">
        <v>147</v>
      </c>
      <c r="E418" s="547">
        <v>2.5851000000000002</v>
      </c>
      <c r="F418" s="547">
        <v>3.6599999999999966</v>
      </c>
      <c r="G418" s="547">
        <v>40.010000000000012</v>
      </c>
      <c r="H418" s="547">
        <v>1.6004000000000005</v>
      </c>
      <c r="I418" s="547">
        <v>-0.68999999999999062</v>
      </c>
      <c r="J418" s="547">
        <v>-10.040000000000004</v>
      </c>
      <c r="K418" s="549">
        <v>17.990000000000038</v>
      </c>
    </row>
    <row r="419" spans="1:11" x14ac:dyDescent="0.3">
      <c r="A419" s="546">
        <v>46239</v>
      </c>
      <c r="B419" s="547" t="s">
        <v>15</v>
      </c>
      <c r="C419" s="548" t="s">
        <v>147</v>
      </c>
      <c r="D419" s="548" t="s">
        <v>148</v>
      </c>
      <c r="E419" s="547">
        <v>2.637</v>
      </c>
      <c r="F419" s="547">
        <v>5.1899999999999835</v>
      </c>
      <c r="G419" s="547">
        <v>45.199999999999996</v>
      </c>
      <c r="H419" s="547">
        <v>1.8079999999999998</v>
      </c>
      <c r="I419" s="547">
        <v>-0.45000000000001705</v>
      </c>
      <c r="J419" s="547">
        <v>-11.370000000000013</v>
      </c>
      <c r="K419" s="549" t="s">
        <v>41</v>
      </c>
    </row>
    <row r="420" spans="1:11" x14ac:dyDescent="0.3">
      <c r="A420" s="546">
        <v>46239</v>
      </c>
      <c r="B420" s="547" t="s">
        <v>17</v>
      </c>
      <c r="C420" s="548" t="s">
        <v>148</v>
      </c>
      <c r="D420" s="548" t="s">
        <v>199</v>
      </c>
      <c r="E420" s="547">
        <v>2.6549999999999998</v>
      </c>
      <c r="F420" s="547">
        <v>1.7999999999999794</v>
      </c>
      <c r="G420" s="547">
        <v>46.999999999999972</v>
      </c>
      <c r="H420" s="547">
        <v>1.8799999999999988</v>
      </c>
      <c r="I420" s="547">
        <v>-0.30000000000001137</v>
      </c>
      <c r="J420" s="547">
        <v>-11.299999999999999</v>
      </c>
      <c r="K420" s="549" t="s">
        <v>41</v>
      </c>
    </row>
    <row r="421" spans="1:11" x14ac:dyDescent="0.3">
      <c r="A421" s="546">
        <v>46239</v>
      </c>
      <c r="B421" s="547" t="s">
        <v>18</v>
      </c>
      <c r="C421" s="548" t="s">
        <v>199</v>
      </c>
      <c r="D421" s="548" t="s">
        <v>145</v>
      </c>
      <c r="E421" s="547">
        <v>2.669</v>
      </c>
      <c r="F421" s="547">
        <v>1.4000000000000234</v>
      </c>
      <c r="G421" s="547">
        <v>48.4</v>
      </c>
      <c r="H421" s="547">
        <v>1.9359999999999999</v>
      </c>
      <c r="I421" s="547">
        <v>-0.19999999999997797</v>
      </c>
      <c r="J421" s="547">
        <v>-11.799999999999988</v>
      </c>
      <c r="K421" s="549" t="s">
        <v>41</v>
      </c>
    </row>
    <row r="422" spans="1:11" x14ac:dyDescent="0.3">
      <c r="A422" s="546">
        <v>46239</v>
      </c>
      <c r="B422" s="547" t="s">
        <v>28</v>
      </c>
      <c r="C422" s="548"/>
      <c r="D422" s="548"/>
      <c r="E422" s="547">
        <v>2.6718999999999999</v>
      </c>
      <c r="F422" s="547">
        <v>0.28999999999999027</v>
      </c>
      <c r="G422" s="547">
        <v>48.689999999999991</v>
      </c>
      <c r="H422" s="547">
        <v>1.9475999999999996</v>
      </c>
      <c r="I422" s="547">
        <v>-9.0000000000012292E-2</v>
      </c>
      <c r="J422" s="547">
        <v>-11.560000000000015</v>
      </c>
      <c r="K422" s="549">
        <v>22.79</v>
      </c>
    </row>
    <row r="423" spans="1:11" x14ac:dyDescent="0.3">
      <c r="A423" s="546">
        <v>46239</v>
      </c>
      <c r="B423" s="547"/>
      <c r="C423" s="548"/>
      <c r="D423" s="548"/>
      <c r="E423" s="547"/>
      <c r="F423" s="547"/>
      <c r="G423" s="547"/>
      <c r="H423" s="547"/>
      <c r="I423" s="547">
        <v>-267.28000000000003</v>
      </c>
      <c r="J423" s="547">
        <v>-278.75</v>
      </c>
      <c r="K423" s="549">
        <v>-244.4</v>
      </c>
    </row>
    <row r="424" spans="1:11" x14ac:dyDescent="0.3">
      <c r="A424" s="546">
        <v>46239</v>
      </c>
      <c r="B424" s="547"/>
      <c r="C424" s="548"/>
      <c r="D424" s="548"/>
      <c r="E424" s="547"/>
      <c r="F424" s="547"/>
      <c r="G424" s="547"/>
      <c r="H424" s="547"/>
      <c r="I424" s="547">
        <v>-267.28000000000003</v>
      </c>
      <c r="J424" s="547">
        <v>-278.75</v>
      </c>
      <c r="K424" s="549">
        <v>-244.4</v>
      </c>
    </row>
    <row r="425" spans="1:11" x14ac:dyDescent="0.3">
      <c r="A425" s="546">
        <v>46239</v>
      </c>
      <c r="B425" s="547"/>
      <c r="C425" s="548"/>
      <c r="D425" s="548"/>
      <c r="E425" s="547"/>
      <c r="F425" s="547"/>
      <c r="G425" s="547"/>
      <c r="H425" s="547"/>
      <c r="I425" s="547">
        <v>-267.28000000000003</v>
      </c>
      <c r="J425" s="547">
        <v>-278.75</v>
      </c>
      <c r="K425" s="549">
        <v>-244.4</v>
      </c>
    </row>
    <row r="426" spans="1:11" x14ac:dyDescent="0.3">
      <c r="A426" s="546">
        <v>46239</v>
      </c>
      <c r="B426" s="547"/>
      <c r="C426" s="548"/>
      <c r="D426" s="548"/>
      <c r="E426" s="547"/>
      <c r="F426" s="547"/>
      <c r="G426" s="547"/>
      <c r="H426" s="547"/>
      <c r="I426" s="547">
        <v>-267.28000000000003</v>
      </c>
      <c r="J426" s="547">
        <v>-278.75</v>
      </c>
      <c r="K426" s="549">
        <v>-244.4</v>
      </c>
    </row>
    <row r="427" spans="1:11" x14ac:dyDescent="0.3">
      <c r="A427" s="546">
        <v>46240</v>
      </c>
      <c r="B427" s="547" t="s">
        <v>10</v>
      </c>
      <c r="C427" s="548" t="s">
        <v>97</v>
      </c>
      <c r="D427" s="548" t="s">
        <v>99</v>
      </c>
      <c r="E427" s="547">
        <v>2.403</v>
      </c>
      <c r="F427" s="547">
        <v>21.799999999999997</v>
      </c>
      <c r="G427" s="547">
        <v>21.799999999999997</v>
      </c>
      <c r="H427" s="547">
        <v>0.87199999999999989</v>
      </c>
      <c r="I427" s="547">
        <v>-9.9999999999988987E-2</v>
      </c>
      <c r="J427" s="547">
        <v>-0.30999999999998806</v>
      </c>
      <c r="K427" s="549">
        <v>7.9000000000000181</v>
      </c>
    </row>
    <row r="428" spans="1:11" x14ac:dyDescent="0.3">
      <c r="A428" s="546">
        <v>46240</v>
      </c>
      <c r="B428" s="547" t="s">
        <v>12</v>
      </c>
      <c r="C428" s="548" t="s">
        <v>99</v>
      </c>
      <c r="D428" s="548" t="s">
        <v>103</v>
      </c>
      <c r="E428" s="547">
        <v>2.4430000000000001</v>
      </c>
      <c r="F428" s="547">
        <v>4.0000000000000036</v>
      </c>
      <c r="G428" s="547">
        <v>25.8</v>
      </c>
      <c r="H428" s="547">
        <v>1.032</v>
      </c>
      <c r="I428" s="547">
        <v>-0.40000000000000036</v>
      </c>
      <c r="J428" s="547">
        <v>-3.7999999999999812</v>
      </c>
      <c r="K428" s="549">
        <v>9.2000000000000082</v>
      </c>
    </row>
    <row r="429" spans="1:11" x14ac:dyDescent="0.3">
      <c r="A429" s="546">
        <v>46240</v>
      </c>
      <c r="B429" s="547" t="s">
        <v>13</v>
      </c>
      <c r="C429" s="548" t="s">
        <v>103</v>
      </c>
      <c r="D429" s="548" t="s">
        <v>125</v>
      </c>
      <c r="E429" s="547">
        <v>2.5489999999999999</v>
      </c>
      <c r="F429" s="547">
        <v>10.599999999999987</v>
      </c>
      <c r="G429" s="547">
        <v>36.399999999999991</v>
      </c>
      <c r="H429" s="547">
        <v>1.4559999999999997</v>
      </c>
      <c r="I429" s="547">
        <v>4.9999999999972289E-2</v>
      </c>
      <c r="J429" s="547">
        <v>-5.2999999999999936</v>
      </c>
      <c r="K429" s="549">
        <v>15.200000000000014</v>
      </c>
    </row>
    <row r="430" spans="1:11" x14ac:dyDescent="0.3">
      <c r="A430" s="546">
        <v>46240</v>
      </c>
      <c r="B430" s="547" t="s">
        <v>14</v>
      </c>
      <c r="C430" s="548" t="s">
        <v>125</v>
      </c>
      <c r="D430" s="548" t="s">
        <v>147</v>
      </c>
      <c r="E430" s="547">
        <v>2.5884999999999998</v>
      </c>
      <c r="F430" s="547">
        <v>3.9499999999999869</v>
      </c>
      <c r="G430" s="547">
        <v>40.349999999999973</v>
      </c>
      <c r="H430" s="547">
        <v>1.613999999999999</v>
      </c>
      <c r="I430" s="547">
        <v>0.33999999999996255</v>
      </c>
      <c r="J430" s="547">
        <v>-5.85</v>
      </c>
      <c r="K430" s="549">
        <v>17.899999999999984</v>
      </c>
    </row>
    <row r="431" spans="1:11" x14ac:dyDescent="0.3">
      <c r="A431" s="546">
        <v>46240</v>
      </c>
      <c r="B431" s="547" t="s">
        <v>15</v>
      </c>
      <c r="C431" s="548" t="s">
        <v>147</v>
      </c>
      <c r="D431" s="548" t="s">
        <v>148</v>
      </c>
      <c r="E431" s="547">
        <v>2.6482999999999999</v>
      </c>
      <c r="F431" s="547">
        <v>5.9800000000000075</v>
      </c>
      <c r="G431" s="547">
        <v>46.329999999999984</v>
      </c>
      <c r="H431" s="547">
        <v>1.8531999999999993</v>
      </c>
      <c r="I431" s="547">
        <v>1.1299999999999866</v>
      </c>
      <c r="J431" s="547">
        <v>-5.8699999999999974</v>
      </c>
      <c r="K431" s="549" t="s">
        <v>41</v>
      </c>
    </row>
    <row r="432" spans="1:11" x14ac:dyDescent="0.3">
      <c r="A432" s="546">
        <v>46240</v>
      </c>
      <c r="B432" s="547" t="s">
        <v>17</v>
      </c>
      <c r="C432" s="548" t="s">
        <v>148</v>
      </c>
      <c r="D432" s="548" t="s">
        <v>199</v>
      </c>
      <c r="E432" s="547">
        <v>2.6678999999999999</v>
      </c>
      <c r="F432" s="547">
        <v>1.9600000000000062</v>
      </c>
      <c r="G432" s="547">
        <v>48.289999999999992</v>
      </c>
      <c r="H432" s="547">
        <v>1.9315999999999998</v>
      </c>
      <c r="I432" s="547">
        <v>1.2900000000000134</v>
      </c>
      <c r="J432" s="547">
        <v>-6.1599999999999877</v>
      </c>
      <c r="K432" s="549" t="s">
        <v>41</v>
      </c>
    </row>
    <row r="433" spans="1:11" x14ac:dyDescent="0.3">
      <c r="A433" s="546">
        <v>46240</v>
      </c>
      <c r="B433" s="547" t="s">
        <v>18</v>
      </c>
      <c r="C433" s="548" t="s">
        <v>199</v>
      </c>
      <c r="D433" s="548" t="s">
        <v>145</v>
      </c>
      <c r="E433" s="547">
        <v>2.6909999999999998</v>
      </c>
      <c r="F433" s="547">
        <v>2.3099999999999898</v>
      </c>
      <c r="G433" s="547">
        <v>50.59999999999998</v>
      </c>
      <c r="H433" s="547">
        <v>2.0239999999999991</v>
      </c>
      <c r="I433" s="547">
        <v>2.1999999999999797</v>
      </c>
      <c r="J433" s="547">
        <v>-5.7800000000000296</v>
      </c>
      <c r="K433" s="549" t="s">
        <v>41</v>
      </c>
    </row>
    <row r="434" spans="1:11" x14ac:dyDescent="0.3">
      <c r="A434" s="546">
        <v>46240</v>
      </c>
      <c r="B434" s="547" t="s">
        <v>28</v>
      </c>
      <c r="C434" s="548"/>
      <c r="D434" s="548"/>
      <c r="E434" s="547">
        <v>2.6970000000000001</v>
      </c>
      <c r="F434" s="547">
        <v>0.60000000000002274</v>
      </c>
      <c r="G434" s="547">
        <v>51.2</v>
      </c>
      <c r="H434" s="547">
        <v>2.048</v>
      </c>
      <c r="I434" s="547">
        <v>2.5100000000000122</v>
      </c>
      <c r="J434" s="547">
        <v>-5.6899999999999729</v>
      </c>
      <c r="K434" s="549">
        <v>24.900000000000013</v>
      </c>
    </row>
    <row r="435" spans="1:11" x14ac:dyDescent="0.3">
      <c r="A435" s="546">
        <v>46240</v>
      </c>
      <c r="B435" s="547"/>
      <c r="C435" s="548"/>
      <c r="D435" s="548"/>
      <c r="E435" s="547"/>
      <c r="F435" s="547"/>
      <c r="G435" s="547"/>
      <c r="H435" s="547"/>
      <c r="I435" s="547">
        <v>-267.19</v>
      </c>
      <c r="J435" s="547">
        <v>-275.39</v>
      </c>
      <c r="K435" s="549">
        <v>-244.79999999999998</v>
      </c>
    </row>
    <row r="436" spans="1:11" x14ac:dyDescent="0.3">
      <c r="A436" s="546">
        <v>46240</v>
      </c>
      <c r="B436" s="547"/>
      <c r="C436" s="548"/>
      <c r="D436" s="548"/>
      <c r="E436" s="547"/>
      <c r="F436" s="547"/>
      <c r="G436" s="547"/>
      <c r="H436" s="547"/>
      <c r="I436" s="547">
        <v>-267.19</v>
      </c>
      <c r="J436" s="547">
        <v>-275.39</v>
      </c>
      <c r="K436" s="549">
        <v>-244.79999999999998</v>
      </c>
    </row>
    <row r="437" spans="1:11" x14ac:dyDescent="0.3">
      <c r="A437" s="546">
        <v>46240</v>
      </c>
      <c r="B437" s="547"/>
      <c r="C437" s="548"/>
      <c r="D437" s="548"/>
      <c r="E437" s="547"/>
      <c r="F437" s="547"/>
      <c r="G437" s="547"/>
      <c r="H437" s="547"/>
      <c r="I437" s="547">
        <v>-267.19</v>
      </c>
      <c r="J437" s="547">
        <v>-275.39</v>
      </c>
      <c r="K437" s="549">
        <v>-244.79999999999998</v>
      </c>
    </row>
    <row r="438" spans="1:11" x14ac:dyDescent="0.3">
      <c r="A438" s="546">
        <v>46240</v>
      </c>
      <c r="B438" s="547"/>
      <c r="C438" s="548"/>
      <c r="D438" s="548"/>
      <c r="E438" s="547"/>
      <c r="F438" s="547"/>
      <c r="G438" s="547"/>
      <c r="H438" s="547"/>
      <c r="I438" s="547">
        <v>-267.19</v>
      </c>
      <c r="J438" s="547">
        <v>-275.39</v>
      </c>
      <c r="K438" s="549">
        <v>-244.79999999999998</v>
      </c>
    </row>
    <row r="439" spans="1:11" x14ac:dyDescent="0.3">
      <c r="A439" s="9">
        <v>46241</v>
      </c>
      <c r="B439" s="10" t="s">
        <v>10</v>
      </c>
      <c r="C439" s="121" t="s">
        <v>97</v>
      </c>
      <c r="D439" s="121" t="s">
        <v>99</v>
      </c>
      <c r="E439" s="10">
        <v>2.4024999999999999</v>
      </c>
      <c r="F439" s="10">
        <v>21.749999999999979</v>
      </c>
      <c r="G439" s="10">
        <v>21.749999999999979</v>
      </c>
      <c r="H439" s="10">
        <v>0.86999999999999911</v>
      </c>
      <c r="I439" s="10">
        <v>-5.0000000000016698E-2</v>
      </c>
      <c r="J439" s="10">
        <v>-0.87000000000001521</v>
      </c>
      <c r="K439" s="11">
        <v>5.1099999999999923</v>
      </c>
    </row>
    <row r="440" spans="1:11" x14ac:dyDescent="0.3">
      <c r="A440" s="9">
        <v>46241</v>
      </c>
      <c r="B440" s="10" t="s">
        <v>12</v>
      </c>
      <c r="C440" s="121" t="s">
        <v>99</v>
      </c>
      <c r="D440" s="121" t="s">
        <v>103</v>
      </c>
      <c r="E440" s="10">
        <v>2.4420000000000002</v>
      </c>
      <c r="F440" s="10">
        <v>3.9500000000000313</v>
      </c>
      <c r="G440" s="10">
        <v>25.70000000000001</v>
      </c>
      <c r="H440" s="10">
        <v>1.0280000000000005</v>
      </c>
      <c r="I440" s="10">
        <v>-9.9999999999988987E-2</v>
      </c>
      <c r="J440" s="10">
        <v>-4.5499999999999652</v>
      </c>
      <c r="K440" s="11">
        <v>5.6300000000000239</v>
      </c>
    </row>
    <row r="441" spans="1:11" x14ac:dyDescent="0.3">
      <c r="A441" s="9">
        <v>46241</v>
      </c>
      <c r="B441" s="10" t="s">
        <v>13</v>
      </c>
      <c r="C441" s="121" t="s">
        <v>103</v>
      </c>
      <c r="D441" s="121" t="s">
        <v>125</v>
      </c>
      <c r="E441" s="10">
        <v>2.5442</v>
      </c>
      <c r="F441" s="10">
        <v>10.219999999999985</v>
      </c>
      <c r="G441" s="10">
        <v>35.919999999999995</v>
      </c>
      <c r="H441" s="10">
        <v>1.4367999999999999</v>
      </c>
      <c r="I441" s="10">
        <v>-0.47999999999999154</v>
      </c>
      <c r="J441" s="10">
        <v>-7.6799999999999979</v>
      </c>
      <c r="K441" s="11">
        <v>10.30000000000002</v>
      </c>
    </row>
    <row r="442" spans="1:11" x14ac:dyDescent="0.3">
      <c r="A442" s="9">
        <v>46241</v>
      </c>
      <c r="B442" s="10" t="s">
        <v>14</v>
      </c>
      <c r="C442" s="121" t="s">
        <v>125</v>
      </c>
      <c r="D442" s="121" t="s">
        <v>147</v>
      </c>
      <c r="E442" s="10">
        <v>2.5819999999999999</v>
      </c>
      <c r="F442" s="10">
        <v>3.7799999999999834</v>
      </c>
      <c r="G442" s="10">
        <v>39.699999999999982</v>
      </c>
      <c r="H442" s="10">
        <v>1.5879999999999992</v>
      </c>
      <c r="I442" s="10">
        <v>-0.64999999999999503</v>
      </c>
      <c r="J442" s="10">
        <v>-9.1000000000000192</v>
      </c>
      <c r="K442" s="11">
        <v>12.399999999999967</v>
      </c>
    </row>
    <row r="443" spans="1:11" x14ac:dyDescent="0.3">
      <c r="A443" s="9">
        <v>46241</v>
      </c>
      <c r="B443" s="10" t="s">
        <v>15</v>
      </c>
      <c r="C443" s="121" t="s">
        <v>147</v>
      </c>
      <c r="D443" s="121" t="s">
        <v>148</v>
      </c>
      <c r="E443" s="10">
        <v>2.6372</v>
      </c>
      <c r="F443" s="10">
        <v>5.5200000000000138</v>
      </c>
      <c r="G443" s="10">
        <v>45.219999999999992</v>
      </c>
      <c r="H443" s="10">
        <v>1.8087999999999997</v>
      </c>
      <c r="I443" s="10">
        <v>-1.1099999999999888</v>
      </c>
      <c r="J443" s="10">
        <v>-10.280000000000022</v>
      </c>
      <c r="K443" s="11" t="s">
        <v>41</v>
      </c>
    </row>
    <row r="444" spans="1:11" x14ac:dyDescent="0.3">
      <c r="A444" s="9">
        <v>46241</v>
      </c>
      <c r="B444" s="10" t="s">
        <v>17</v>
      </c>
      <c r="C444" s="121" t="s">
        <v>148</v>
      </c>
      <c r="D444" s="121" t="s">
        <v>199</v>
      </c>
      <c r="E444" s="10">
        <v>2.6579999999999999</v>
      </c>
      <c r="F444" s="10">
        <v>2.079999999999993</v>
      </c>
      <c r="G444" s="10">
        <v>47.299999999999983</v>
      </c>
      <c r="H444" s="10">
        <v>1.8919999999999992</v>
      </c>
      <c r="I444" s="10">
        <v>-0.99000000000000199</v>
      </c>
      <c r="J444" s="10">
        <v>-10.930000000000017</v>
      </c>
      <c r="K444" s="11" t="s">
        <v>41</v>
      </c>
    </row>
    <row r="445" spans="1:11" x14ac:dyDescent="0.3">
      <c r="A445" s="9">
        <v>46241</v>
      </c>
      <c r="B445" s="10" t="s">
        <v>18</v>
      </c>
      <c r="C445" s="121" t="s">
        <v>199</v>
      </c>
      <c r="D445" s="121" t="s">
        <v>145</v>
      </c>
      <c r="E445" s="10">
        <v>2.6840000000000002</v>
      </c>
      <c r="F445" s="10">
        <v>2.6000000000000245</v>
      </c>
      <c r="G445" s="10">
        <v>49.900000000000013</v>
      </c>
      <c r="H445" s="10">
        <v>1.9960000000000004</v>
      </c>
      <c r="I445" s="10">
        <v>-0.69999999999996732</v>
      </c>
      <c r="J445" s="10">
        <v>-10.699999999999976</v>
      </c>
      <c r="K445" s="11" t="s">
        <v>41</v>
      </c>
    </row>
    <row r="446" spans="1:11" x14ac:dyDescent="0.3">
      <c r="A446" s="9">
        <v>46241</v>
      </c>
      <c r="B446" s="10" t="s">
        <v>28</v>
      </c>
      <c r="C446" s="121"/>
      <c r="D446" s="121"/>
      <c r="E446" s="10">
        <v>2.6890000000000001</v>
      </c>
      <c r="F446" s="10">
        <v>0.49999999999998934</v>
      </c>
      <c r="G446" s="10">
        <v>50.4</v>
      </c>
      <c r="H446" s="10">
        <v>2.016</v>
      </c>
      <c r="I446" s="10">
        <v>-0.80000000000000071</v>
      </c>
      <c r="J446" s="10">
        <v>-10.959999999999992</v>
      </c>
      <c r="K446" s="11">
        <v>18.409999999999993</v>
      </c>
    </row>
    <row r="447" spans="1:11" x14ac:dyDescent="0.3">
      <c r="A447" s="9">
        <v>46241</v>
      </c>
      <c r="B447" s="10"/>
      <c r="C447" s="121"/>
      <c r="D447" s="121"/>
      <c r="E447" s="10"/>
      <c r="F447" s="10"/>
      <c r="G447" s="10"/>
      <c r="H447" s="10"/>
      <c r="I447" s="10">
        <v>-269.7</v>
      </c>
      <c r="J447" s="10">
        <v>-279.86</v>
      </c>
      <c r="K447" s="11">
        <v>-250.49</v>
      </c>
    </row>
    <row r="448" spans="1:11" x14ac:dyDescent="0.3">
      <c r="A448" s="9">
        <v>46241</v>
      </c>
      <c r="B448" s="10"/>
      <c r="C448" s="121"/>
      <c r="D448" s="121"/>
      <c r="E448" s="10"/>
      <c r="F448" s="10"/>
      <c r="G448" s="10"/>
      <c r="H448" s="10"/>
      <c r="I448" s="10">
        <v>-269.7</v>
      </c>
      <c r="J448" s="10">
        <v>-279.86</v>
      </c>
      <c r="K448" s="11">
        <v>-250.49</v>
      </c>
    </row>
    <row r="449" spans="1:11" x14ac:dyDescent="0.3">
      <c r="A449" s="9">
        <v>46241</v>
      </c>
      <c r="B449" s="10"/>
      <c r="C449" s="121"/>
      <c r="D449" s="121"/>
      <c r="E449" s="10"/>
      <c r="F449" s="10"/>
      <c r="G449" s="10"/>
      <c r="H449" s="10"/>
      <c r="I449" s="10">
        <v>-269.7</v>
      </c>
      <c r="J449" s="10">
        <v>-279.86</v>
      </c>
      <c r="K449" s="11">
        <v>-250.49</v>
      </c>
    </row>
    <row r="450" spans="1:11" x14ac:dyDescent="0.3">
      <c r="A450" s="9">
        <v>46241</v>
      </c>
      <c r="B450" s="10"/>
      <c r="C450" s="121"/>
      <c r="D450" s="121"/>
      <c r="E450" s="10"/>
      <c r="F450" s="10"/>
      <c r="G450" s="10"/>
      <c r="H450" s="10"/>
      <c r="I450" s="10">
        <v>-269.7</v>
      </c>
      <c r="J450" s="10">
        <v>-279.86</v>
      </c>
      <c r="K450" s="11">
        <v>-250.49</v>
      </c>
    </row>
    <row r="451" spans="1:11" x14ac:dyDescent="0.3">
      <c r="A451" s="9">
        <v>46244</v>
      </c>
      <c r="B451" s="10" t="s">
        <v>10</v>
      </c>
      <c r="C451" s="121" t="s">
        <v>97</v>
      </c>
      <c r="D451" s="121" t="s">
        <v>99</v>
      </c>
      <c r="E451" s="10">
        <v>2.4119999999999999</v>
      </c>
      <c r="F451" s="10">
        <v>22.699999999999989</v>
      </c>
      <c r="G451" s="10">
        <v>22.699999999999989</v>
      </c>
      <c r="H451" s="10">
        <v>0.90799999999999959</v>
      </c>
      <c r="I451" s="10">
        <v>0.95000000000000639</v>
      </c>
      <c r="J451" s="10">
        <v>0.40000000000000036</v>
      </c>
      <c r="K451" s="11">
        <v>0.76999999999998181</v>
      </c>
    </row>
    <row r="452" spans="1:11" x14ac:dyDescent="0.3">
      <c r="A452" s="9">
        <v>46244</v>
      </c>
      <c r="B452" s="10" t="s">
        <v>12</v>
      </c>
      <c r="C452" s="121" t="s">
        <v>99</v>
      </c>
      <c r="D452" s="121" t="s">
        <v>103</v>
      </c>
      <c r="E452" s="10">
        <v>2.4621</v>
      </c>
      <c r="F452" s="10">
        <v>5.0100000000000033</v>
      </c>
      <c r="G452" s="10">
        <v>27.70999999999999</v>
      </c>
      <c r="H452" s="10">
        <v>1.1083999999999996</v>
      </c>
      <c r="I452" s="10">
        <v>2.0099999999999785</v>
      </c>
      <c r="J452" s="10">
        <v>-1.2900000000000134</v>
      </c>
      <c r="K452" s="11">
        <v>0.99999999999997868</v>
      </c>
    </row>
    <row r="453" spans="1:11" x14ac:dyDescent="0.3">
      <c r="A453" s="9">
        <v>46244</v>
      </c>
      <c r="B453" s="10" t="s">
        <v>13</v>
      </c>
      <c r="C453" s="121" t="s">
        <v>103</v>
      </c>
      <c r="D453" s="121" t="s">
        <v>125</v>
      </c>
      <c r="E453" s="10">
        <v>2.5728</v>
      </c>
      <c r="F453" s="10">
        <v>11.070000000000002</v>
      </c>
      <c r="G453" s="10">
        <v>38.779999999999994</v>
      </c>
      <c r="H453" s="10">
        <v>1.5511999999999997</v>
      </c>
      <c r="I453" s="10">
        <v>2.8599999999999959</v>
      </c>
      <c r="J453" s="10">
        <v>-1.9200000000000106</v>
      </c>
      <c r="K453" s="11">
        <v>5.6799999999999962</v>
      </c>
    </row>
    <row r="454" spans="1:11" x14ac:dyDescent="0.3">
      <c r="A454" s="9">
        <v>46244</v>
      </c>
      <c r="B454" s="10" t="s">
        <v>14</v>
      </c>
      <c r="C454" s="121" t="s">
        <v>125</v>
      </c>
      <c r="D454" s="121" t="s">
        <v>147</v>
      </c>
      <c r="E454" s="10">
        <v>2.6160000000000001</v>
      </c>
      <c r="F454" s="10">
        <v>4.3200000000000127</v>
      </c>
      <c r="G454" s="10">
        <v>43.100000000000009</v>
      </c>
      <c r="H454" s="10">
        <v>1.7240000000000004</v>
      </c>
      <c r="I454" s="10">
        <v>3.4000000000000252</v>
      </c>
      <c r="J454" s="10">
        <v>-1.8299999999999983</v>
      </c>
      <c r="K454" s="11">
        <v>7.7500000000000124</v>
      </c>
    </row>
    <row r="455" spans="1:11" x14ac:dyDescent="0.3">
      <c r="A455" s="9">
        <v>46244</v>
      </c>
      <c r="B455" s="10" t="s">
        <v>15</v>
      </c>
      <c r="C455" s="121" t="s">
        <v>147</v>
      </c>
      <c r="D455" s="121" t="s">
        <v>148</v>
      </c>
      <c r="E455" s="10">
        <v>2.6787000000000001</v>
      </c>
      <c r="F455" s="10">
        <v>6.2699999999999978</v>
      </c>
      <c r="G455" s="10">
        <v>49.370000000000005</v>
      </c>
      <c r="H455" s="10">
        <v>1.9748000000000001</v>
      </c>
      <c r="I455" s="10">
        <v>4.1500000000000092</v>
      </c>
      <c r="J455" s="10">
        <v>-1.1699999999999822</v>
      </c>
      <c r="K455" s="11" t="s">
        <v>41</v>
      </c>
    </row>
    <row r="456" spans="1:11" x14ac:dyDescent="0.3">
      <c r="A456" s="9">
        <v>46244</v>
      </c>
      <c r="B456" s="10" t="s">
        <v>17</v>
      </c>
      <c r="C456" s="121" t="s">
        <v>148</v>
      </c>
      <c r="D456" s="121" t="s">
        <v>199</v>
      </c>
      <c r="E456" s="10">
        <v>2.7029999999999998</v>
      </c>
      <c r="F456" s="10">
        <v>2.4299999999999766</v>
      </c>
      <c r="G456" s="10">
        <v>51.799999999999983</v>
      </c>
      <c r="H456" s="10">
        <v>2.0719999999999992</v>
      </c>
      <c r="I456" s="10">
        <v>4.4999999999999929</v>
      </c>
      <c r="J456" s="10">
        <v>-0.81000000000002181</v>
      </c>
      <c r="K456" s="11" t="s">
        <v>41</v>
      </c>
    </row>
    <row r="457" spans="1:11" x14ac:dyDescent="0.3">
      <c r="A457" s="9">
        <v>46244</v>
      </c>
      <c r="B457" s="10" t="s">
        <v>18</v>
      </c>
      <c r="C457" s="121" t="s">
        <v>199</v>
      </c>
      <c r="D457" s="121" t="s">
        <v>145</v>
      </c>
      <c r="E457" s="10">
        <v>2.7330000000000001</v>
      </c>
      <c r="F457" s="10">
        <v>3.0000000000000249</v>
      </c>
      <c r="G457" s="10">
        <v>54.800000000000004</v>
      </c>
      <c r="H457" s="10">
        <v>2.1920000000000002</v>
      </c>
      <c r="I457" s="10">
        <v>4.8999999999999932</v>
      </c>
      <c r="J457" s="10">
        <v>0.62999999999999723</v>
      </c>
      <c r="K457" s="11" t="s">
        <v>41</v>
      </c>
    </row>
    <row r="458" spans="1:11" x14ac:dyDescent="0.3">
      <c r="A458" s="9">
        <v>46244</v>
      </c>
      <c r="B458" s="10" t="s">
        <v>28</v>
      </c>
      <c r="C458" s="121"/>
      <c r="D458" s="121"/>
      <c r="E458" s="10">
        <v>2.7429999999999999</v>
      </c>
      <c r="F458" s="10">
        <v>0.99999999999997868</v>
      </c>
      <c r="G458" s="10">
        <v>55.799999999999983</v>
      </c>
      <c r="H458" s="10">
        <v>2.2319999999999993</v>
      </c>
      <c r="I458" s="10">
        <v>5.3999999999999826</v>
      </c>
      <c r="J458" s="10">
        <v>1.4199999999999768</v>
      </c>
      <c r="K458" s="11">
        <v>15.49999999999998</v>
      </c>
    </row>
    <row r="459" spans="1:11" x14ac:dyDescent="0.3">
      <c r="A459" s="9">
        <v>46244</v>
      </c>
      <c r="B459" s="10"/>
      <c r="C459" s="121"/>
      <c r="D459" s="121"/>
      <c r="E459" s="10"/>
      <c r="F459" s="10"/>
      <c r="G459" s="10"/>
      <c r="H459" s="10"/>
      <c r="I459" s="10">
        <v>-268.89999999999998</v>
      </c>
      <c r="J459" s="10">
        <v>-272.88</v>
      </c>
      <c r="K459" s="11">
        <v>-258.8</v>
      </c>
    </row>
    <row r="460" spans="1:11" x14ac:dyDescent="0.3">
      <c r="A460" s="9">
        <v>46244</v>
      </c>
      <c r="B460" s="10"/>
      <c r="C460" s="121"/>
      <c r="D460" s="121"/>
      <c r="E460" s="10"/>
      <c r="F460" s="10"/>
      <c r="G460" s="10"/>
      <c r="H460" s="10"/>
      <c r="I460" s="10">
        <v>-268.89999999999998</v>
      </c>
      <c r="J460" s="10">
        <v>-272.88</v>
      </c>
      <c r="K460" s="11">
        <v>-258.8</v>
      </c>
    </row>
    <row r="461" spans="1:11" x14ac:dyDescent="0.3">
      <c r="A461" s="9">
        <v>46244</v>
      </c>
      <c r="B461" s="10"/>
      <c r="C461" s="121"/>
      <c r="D461" s="121"/>
      <c r="E461" s="10"/>
      <c r="F461" s="10"/>
      <c r="G461" s="10"/>
      <c r="H461" s="10"/>
      <c r="I461" s="10">
        <v>-268.89999999999998</v>
      </c>
      <c r="J461" s="10">
        <v>-272.88</v>
      </c>
      <c r="K461" s="11">
        <v>-258.8</v>
      </c>
    </row>
    <row r="462" spans="1:11" x14ac:dyDescent="0.3">
      <c r="A462" s="9">
        <v>46244</v>
      </c>
      <c r="B462" s="10"/>
      <c r="C462" s="121"/>
      <c r="D462" s="121"/>
      <c r="E462" s="10"/>
      <c r="F462" s="10"/>
      <c r="G462" s="10"/>
      <c r="H462" s="10"/>
      <c r="I462" s="10">
        <v>-268.89999999999998</v>
      </c>
      <c r="J462" s="10">
        <v>-272.88</v>
      </c>
      <c r="K462" s="11">
        <v>-258.8</v>
      </c>
    </row>
    <row r="463" spans="1:11" x14ac:dyDescent="0.3">
      <c r="A463" s="9">
        <v>46245</v>
      </c>
      <c r="B463" s="10" t="s">
        <v>10</v>
      </c>
      <c r="C463" s="121" t="s">
        <v>97</v>
      </c>
      <c r="D463" s="121" t="s">
        <v>99</v>
      </c>
      <c r="E463" s="10">
        <v>2.4125000000000001</v>
      </c>
      <c r="F463" s="10">
        <v>22.849999999999994</v>
      </c>
      <c r="G463" s="10">
        <v>22.849999999999994</v>
      </c>
      <c r="H463" s="10">
        <v>0.91399999999999981</v>
      </c>
      <c r="I463" s="10">
        <v>5.0000000000016698E-2</v>
      </c>
      <c r="J463" s="10">
        <v>1.1000000000000121</v>
      </c>
      <c r="K463" s="11">
        <v>-0.20999999999999908</v>
      </c>
    </row>
    <row r="464" spans="1:11" x14ac:dyDescent="0.3">
      <c r="A464" s="9">
        <v>46245</v>
      </c>
      <c r="B464" s="10" t="s">
        <v>12</v>
      </c>
      <c r="C464" s="121" t="s">
        <v>99</v>
      </c>
      <c r="D464" s="121" t="s">
        <v>103</v>
      </c>
      <c r="E464" s="10">
        <v>2.4609999999999999</v>
      </c>
      <c r="F464" s="10">
        <v>4.8499999999999766</v>
      </c>
      <c r="G464" s="10">
        <v>27.699999999999967</v>
      </c>
      <c r="H464" s="10">
        <v>1.1079999999999988</v>
      </c>
      <c r="I464" s="10">
        <v>-0.11000000000001009</v>
      </c>
      <c r="J464" s="10">
        <v>0.40000000000000036</v>
      </c>
      <c r="K464" s="11">
        <v>-1.4000000000000234</v>
      </c>
    </row>
    <row r="465" spans="1:11" x14ac:dyDescent="0.3">
      <c r="A465" s="9">
        <v>46245</v>
      </c>
      <c r="B465" s="10" t="s">
        <v>13</v>
      </c>
      <c r="C465" s="121" t="s">
        <v>103</v>
      </c>
      <c r="D465" s="121" t="s">
        <v>125</v>
      </c>
      <c r="E465" s="10">
        <v>2.5710000000000002</v>
      </c>
      <c r="F465" s="10">
        <v>11.000000000000032</v>
      </c>
      <c r="G465" s="10">
        <v>38.700000000000003</v>
      </c>
      <c r="H465" s="10">
        <v>1.548</v>
      </c>
      <c r="I465" s="10">
        <v>-0.17999999999998018</v>
      </c>
      <c r="J465" s="10">
        <v>1.3000000000000345</v>
      </c>
      <c r="K465" s="11">
        <v>0.70000000000001172</v>
      </c>
    </row>
    <row r="466" spans="1:11" x14ac:dyDescent="0.3">
      <c r="A466" s="9">
        <v>46245</v>
      </c>
      <c r="B466" s="10" t="s">
        <v>14</v>
      </c>
      <c r="C466" s="121" t="s">
        <v>125</v>
      </c>
      <c r="D466" s="121" t="s">
        <v>147</v>
      </c>
      <c r="E466" s="10">
        <v>2.6133999999999999</v>
      </c>
      <c r="F466" s="10">
        <v>4.2399999999999771</v>
      </c>
      <c r="G466" s="10">
        <v>42.939999999999976</v>
      </c>
      <c r="H466" s="10">
        <v>1.7175999999999991</v>
      </c>
      <c r="I466" s="10">
        <v>-0.26000000000001577</v>
      </c>
      <c r="J466" s="10">
        <v>2.1399999999999864</v>
      </c>
      <c r="K466" s="11">
        <v>1.5099999999999891</v>
      </c>
    </row>
    <row r="467" spans="1:11" x14ac:dyDescent="0.3">
      <c r="A467" s="9">
        <v>46245</v>
      </c>
      <c r="B467" s="10" t="s">
        <v>15</v>
      </c>
      <c r="C467" s="121" t="s">
        <v>147</v>
      </c>
      <c r="D467" s="121" t="s">
        <v>148</v>
      </c>
      <c r="E467" s="10">
        <v>2.6739999999999999</v>
      </c>
      <c r="F467" s="10">
        <v>6.0599999999999987</v>
      </c>
      <c r="G467" s="10">
        <v>48.999999999999979</v>
      </c>
      <c r="H467" s="10">
        <v>1.9599999999999991</v>
      </c>
      <c r="I467" s="10">
        <v>-0.47000000000001485</v>
      </c>
      <c r="J467" s="10">
        <v>3.2499999999999751</v>
      </c>
      <c r="K467" s="11" t="s">
        <v>41</v>
      </c>
    </row>
    <row r="468" spans="1:11" x14ac:dyDescent="0.3">
      <c r="A468" s="9">
        <v>46245</v>
      </c>
      <c r="B468" s="10" t="s">
        <v>17</v>
      </c>
      <c r="C468" s="121" t="s">
        <v>148</v>
      </c>
      <c r="D468" s="121" t="s">
        <v>199</v>
      </c>
      <c r="E468" s="10">
        <v>2.6960000000000002</v>
      </c>
      <c r="F468" s="10">
        <v>2.2000000000000242</v>
      </c>
      <c r="G468" s="10">
        <v>51.2</v>
      </c>
      <c r="H468" s="10">
        <v>2.048</v>
      </c>
      <c r="I468" s="10">
        <v>-0.69999999999996732</v>
      </c>
      <c r="J468" s="10">
        <v>3.8000000000000256</v>
      </c>
      <c r="K468" s="11" t="s">
        <v>41</v>
      </c>
    </row>
    <row r="469" spans="1:11" x14ac:dyDescent="0.3">
      <c r="A469" s="9">
        <v>46245</v>
      </c>
      <c r="B469" s="10" t="s">
        <v>18</v>
      </c>
      <c r="C469" s="121" t="s">
        <v>199</v>
      </c>
      <c r="D469" s="121" t="s">
        <v>145</v>
      </c>
      <c r="E469" s="10">
        <v>2.7210000000000001</v>
      </c>
      <c r="F469" s="10">
        <v>2.4999999999999911</v>
      </c>
      <c r="G469" s="10">
        <v>53.699999999999989</v>
      </c>
      <c r="H469" s="10">
        <v>2.1479999999999997</v>
      </c>
      <c r="I469" s="10">
        <v>-1.2000000000000011</v>
      </c>
      <c r="J469" s="10">
        <v>5.0000000000000266</v>
      </c>
      <c r="K469" s="11" t="s">
        <v>41</v>
      </c>
    </row>
    <row r="470" spans="1:11" x14ac:dyDescent="0.3">
      <c r="A470" s="9">
        <v>46245</v>
      </c>
      <c r="B470" s="10" t="s">
        <v>28</v>
      </c>
      <c r="C470" s="121"/>
      <c r="D470" s="121"/>
      <c r="E470" s="10">
        <v>2.7290999999999999</v>
      </c>
      <c r="F470" s="10">
        <v>0.8099999999999774</v>
      </c>
      <c r="G470" s="10">
        <v>54.50999999999997</v>
      </c>
      <c r="H470" s="10">
        <v>2.1803999999999988</v>
      </c>
      <c r="I470" s="10">
        <v>-1.3900000000000023</v>
      </c>
      <c r="J470" s="10">
        <v>5.6299999999999795</v>
      </c>
      <c r="K470" s="11">
        <v>7.1099999999999941</v>
      </c>
    </row>
    <row r="471" spans="1:11" x14ac:dyDescent="0.3">
      <c r="A471" s="9">
        <v>46245</v>
      </c>
      <c r="B471" s="10"/>
      <c r="C471" s="121"/>
      <c r="D471" s="121"/>
      <c r="E471" s="10"/>
      <c r="F471" s="10"/>
      <c r="G471" s="10"/>
      <c r="H471" s="10"/>
      <c r="I471" s="10">
        <v>-274.3</v>
      </c>
      <c r="J471" s="10">
        <v>-267.28000000000003</v>
      </c>
      <c r="K471" s="11">
        <v>-265.8</v>
      </c>
    </row>
    <row r="472" spans="1:11" x14ac:dyDescent="0.3">
      <c r="A472" s="9">
        <v>46245</v>
      </c>
      <c r="B472" s="10"/>
      <c r="C472" s="121"/>
      <c r="D472" s="121"/>
      <c r="E472" s="10"/>
      <c r="F472" s="10"/>
      <c r="G472" s="10"/>
      <c r="H472" s="10"/>
      <c r="I472" s="10">
        <v>-274.3</v>
      </c>
      <c r="J472" s="10">
        <v>-267.28000000000003</v>
      </c>
      <c r="K472" s="11">
        <v>-265.8</v>
      </c>
    </row>
    <row r="473" spans="1:11" x14ac:dyDescent="0.3">
      <c r="A473" s="9">
        <v>46245</v>
      </c>
      <c r="B473" s="10"/>
      <c r="C473" s="121"/>
      <c r="D473" s="121"/>
      <c r="E473" s="10"/>
      <c r="F473" s="10"/>
      <c r="G473" s="10"/>
      <c r="H473" s="10"/>
      <c r="I473" s="10">
        <v>-274.3</v>
      </c>
      <c r="J473" s="10">
        <v>-267.28000000000003</v>
      </c>
      <c r="K473" s="11">
        <v>-265.8</v>
      </c>
    </row>
    <row r="474" spans="1:11" x14ac:dyDescent="0.3">
      <c r="A474" s="9">
        <v>46245</v>
      </c>
      <c r="B474" s="10"/>
      <c r="C474" s="121"/>
      <c r="D474" s="121"/>
      <c r="E474" s="10"/>
      <c r="F474" s="10"/>
      <c r="G474" s="10"/>
      <c r="H474" s="10"/>
      <c r="I474" s="10">
        <v>-274.3</v>
      </c>
      <c r="J474" s="10">
        <v>-267.28000000000003</v>
      </c>
      <c r="K474" s="11">
        <v>-265.8</v>
      </c>
    </row>
    <row r="475" spans="1:11" x14ac:dyDescent="0.3">
      <c r="A475" s="9">
        <v>46246</v>
      </c>
      <c r="B475" s="10" t="s">
        <v>10</v>
      </c>
      <c r="C475" s="121" t="s">
        <v>97</v>
      </c>
      <c r="D475" s="121" t="s">
        <v>99</v>
      </c>
      <c r="E475" s="10">
        <v>2.415</v>
      </c>
      <c r="F475" s="10">
        <v>23.099999999999987</v>
      </c>
      <c r="G475" s="10">
        <v>23.099999999999987</v>
      </c>
      <c r="H475" s="10">
        <v>0.92399999999999949</v>
      </c>
      <c r="I475" s="10">
        <v>0.24999999999999467</v>
      </c>
      <c r="J475" s="10">
        <v>1.1000000000000121</v>
      </c>
      <c r="K475" s="11">
        <v>1.0699999999999932</v>
      </c>
    </row>
    <row r="476" spans="1:11" x14ac:dyDescent="0.3">
      <c r="A476" s="9">
        <v>46246</v>
      </c>
      <c r="B476" s="10" t="s">
        <v>12</v>
      </c>
      <c r="C476" s="121" t="s">
        <v>99</v>
      </c>
      <c r="D476" s="121" t="s">
        <v>103</v>
      </c>
      <c r="E476" s="10">
        <v>2.4657</v>
      </c>
      <c r="F476" s="10">
        <v>5.0699999999999967</v>
      </c>
      <c r="G476" s="10">
        <v>28.169999999999984</v>
      </c>
      <c r="H476" s="10">
        <v>1.1267999999999994</v>
      </c>
      <c r="I476" s="10">
        <v>0.47000000000001485</v>
      </c>
      <c r="J476" s="10">
        <v>1.8699999999999939</v>
      </c>
      <c r="K476" s="11">
        <v>1.3599999999999834</v>
      </c>
    </row>
    <row r="477" spans="1:11" x14ac:dyDescent="0.3">
      <c r="A477" s="9">
        <v>46246</v>
      </c>
      <c r="B477" s="10" t="s">
        <v>13</v>
      </c>
      <c r="C477" s="121" t="s">
        <v>103</v>
      </c>
      <c r="D477" s="121" t="s">
        <v>125</v>
      </c>
      <c r="E477" s="10">
        <v>2.577</v>
      </c>
      <c r="F477" s="10">
        <v>11.129999999999995</v>
      </c>
      <c r="G477" s="10">
        <v>39.299999999999983</v>
      </c>
      <c r="H477" s="10">
        <v>1.5719999999999994</v>
      </c>
      <c r="I477" s="10">
        <v>0.59999999999997833</v>
      </c>
      <c r="J477" s="10">
        <v>2.8499999999999748</v>
      </c>
      <c r="K477" s="11">
        <v>6.0999999999999943</v>
      </c>
    </row>
    <row r="478" spans="1:11" x14ac:dyDescent="0.3">
      <c r="A478" s="9">
        <v>46246</v>
      </c>
      <c r="B478" s="10" t="s">
        <v>14</v>
      </c>
      <c r="C478" s="121" t="s">
        <v>125</v>
      </c>
      <c r="D478" s="121" t="s">
        <v>147</v>
      </c>
      <c r="E478" s="10">
        <v>2.6190000000000002</v>
      </c>
      <c r="F478" s="10">
        <v>4.2000000000000259</v>
      </c>
      <c r="G478" s="10">
        <v>43.500000000000007</v>
      </c>
      <c r="H478" s="10">
        <v>1.7400000000000002</v>
      </c>
      <c r="I478" s="10">
        <v>0.56000000000002714</v>
      </c>
      <c r="J478" s="10">
        <v>3.3900000000000041</v>
      </c>
      <c r="K478" s="11">
        <v>8.0500000000000238</v>
      </c>
    </row>
    <row r="479" spans="1:11" x14ac:dyDescent="0.3">
      <c r="A479" s="9">
        <v>46246</v>
      </c>
      <c r="B479" s="10" t="s">
        <v>15</v>
      </c>
      <c r="C479" s="121" t="s">
        <v>147</v>
      </c>
      <c r="D479" s="121" t="s">
        <v>148</v>
      </c>
      <c r="E479" s="10">
        <v>2.6804000000000001</v>
      </c>
      <c r="F479" s="10">
        <v>6.1399999999999899</v>
      </c>
      <c r="G479" s="10">
        <v>49.639999999999993</v>
      </c>
      <c r="H479" s="10">
        <v>1.9855999999999998</v>
      </c>
      <c r="I479" s="10">
        <v>0.64000000000001833</v>
      </c>
      <c r="J479" s="10">
        <v>4.3400000000000105</v>
      </c>
      <c r="K479" s="11" t="s">
        <v>41</v>
      </c>
    </row>
    <row r="480" spans="1:11" x14ac:dyDescent="0.3">
      <c r="A480" s="9">
        <v>46246</v>
      </c>
      <c r="B480" s="10" t="s">
        <v>17</v>
      </c>
      <c r="C480" s="121" t="s">
        <v>148</v>
      </c>
      <c r="D480" s="121" t="s">
        <v>199</v>
      </c>
      <c r="E480" s="10">
        <v>2.6987000000000001</v>
      </c>
      <c r="F480" s="10">
        <v>1.8299999999999983</v>
      </c>
      <c r="G480" s="10">
        <v>51.469999999999992</v>
      </c>
      <c r="H480" s="10">
        <v>2.0587999999999997</v>
      </c>
      <c r="I480" s="10">
        <v>0.26999999999999247</v>
      </c>
      <c r="J480" s="10">
        <v>4.3700000000000294</v>
      </c>
      <c r="K480" s="11" t="s">
        <v>41</v>
      </c>
    </row>
    <row r="481" spans="1:11" x14ac:dyDescent="0.3">
      <c r="A481" s="9">
        <v>46246</v>
      </c>
      <c r="B481" s="10" t="s">
        <v>18</v>
      </c>
      <c r="C481" s="121" t="s">
        <v>199</v>
      </c>
      <c r="D481" s="121" t="s">
        <v>145</v>
      </c>
      <c r="E481" s="10">
        <v>2.722</v>
      </c>
      <c r="F481" s="10">
        <v>2.3299999999999876</v>
      </c>
      <c r="G481" s="10">
        <v>53.799999999999983</v>
      </c>
      <c r="H481" s="10">
        <v>2.1519999999999992</v>
      </c>
      <c r="I481" s="10">
        <v>9.9999999999988987E-2</v>
      </c>
      <c r="J481" s="10">
        <v>5.2999999999999936</v>
      </c>
      <c r="K481" s="11" t="s">
        <v>41</v>
      </c>
    </row>
    <row r="482" spans="1:11" x14ac:dyDescent="0.3">
      <c r="A482" s="9">
        <v>46246</v>
      </c>
      <c r="B482" s="10" t="s">
        <v>28</v>
      </c>
      <c r="C482" s="121"/>
      <c r="D482" s="121"/>
      <c r="E482" s="10">
        <v>2.7269999999999999</v>
      </c>
      <c r="F482" s="10">
        <v>0.49999999999998934</v>
      </c>
      <c r="G482" s="10">
        <v>54.299999999999969</v>
      </c>
      <c r="H482" s="10">
        <v>2.1719999999999988</v>
      </c>
      <c r="I482" s="10">
        <v>-0.20999999999999908</v>
      </c>
      <c r="J482" s="10">
        <v>5.5099999999999927</v>
      </c>
      <c r="K482" s="11">
        <v>13.899999999999979</v>
      </c>
    </row>
    <row r="483" spans="1:11" x14ac:dyDescent="0.3">
      <c r="A483" s="9">
        <v>46246</v>
      </c>
      <c r="B483" s="10"/>
      <c r="C483" s="121"/>
      <c r="D483" s="121"/>
      <c r="E483" s="10"/>
      <c r="F483" s="10"/>
      <c r="G483" s="10"/>
      <c r="H483" s="10"/>
      <c r="I483" s="10">
        <v>-272.90999999999997</v>
      </c>
      <c r="J483" s="10">
        <v>-267.19</v>
      </c>
      <c r="K483" s="11">
        <v>-258.8</v>
      </c>
    </row>
    <row r="484" spans="1:11" x14ac:dyDescent="0.3">
      <c r="A484" s="9">
        <v>46246</v>
      </c>
      <c r="B484" s="10"/>
      <c r="C484" s="121"/>
      <c r="D484" s="121"/>
      <c r="E484" s="10"/>
      <c r="F484" s="10"/>
      <c r="G484" s="10"/>
      <c r="H484" s="10"/>
      <c r="I484" s="10">
        <v>-272.90999999999997</v>
      </c>
      <c r="J484" s="10">
        <v>-267.19</v>
      </c>
      <c r="K484" s="11">
        <v>-258.8</v>
      </c>
    </row>
    <row r="485" spans="1:11" x14ac:dyDescent="0.3">
      <c r="A485" s="9">
        <v>46246</v>
      </c>
      <c r="B485" s="10"/>
      <c r="C485" s="121"/>
      <c r="D485" s="121"/>
      <c r="E485" s="10"/>
      <c r="F485" s="10"/>
      <c r="G485" s="10"/>
      <c r="H485" s="10"/>
      <c r="I485" s="10">
        <v>-272.90999999999997</v>
      </c>
      <c r="J485" s="10">
        <v>-267.19</v>
      </c>
      <c r="K485" s="11">
        <v>-258.8</v>
      </c>
    </row>
    <row r="486" spans="1:11" x14ac:dyDescent="0.3">
      <c r="A486" s="9">
        <v>46246</v>
      </c>
      <c r="B486" s="10"/>
      <c r="C486" s="121"/>
      <c r="D486" s="121"/>
      <c r="E486" s="10"/>
      <c r="F486" s="10"/>
      <c r="G486" s="10"/>
      <c r="H486" s="10"/>
      <c r="I486" s="10">
        <v>-272.90999999999997</v>
      </c>
      <c r="J486" s="10">
        <v>-267.19</v>
      </c>
      <c r="K486" s="11">
        <v>-258.8</v>
      </c>
    </row>
    <row r="487" spans="1:11" x14ac:dyDescent="0.3">
      <c r="A487" s="9">
        <v>46247</v>
      </c>
      <c r="B487" s="10" t="s">
        <v>10</v>
      </c>
      <c r="C487" s="121" t="s">
        <v>97</v>
      </c>
      <c r="D487" s="121" t="s">
        <v>99</v>
      </c>
      <c r="E487" s="10">
        <v>2.4146000000000001</v>
      </c>
      <c r="F487" s="10">
        <v>22.96</v>
      </c>
      <c r="G487" s="10">
        <v>22.96</v>
      </c>
      <c r="H487" s="10">
        <v>0.91839999999999999</v>
      </c>
      <c r="I487" s="10">
        <v>-3.9999999999995595E-2</v>
      </c>
      <c r="J487" s="10">
        <v>1.1600000000000055</v>
      </c>
      <c r="K487" s="11">
        <v>-1.9099999999999895</v>
      </c>
    </row>
    <row r="488" spans="1:11" x14ac:dyDescent="0.3">
      <c r="A488" s="9">
        <v>46247</v>
      </c>
      <c r="B488" s="10" t="s">
        <v>12</v>
      </c>
      <c r="C488" s="121" t="s">
        <v>99</v>
      </c>
      <c r="D488" s="121" t="s">
        <v>103</v>
      </c>
      <c r="E488" s="10">
        <v>2.4615</v>
      </c>
      <c r="F488" s="10">
        <v>4.6899999999999942</v>
      </c>
      <c r="G488" s="10">
        <v>27.65</v>
      </c>
      <c r="H488" s="10">
        <v>1.1059999999999999</v>
      </c>
      <c r="I488" s="10">
        <v>-0.41999999999999815</v>
      </c>
      <c r="J488" s="10">
        <v>1.8499999999999961</v>
      </c>
      <c r="K488" s="11">
        <v>-3.7999999999999812</v>
      </c>
    </row>
    <row r="489" spans="1:11" x14ac:dyDescent="0.3">
      <c r="A489" s="9">
        <v>46247</v>
      </c>
      <c r="B489" s="10" t="s">
        <v>13</v>
      </c>
      <c r="C489" s="121" t="s">
        <v>103</v>
      </c>
      <c r="D489" s="121" t="s">
        <v>125</v>
      </c>
      <c r="E489" s="10">
        <v>2.5710000000000002</v>
      </c>
      <c r="F489" s="10">
        <v>10.950000000000015</v>
      </c>
      <c r="G489" s="10">
        <v>38.600000000000009</v>
      </c>
      <c r="H489" s="10">
        <v>1.5440000000000003</v>
      </c>
      <c r="I489" s="10">
        <v>-0.59999999999997833</v>
      </c>
      <c r="J489" s="10">
        <v>2.2000000000000242</v>
      </c>
      <c r="K489" s="11">
        <v>-1.6000000000000014</v>
      </c>
    </row>
    <row r="490" spans="1:11" x14ac:dyDescent="0.3">
      <c r="A490" s="9">
        <v>46247</v>
      </c>
      <c r="B490" s="10" t="s">
        <v>14</v>
      </c>
      <c r="C490" s="121" t="s">
        <v>125</v>
      </c>
      <c r="D490" s="121" t="s">
        <v>147</v>
      </c>
      <c r="E490" s="10">
        <v>2.609</v>
      </c>
      <c r="F490" s="10">
        <v>3.7999999999999812</v>
      </c>
      <c r="G490" s="10">
        <v>42.399999999999991</v>
      </c>
      <c r="H490" s="10">
        <v>1.6959999999999997</v>
      </c>
      <c r="I490" s="10">
        <v>-1.0000000000000231</v>
      </c>
      <c r="J490" s="10">
        <v>2.0500000000000185</v>
      </c>
      <c r="K490" s="11">
        <v>-1.2500000000000178</v>
      </c>
    </row>
    <row r="491" spans="1:11" x14ac:dyDescent="0.3">
      <c r="A491" s="9">
        <v>46247</v>
      </c>
      <c r="B491" s="10" t="s">
        <v>15</v>
      </c>
      <c r="C491" s="121" t="s">
        <v>147</v>
      </c>
      <c r="D491" s="121" t="s">
        <v>148</v>
      </c>
      <c r="E491" s="10">
        <v>2.6669999999999998</v>
      </c>
      <c r="F491" s="10">
        <v>5.7999999999999829</v>
      </c>
      <c r="G491" s="10">
        <v>48.199999999999974</v>
      </c>
      <c r="H491" s="10">
        <v>1.927999999999999</v>
      </c>
      <c r="I491" s="10">
        <v>-1.3400000000000301</v>
      </c>
      <c r="J491" s="10">
        <v>1.8699999999999939</v>
      </c>
      <c r="K491" s="11" t="s">
        <v>41</v>
      </c>
    </row>
    <row r="492" spans="1:11" x14ac:dyDescent="0.3">
      <c r="A492" s="9">
        <v>46247</v>
      </c>
      <c r="B492" s="10" t="s">
        <v>17</v>
      </c>
      <c r="C492" s="121" t="s">
        <v>148</v>
      </c>
      <c r="D492" s="121" t="s">
        <v>199</v>
      </c>
      <c r="E492" s="10">
        <v>2.6840000000000002</v>
      </c>
      <c r="F492" s="10">
        <v>1.7000000000000348</v>
      </c>
      <c r="G492" s="10">
        <v>49.900000000000013</v>
      </c>
      <c r="H492" s="10">
        <v>1.9960000000000004</v>
      </c>
      <c r="I492" s="10">
        <v>-1.4699999999999935</v>
      </c>
      <c r="J492" s="10">
        <v>1.6100000000000225</v>
      </c>
      <c r="K492" s="11" t="s">
        <v>41</v>
      </c>
    </row>
    <row r="493" spans="1:11" x14ac:dyDescent="0.3">
      <c r="A493" s="9">
        <v>46247</v>
      </c>
      <c r="B493" s="10" t="s">
        <v>18</v>
      </c>
      <c r="C493" s="121" t="s">
        <v>199</v>
      </c>
      <c r="D493" s="121" t="s">
        <v>145</v>
      </c>
      <c r="E493" s="10">
        <v>2.7061000000000002</v>
      </c>
      <c r="F493" s="10">
        <v>2.2100000000000009</v>
      </c>
      <c r="G493" s="10">
        <v>52.110000000000014</v>
      </c>
      <c r="H493" s="10">
        <v>2.0844000000000005</v>
      </c>
      <c r="I493" s="10">
        <v>-1.5899999999999803</v>
      </c>
      <c r="J493" s="10">
        <v>1.5100000000000335</v>
      </c>
      <c r="K493" s="11" t="s">
        <v>41</v>
      </c>
    </row>
    <row r="494" spans="1:11" x14ac:dyDescent="0.3">
      <c r="A494" s="9">
        <v>46247</v>
      </c>
      <c r="B494" s="10" t="s">
        <v>28</v>
      </c>
      <c r="C494" s="121"/>
      <c r="D494" s="121"/>
      <c r="E494" s="10">
        <v>2.71</v>
      </c>
      <c r="F494" s="10">
        <v>0.38999999999997925</v>
      </c>
      <c r="G494" s="10">
        <v>52.499999999999993</v>
      </c>
      <c r="H494" s="10">
        <v>2.0999999999999996</v>
      </c>
      <c r="I494" s="10">
        <v>-1.6999999999999904</v>
      </c>
      <c r="J494" s="10">
        <v>1.2999999999999901</v>
      </c>
      <c r="K494" s="11">
        <v>3.6999999999999922</v>
      </c>
    </row>
    <row r="495" spans="1:11" x14ac:dyDescent="0.3">
      <c r="A495" s="9">
        <v>46247</v>
      </c>
      <c r="B495" s="10"/>
      <c r="C495" s="121"/>
      <c r="D495" s="121"/>
      <c r="E495" s="10"/>
      <c r="F495" s="10"/>
      <c r="G495" s="10"/>
      <c r="H495" s="10"/>
      <c r="I495" s="10">
        <v>-272.7</v>
      </c>
      <c r="J495" s="10">
        <v>-269.7</v>
      </c>
      <c r="K495" s="11">
        <v>-267.3</v>
      </c>
    </row>
    <row r="496" spans="1:11" x14ac:dyDescent="0.3">
      <c r="A496" s="9">
        <v>46247</v>
      </c>
      <c r="B496" s="10"/>
      <c r="C496" s="121"/>
      <c r="D496" s="121"/>
      <c r="E496" s="10"/>
      <c r="F496" s="10"/>
      <c r="G496" s="10"/>
      <c r="H496" s="10"/>
      <c r="I496" s="10">
        <v>-272.7</v>
      </c>
      <c r="J496" s="10">
        <v>-269.7</v>
      </c>
      <c r="K496" s="11">
        <v>-267.3</v>
      </c>
    </row>
    <row r="497" spans="1:11" x14ac:dyDescent="0.3">
      <c r="A497" s="9">
        <v>46247</v>
      </c>
      <c r="B497" s="10"/>
      <c r="C497" s="121"/>
      <c r="D497" s="121"/>
      <c r="E497" s="10"/>
      <c r="F497" s="10"/>
      <c r="G497" s="10"/>
      <c r="H497" s="10"/>
      <c r="I497" s="10">
        <v>-272.7</v>
      </c>
      <c r="J497" s="10">
        <v>-269.7</v>
      </c>
      <c r="K497" s="11">
        <v>-267.3</v>
      </c>
    </row>
    <row r="498" spans="1:11" x14ac:dyDescent="0.3">
      <c r="A498" s="9">
        <v>46247</v>
      </c>
      <c r="B498" s="10"/>
      <c r="C498" s="121"/>
      <c r="D498" s="121"/>
      <c r="E498" s="10"/>
      <c r="F498" s="10"/>
      <c r="G498" s="10"/>
      <c r="H498" s="10"/>
      <c r="I498" s="10">
        <v>-272.7</v>
      </c>
      <c r="J498" s="10">
        <v>-269.7</v>
      </c>
      <c r="K498" s="11">
        <v>-267.3</v>
      </c>
    </row>
    <row r="499" spans="1:11" x14ac:dyDescent="0.3">
      <c r="A499" s="9">
        <v>46248</v>
      </c>
      <c r="B499" s="10" t="s">
        <v>10</v>
      </c>
      <c r="C499" s="121" t="s">
        <v>97</v>
      </c>
      <c r="D499" s="121" t="s">
        <v>99</v>
      </c>
      <c r="E499" s="10">
        <v>2.42</v>
      </c>
      <c r="F499" s="10">
        <v>23.199999999999974</v>
      </c>
      <c r="G499" s="10">
        <v>23.199999999999974</v>
      </c>
      <c r="H499" s="10">
        <v>0.92799999999999894</v>
      </c>
      <c r="I499" s="10">
        <v>0.53999999999998494</v>
      </c>
      <c r="J499" s="10">
        <v>1.7500000000000071</v>
      </c>
      <c r="K499" s="11">
        <v>-1.0000000000000231</v>
      </c>
    </row>
    <row r="500" spans="1:11" x14ac:dyDescent="0.3">
      <c r="A500" s="9">
        <v>46248</v>
      </c>
      <c r="B500" s="10" t="s">
        <v>12</v>
      </c>
      <c r="C500" s="121" t="s">
        <v>99</v>
      </c>
      <c r="D500" s="121" t="s">
        <v>103</v>
      </c>
      <c r="E500" s="10">
        <v>2.4729999999999999</v>
      </c>
      <c r="F500" s="10">
        <v>5.2999999999999936</v>
      </c>
      <c r="G500" s="10">
        <v>28.499999999999972</v>
      </c>
      <c r="H500" s="10">
        <v>1.1399999999999988</v>
      </c>
      <c r="I500" s="10">
        <v>1.1499999999999844</v>
      </c>
      <c r="J500" s="10">
        <v>3.0999999999999694</v>
      </c>
      <c r="K500" s="11">
        <v>-3.2500000000000195</v>
      </c>
    </row>
    <row r="501" spans="1:11" x14ac:dyDescent="0.3">
      <c r="A501" s="9">
        <v>46248</v>
      </c>
      <c r="B501" s="10" t="s">
        <v>13</v>
      </c>
      <c r="C501" s="121" t="s">
        <v>103</v>
      </c>
      <c r="D501" s="121" t="s">
        <v>125</v>
      </c>
      <c r="E501" s="10">
        <v>2.5920000000000001</v>
      </c>
      <c r="F501" s="10">
        <v>11.900000000000022</v>
      </c>
      <c r="G501" s="10">
        <v>40.399999999999991</v>
      </c>
      <c r="H501" s="10">
        <v>1.6159999999999997</v>
      </c>
      <c r="I501" s="10">
        <v>2.0999999999999908</v>
      </c>
      <c r="J501" s="10">
        <v>4.7800000000000065</v>
      </c>
      <c r="K501" s="11">
        <v>-0.61999999999997613</v>
      </c>
    </row>
    <row r="502" spans="1:11" x14ac:dyDescent="0.3">
      <c r="A502" s="9">
        <v>46248</v>
      </c>
      <c r="B502" s="10" t="s">
        <v>14</v>
      </c>
      <c r="C502" s="121" t="s">
        <v>125</v>
      </c>
      <c r="D502" s="121" t="s">
        <v>147</v>
      </c>
      <c r="E502" s="10">
        <v>2.6360000000000001</v>
      </c>
      <c r="F502" s="10">
        <v>4.4000000000000039</v>
      </c>
      <c r="G502" s="10">
        <v>44.8</v>
      </c>
      <c r="H502" s="10">
        <v>1.7919999999999998</v>
      </c>
      <c r="I502" s="10">
        <v>2.7000000000000135</v>
      </c>
      <c r="J502" s="10">
        <v>5.400000000000027</v>
      </c>
      <c r="K502" s="11">
        <v>0.26999999999999247</v>
      </c>
    </row>
    <row r="503" spans="1:11" x14ac:dyDescent="0.3">
      <c r="A503" s="9">
        <v>46248</v>
      </c>
      <c r="B503" s="10" t="s">
        <v>15</v>
      </c>
      <c r="C503" s="121" t="s">
        <v>147</v>
      </c>
      <c r="D503" s="121" t="s">
        <v>148</v>
      </c>
      <c r="E503" s="10">
        <v>2.6957</v>
      </c>
      <c r="F503" s="10">
        <v>5.9699999999999864</v>
      </c>
      <c r="G503" s="10">
        <v>50.769999999999982</v>
      </c>
      <c r="H503" s="10">
        <v>2.0307999999999993</v>
      </c>
      <c r="I503" s="10">
        <v>2.870000000000017</v>
      </c>
      <c r="J503" s="10">
        <v>5.85</v>
      </c>
      <c r="K503" s="11" t="s">
        <v>41</v>
      </c>
    </row>
    <row r="504" spans="1:11" x14ac:dyDescent="0.3">
      <c r="A504" s="9">
        <v>46248</v>
      </c>
      <c r="B504" s="10" t="s">
        <v>17</v>
      </c>
      <c r="C504" s="121" t="s">
        <v>148</v>
      </c>
      <c r="D504" s="121" t="s">
        <v>199</v>
      </c>
      <c r="E504" s="10">
        <v>2.7155</v>
      </c>
      <c r="F504" s="10">
        <v>1.980000000000004</v>
      </c>
      <c r="G504" s="10">
        <v>52.749999999999986</v>
      </c>
      <c r="H504" s="10">
        <v>2.1099999999999994</v>
      </c>
      <c r="I504" s="10">
        <v>3.1499999999999861</v>
      </c>
      <c r="J504" s="10">
        <v>5.7500000000000107</v>
      </c>
      <c r="K504" s="11" t="s">
        <v>41</v>
      </c>
    </row>
    <row r="505" spans="1:11" x14ac:dyDescent="0.3">
      <c r="A505" s="9">
        <v>46248</v>
      </c>
      <c r="B505" s="10" t="s">
        <v>18</v>
      </c>
      <c r="C505" s="121" t="s">
        <v>199</v>
      </c>
      <c r="D505" s="121" t="s">
        <v>145</v>
      </c>
      <c r="E505" s="10">
        <v>2.742</v>
      </c>
      <c r="F505" s="10">
        <v>2.6499999999999968</v>
      </c>
      <c r="G505" s="10">
        <v>55.399999999999984</v>
      </c>
      <c r="H505" s="10">
        <v>2.2159999999999993</v>
      </c>
      <c r="I505" s="10">
        <v>3.5899999999999821</v>
      </c>
      <c r="J505" s="10">
        <v>5.7999999999999829</v>
      </c>
      <c r="K505" s="11" t="s">
        <v>41</v>
      </c>
    </row>
    <row r="506" spans="1:11" x14ac:dyDescent="0.3">
      <c r="A506" s="9">
        <v>46248</v>
      </c>
      <c r="B506" s="10" t="s">
        <v>28</v>
      </c>
      <c r="C506" s="121"/>
      <c r="D506" s="121"/>
      <c r="E506" s="10">
        <v>2.7469999999999999</v>
      </c>
      <c r="F506" s="10">
        <v>0.49999999999998934</v>
      </c>
      <c r="G506" s="10">
        <v>55.89999999999997</v>
      </c>
      <c r="H506" s="10">
        <v>2.2359999999999989</v>
      </c>
      <c r="I506" s="10">
        <v>3.6999999999999922</v>
      </c>
      <c r="J506" s="10">
        <v>5.7999999999999829</v>
      </c>
      <c r="K506" s="11">
        <v>4.2999999999999705</v>
      </c>
    </row>
    <row r="507" spans="1:11" x14ac:dyDescent="0.3">
      <c r="A507" s="9">
        <v>46248</v>
      </c>
      <c r="B507" s="10"/>
      <c r="C507" s="121"/>
      <c r="D507" s="121"/>
      <c r="E507" s="10"/>
      <c r="F507" s="10"/>
      <c r="G507" s="10"/>
      <c r="H507" s="10"/>
      <c r="I507" s="10">
        <v>-271</v>
      </c>
      <c r="J507" s="10">
        <v>-268.89999999999998</v>
      </c>
      <c r="K507" s="11">
        <v>-270.40000000000003</v>
      </c>
    </row>
    <row r="508" spans="1:11" x14ac:dyDescent="0.3">
      <c r="A508" s="9">
        <v>46248</v>
      </c>
      <c r="B508" s="10"/>
      <c r="C508" s="121"/>
      <c r="D508" s="121"/>
      <c r="E508" s="10"/>
      <c r="F508" s="10"/>
      <c r="G508" s="10"/>
      <c r="H508" s="10"/>
      <c r="I508" s="10">
        <v>-271</v>
      </c>
      <c r="J508" s="10">
        <v>-268.89999999999998</v>
      </c>
      <c r="K508" s="11">
        <v>-270.40000000000003</v>
      </c>
    </row>
    <row r="509" spans="1:11" x14ac:dyDescent="0.3">
      <c r="A509" s="9">
        <v>46248</v>
      </c>
      <c r="B509" s="10"/>
      <c r="C509" s="121"/>
      <c r="D509" s="121"/>
      <c r="E509" s="10"/>
      <c r="F509" s="10"/>
      <c r="G509" s="10"/>
      <c r="H509" s="10"/>
      <c r="I509" s="10">
        <v>-271</v>
      </c>
      <c r="J509" s="10">
        <v>-268.89999999999998</v>
      </c>
      <c r="K509" s="11">
        <v>-270.40000000000003</v>
      </c>
    </row>
    <row r="510" spans="1:11" x14ac:dyDescent="0.3">
      <c r="A510" s="9">
        <v>46248</v>
      </c>
      <c r="B510" s="10"/>
      <c r="C510" s="121"/>
      <c r="D510" s="121"/>
      <c r="E510" s="10"/>
      <c r="F510" s="10"/>
      <c r="G510" s="10"/>
      <c r="H510" s="10"/>
      <c r="I510" s="10">
        <v>-271</v>
      </c>
      <c r="J510" s="10">
        <v>-268.89999999999998</v>
      </c>
      <c r="K510" s="11">
        <v>-270.40000000000003</v>
      </c>
    </row>
    <row r="511" spans="1:11" x14ac:dyDescent="0.3">
      <c r="A511" s="561">
        <v>46251</v>
      </c>
      <c r="B511" s="562" t="s">
        <v>10</v>
      </c>
      <c r="C511" s="563" t="s">
        <v>97</v>
      </c>
      <c r="D511" s="563" t="s">
        <v>99</v>
      </c>
      <c r="E511" s="562">
        <v>2.423</v>
      </c>
      <c r="F511" s="562">
        <v>23.4</v>
      </c>
      <c r="G511" s="562">
        <v>23.4</v>
      </c>
      <c r="H511" s="562">
        <v>0.93599999999999994</v>
      </c>
      <c r="I511" s="562">
        <v>0.30000000000001137</v>
      </c>
      <c r="J511" s="562">
        <v>1.1000000000000121</v>
      </c>
      <c r="K511" s="564">
        <v>0.74999999999998401</v>
      </c>
    </row>
    <row r="512" spans="1:11" x14ac:dyDescent="0.3">
      <c r="A512" s="561">
        <v>46251</v>
      </c>
      <c r="B512" s="562" t="s">
        <v>12</v>
      </c>
      <c r="C512" s="563" t="s">
        <v>99</v>
      </c>
      <c r="D512" s="563" t="s">
        <v>103</v>
      </c>
      <c r="E512" s="562">
        <v>2.4750000000000001</v>
      </c>
      <c r="F512" s="562">
        <v>5.2000000000000046</v>
      </c>
      <c r="G512" s="562">
        <v>28.6</v>
      </c>
      <c r="H512" s="562">
        <v>1.1440000000000001</v>
      </c>
      <c r="I512" s="562">
        <v>0.20000000000002238</v>
      </c>
      <c r="J512" s="562">
        <v>1.2900000000000134</v>
      </c>
      <c r="K512" s="564">
        <v>-2.5900000000000034</v>
      </c>
    </row>
    <row r="513" spans="1:11" x14ac:dyDescent="0.3">
      <c r="A513" s="561">
        <v>46251</v>
      </c>
      <c r="B513" s="562" t="s">
        <v>13</v>
      </c>
      <c r="C513" s="563" t="s">
        <v>103</v>
      </c>
      <c r="D513" s="563" t="s">
        <v>125</v>
      </c>
      <c r="E513" s="562">
        <v>2.5935000000000001</v>
      </c>
      <c r="F513" s="562">
        <v>11.850000000000005</v>
      </c>
      <c r="G513" s="562">
        <v>40.45000000000001</v>
      </c>
      <c r="H513" s="562">
        <v>1.6180000000000003</v>
      </c>
      <c r="I513" s="562">
        <v>0.15000000000000568</v>
      </c>
      <c r="J513" s="562">
        <v>2.0700000000000163</v>
      </c>
      <c r="K513" s="564">
        <v>-3.1199999999999672</v>
      </c>
    </row>
    <row r="514" spans="1:11" x14ac:dyDescent="0.3">
      <c r="A514" s="561">
        <v>46251</v>
      </c>
      <c r="B514" s="562" t="s">
        <v>14</v>
      </c>
      <c r="C514" s="563" t="s">
        <v>125</v>
      </c>
      <c r="D514" s="563" t="s">
        <v>147</v>
      </c>
      <c r="E514" s="562">
        <v>2.6335999999999999</v>
      </c>
      <c r="F514" s="562">
        <v>4.0099999999999802</v>
      </c>
      <c r="G514" s="562">
        <v>44.459999999999987</v>
      </c>
      <c r="H514" s="562">
        <v>1.7783999999999995</v>
      </c>
      <c r="I514" s="562">
        <v>-0.24000000000001798</v>
      </c>
      <c r="J514" s="562">
        <v>1.7599999999999838</v>
      </c>
      <c r="K514" s="564">
        <v>-3.8400000000000212</v>
      </c>
    </row>
    <row r="515" spans="1:11" x14ac:dyDescent="0.3">
      <c r="A515" s="561">
        <v>46251</v>
      </c>
      <c r="B515" s="562" t="s">
        <v>15</v>
      </c>
      <c r="C515" s="563" t="s">
        <v>147</v>
      </c>
      <c r="D515" s="563" t="s">
        <v>148</v>
      </c>
      <c r="E515" s="562">
        <v>2.6924999999999999</v>
      </c>
      <c r="F515" s="562">
        <v>5.8899999999999952</v>
      </c>
      <c r="G515" s="562">
        <v>50.34999999999998</v>
      </c>
      <c r="H515" s="562">
        <v>2.0139999999999993</v>
      </c>
      <c r="I515" s="562">
        <v>-0.32000000000000917</v>
      </c>
      <c r="J515" s="562">
        <v>1.3799999999999812</v>
      </c>
      <c r="K515" s="564">
        <v>-4.0999999999999925</v>
      </c>
    </row>
    <row r="516" spans="1:11" x14ac:dyDescent="0.3">
      <c r="A516" s="561">
        <v>46251</v>
      </c>
      <c r="B516" s="562" t="s">
        <v>17</v>
      </c>
      <c r="C516" s="563" t="s">
        <v>148</v>
      </c>
      <c r="D516" s="563" t="s">
        <v>199</v>
      </c>
      <c r="E516" s="562">
        <v>2.7109999999999999</v>
      </c>
      <c r="F516" s="562">
        <v>1.8499999999999961</v>
      </c>
      <c r="G516" s="562">
        <v>52.199999999999982</v>
      </c>
      <c r="H516" s="562">
        <v>2.0879999999999992</v>
      </c>
      <c r="I516" s="562">
        <v>-0.45000000000001705</v>
      </c>
      <c r="J516" s="562">
        <v>0.80000000000000071</v>
      </c>
      <c r="K516" s="564">
        <v>-3.7000000000000366</v>
      </c>
    </row>
    <row r="517" spans="1:11" x14ac:dyDescent="0.3">
      <c r="A517" s="561">
        <v>46251</v>
      </c>
      <c r="B517" s="562" t="s">
        <v>18</v>
      </c>
      <c r="C517" s="563" t="s">
        <v>199</v>
      </c>
      <c r="D517" s="563" t="s">
        <v>145</v>
      </c>
      <c r="E517" s="562">
        <v>2.7385999999999999</v>
      </c>
      <c r="F517" s="562">
        <v>2.7600000000000069</v>
      </c>
      <c r="G517" s="562">
        <v>54.959999999999987</v>
      </c>
      <c r="H517" s="562">
        <v>2.1983999999999995</v>
      </c>
      <c r="I517" s="562">
        <v>-0.34000000000000696</v>
      </c>
      <c r="J517" s="562">
        <v>0.55999999999998273</v>
      </c>
      <c r="K517" s="564" t="s">
        <v>41</v>
      </c>
    </row>
    <row r="518" spans="1:11" x14ac:dyDescent="0.3">
      <c r="A518" s="561">
        <v>46251</v>
      </c>
      <c r="B518" s="562" t="s">
        <v>28</v>
      </c>
      <c r="C518" s="563"/>
      <c r="D518" s="563"/>
      <c r="E518" s="562">
        <v>2.7442000000000002</v>
      </c>
      <c r="F518" s="562">
        <v>0.56000000000002714</v>
      </c>
      <c r="G518" s="562">
        <v>55.52000000000001</v>
      </c>
      <c r="H518" s="562">
        <v>2.2208000000000006</v>
      </c>
      <c r="I518" s="562">
        <v>-0.27999999999996916</v>
      </c>
      <c r="J518" s="562">
        <v>0.12000000000003119</v>
      </c>
      <c r="K518" s="564">
        <v>-1.0299999999999976</v>
      </c>
    </row>
    <row r="519" spans="1:11" x14ac:dyDescent="0.3">
      <c r="A519" s="561">
        <v>46251</v>
      </c>
      <c r="B519" s="562"/>
      <c r="C519" s="563"/>
      <c r="D519" s="563"/>
      <c r="E519" s="562"/>
      <c r="F519" s="562"/>
      <c r="G519" s="562"/>
      <c r="H519" s="562"/>
      <c r="I519" s="562">
        <v>-274.7</v>
      </c>
      <c r="J519" s="562">
        <v>-274.3</v>
      </c>
      <c r="K519" s="564">
        <v>-275.45000000000005</v>
      </c>
    </row>
    <row r="520" spans="1:11" x14ac:dyDescent="0.3">
      <c r="A520" s="561">
        <v>46251</v>
      </c>
      <c r="B520" s="562"/>
      <c r="C520" s="563"/>
      <c r="D520" s="563"/>
      <c r="E520" s="562"/>
      <c r="F520" s="562"/>
      <c r="G520" s="562"/>
      <c r="H520" s="562"/>
      <c r="I520" s="562">
        <v>-274.7</v>
      </c>
      <c r="J520" s="562">
        <v>-274.3</v>
      </c>
      <c r="K520" s="564">
        <v>-275.45000000000005</v>
      </c>
    </row>
    <row r="521" spans="1:11" x14ac:dyDescent="0.3">
      <c r="A521" s="561">
        <v>46251</v>
      </c>
      <c r="B521" s="562"/>
      <c r="C521" s="563"/>
      <c r="D521" s="563"/>
      <c r="E521" s="562"/>
      <c r="F521" s="562"/>
      <c r="G521" s="562"/>
      <c r="H521" s="562"/>
      <c r="I521" s="562">
        <v>-274.7</v>
      </c>
      <c r="J521" s="562">
        <v>-274.3</v>
      </c>
      <c r="K521" s="564">
        <v>-275.45000000000005</v>
      </c>
    </row>
    <row r="522" spans="1:11" x14ac:dyDescent="0.3">
      <c r="A522" s="561">
        <v>46251</v>
      </c>
      <c r="B522" s="562"/>
      <c r="C522" s="563"/>
      <c r="D522" s="563"/>
      <c r="E522" s="562"/>
      <c r="F522" s="562"/>
      <c r="G522" s="562"/>
      <c r="H522" s="562"/>
      <c r="I522" s="562">
        <v>-274.7</v>
      </c>
      <c r="J522" s="562">
        <v>-274.3</v>
      </c>
      <c r="K522" s="564">
        <v>-275.45000000000005</v>
      </c>
    </row>
    <row r="523" spans="1:11" x14ac:dyDescent="0.3">
      <c r="A523" s="561">
        <v>46252</v>
      </c>
      <c r="B523" s="562" t="s">
        <v>10</v>
      </c>
      <c r="C523" s="563" t="s">
        <v>97</v>
      </c>
      <c r="D523" s="563" t="s">
        <v>99</v>
      </c>
      <c r="E523" s="562">
        <v>2.4289999999999998</v>
      </c>
      <c r="F523" s="562">
        <v>24.2</v>
      </c>
      <c r="G523" s="562">
        <v>24.2</v>
      </c>
      <c r="H523" s="562">
        <v>0.96799999999999997</v>
      </c>
      <c r="I523" s="562">
        <v>0.59999999999997833</v>
      </c>
      <c r="J523" s="562">
        <v>1.6499999999999737</v>
      </c>
      <c r="K523" s="564">
        <v>1.18999999999998</v>
      </c>
    </row>
    <row r="524" spans="1:11" x14ac:dyDescent="0.3">
      <c r="A524" s="561">
        <v>46252</v>
      </c>
      <c r="B524" s="562" t="s">
        <v>12</v>
      </c>
      <c r="C524" s="563" t="s">
        <v>99</v>
      </c>
      <c r="D524" s="563" t="s">
        <v>103</v>
      </c>
      <c r="E524" s="562">
        <v>2.4885999999999999</v>
      </c>
      <c r="F524" s="562">
        <v>5.9600000000000097</v>
      </c>
      <c r="G524" s="562">
        <v>30.160000000000011</v>
      </c>
      <c r="H524" s="562">
        <v>1.2064000000000004</v>
      </c>
      <c r="I524" s="562">
        <v>1.3599999999999834</v>
      </c>
      <c r="J524" s="562">
        <v>2.7600000000000069</v>
      </c>
      <c r="K524" s="564">
        <v>-0.14000000000002899</v>
      </c>
    </row>
    <row r="525" spans="1:11" x14ac:dyDescent="0.3">
      <c r="A525" s="561">
        <v>46252</v>
      </c>
      <c r="B525" s="562" t="s">
        <v>13</v>
      </c>
      <c r="C525" s="563" t="s">
        <v>103</v>
      </c>
      <c r="D525" s="563" t="s">
        <v>125</v>
      </c>
      <c r="E525" s="562">
        <v>2.6230000000000002</v>
      </c>
      <c r="F525" s="562">
        <v>13.44000000000003</v>
      </c>
      <c r="G525" s="562">
        <v>43.600000000000037</v>
      </c>
      <c r="H525" s="562">
        <v>1.7440000000000015</v>
      </c>
      <c r="I525" s="562">
        <v>2.9500000000000082</v>
      </c>
      <c r="J525" s="562">
        <v>5.2000000000000046</v>
      </c>
      <c r="K525" s="564">
        <v>3.7900000000000045</v>
      </c>
    </row>
    <row r="526" spans="1:11" x14ac:dyDescent="0.3">
      <c r="A526" s="561">
        <v>46252</v>
      </c>
      <c r="B526" s="562" t="s">
        <v>14</v>
      </c>
      <c r="C526" s="563" t="s">
        <v>125</v>
      </c>
      <c r="D526" s="563" t="s">
        <v>147</v>
      </c>
      <c r="E526" s="562">
        <v>2.6741999999999999</v>
      </c>
      <c r="F526" s="562">
        <v>5.119999999999969</v>
      </c>
      <c r="G526" s="562">
        <v>48.720000000000006</v>
      </c>
      <c r="H526" s="562">
        <v>1.9488000000000003</v>
      </c>
      <c r="I526" s="562">
        <v>4.0599999999999969</v>
      </c>
      <c r="J526" s="562">
        <v>6.0799999999999965</v>
      </c>
      <c r="K526" s="564">
        <v>5.2200000000000024</v>
      </c>
    </row>
    <row r="527" spans="1:11" x14ac:dyDescent="0.3">
      <c r="A527" s="561">
        <v>46252</v>
      </c>
      <c r="B527" s="562" t="s">
        <v>15</v>
      </c>
      <c r="C527" s="563" t="s">
        <v>147</v>
      </c>
      <c r="D527" s="563" t="s">
        <v>148</v>
      </c>
      <c r="E527" s="562">
        <v>2.7454999999999998</v>
      </c>
      <c r="F527" s="562">
        <v>7.1299999999999919</v>
      </c>
      <c r="G527" s="562">
        <v>55.85</v>
      </c>
      <c r="H527" s="562">
        <v>2.234</v>
      </c>
      <c r="I527" s="562">
        <v>5.2999999999999936</v>
      </c>
      <c r="J527" s="562">
        <v>7.1499999999999897</v>
      </c>
      <c r="K527" s="564" t="s">
        <v>41</v>
      </c>
    </row>
    <row r="528" spans="1:11" x14ac:dyDescent="0.3">
      <c r="A528" s="561">
        <v>46252</v>
      </c>
      <c r="B528" s="562" t="s">
        <v>17</v>
      </c>
      <c r="C528" s="563" t="s">
        <v>148</v>
      </c>
      <c r="D528" s="563" t="s">
        <v>199</v>
      </c>
      <c r="E528" s="562">
        <v>2.77</v>
      </c>
      <c r="F528" s="562">
        <v>2.4500000000000188</v>
      </c>
      <c r="G528" s="562">
        <v>58.300000000000018</v>
      </c>
      <c r="H528" s="562">
        <v>2.3320000000000007</v>
      </c>
      <c r="I528" s="562">
        <v>5.9000000000000163</v>
      </c>
      <c r="J528" s="562">
        <v>7.3999999999999844</v>
      </c>
      <c r="K528" s="564" t="s">
        <v>41</v>
      </c>
    </row>
    <row r="529" spans="1:11" x14ac:dyDescent="0.3">
      <c r="A529" s="561">
        <v>46252</v>
      </c>
      <c r="B529" s="562" t="s">
        <v>18</v>
      </c>
      <c r="C529" s="563" t="s">
        <v>199</v>
      </c>
      <c r="D529" s="563" t="s">
        <v>145</v>
      </c>
      <c r="E529" s="562">
        <v>2.8020999999999998</v>
      </c>
      <c r="F529" s="562">
        <v>3.2099999999999795</v>
      </c>
      <c r="G529" s="562">
        <v>61.51</v>
      </c>
      <c r="H529" s="562">
        <v>2.4603999999999999</v>
      </c>
      <c r="I529" s="562">
        <v>6.349999999999989</v>
      </c>
      <c r="J529" s="562">
        <v>8.1099999999999728</v>
      </c>
      <c r="K529" s="564" t="s">
        <v>41</v>
      </c>
    </row>
    <row r="530" spans="1:11" x14ac:dyDescent="0.3">
      <c r="A530" s="561">
        <v>46252</v>
      </c>
      <c r="B530" s="562" t="s">
        <v>28</v>
      </c>
      <c r="C530" s="563"/>
      <c r="D530" s="563"/>
      <c r="E530" s="562">
        <v>2.8111000000000002</v>
      </c>
      <c r="F530" s="562">
        <v>0.90000000000003411</v>
      </c>
      <c r="G530" s="562">
        <v>62.410000000000032</v>
      </c>
      <c r="H530" s="562">
        <v>2.4964000000000013</v>
      </c>
      <c r="I530" s="562">
        <v>6.6899999999999959</v>
      </c>
      <c r="J530" s="562">
        <v>8.2000000000000295</v>
      </c>
      <c r="K530" s="564">
        <v>12.110000000000021</v>
      </c>
    </row>
    <row r="531" spans="1:11" x14ac:dyDescent="0.3">
      <c r="A531" s="561">
        <v>46252</v>
      </c>
      <c r="B531" s="562"/>
      <c r="C531" s="563"/>
      <c r="D531" s="563"/>
      <c r="E531" s="562"/>
      <c r="F531" s="562"/>
      <c r="G531" s="562"/>
      <c r="H531" s="562"/>
      <c r="I531" s="562">
        <v>-274.42</v>
      </c>
      <c r="J531" s="562">
        <v>-272.90999999999997</v>
      </c>
      <c r="K531" s="564">
        <v>-269</v>
      </c>
    </row>
    <row r="532" spans="1:11" x14ac:dyDescent="0.3">
      <c r="A532" s="561">
        <v>46252</v>
      </c>
      <c r="B532" s="562"/>
      <c r="C532" s="563"/>
      <c r="D532" s="563"/>
      <c r="E532" s="562"/>
      <c r="F532" s="562"/>
      <c r="G532" s="562"/>
      <c r="H532" s="562"/>
      <c r="I532" s="562">
        <v>-274.42</v>
      </c>
      <c r="J532" s="562">
        <v>-272.90999999999997</v>
      </c>
      <c r="K532" s="564">
        <v>-269</v>
      </c>
    </row>
    <row r="533" spans="1:11" x14ac:dyDescent="0.3">
      <c r="A533" s="561">
        <v>46252</v>
      </c>
      <c r="B533" s="562"/>
      <c r="C533" s="563"/>
      <c r="D533" s="563"/>
      <c r="E533" s="562"/>
      <c r="F533" s="562"/>
      <c r="G533" s="562"/>
      <c r="H533" s="562"/>
      <c r="I533" s="562">
        <v>-274.42</v>
      </c>
      <c r="J533" s="562">
        <v>-272.90999999999997</v>
      </c>
      <c r="K533" s="564">
        <v>-269</v>
      </c>
    </row>
    <row r="534" spans="1:11" x14ac:dyDescent="0.3">
      <c r="A534" s="561">
        <v>46252</v>
      </c>
      <c r="B534" s="562"/>
      <c r="C534" s="563"/>
      <c r="D534" s="563"/>
      <c r="E534" s="562"/>
      <c r="F534" s="562"/>
      <c r="G534" s="562"/>
      <c r="H534" s="562"/>
      <c r="I534" s="562">
        <v>-274.42</v>
      </c>
      <c r="J534" s="562">
        <v>-272.90999999999997</v>
      </c>
      <c r="K534" s="564">
        <v>-269</v>
      </c>
    </row>
    <row r="535" spans="1:11" x14ac:dyDescent="0.3">
      <c r="A535" s="9">
        <v>46253</v>
      </c>
      <c r="B535" s="10" t="s">
        <v>10</v>
      </c>
      <c r="C535" s="121" t="s">
        <v>97</v>
      </c>
      <c r="D535" s="121" t="s">
        <v>99</v>
      </c>
      <c r="E535" s="10">
        <v>2.4323999999999999</v>
      </c>
      <c r="F535" s="10">
        <v>24.439999999999973</v>
      </c>
      <c r="G535" s="10">
        <v>24.439999999999973</v>
      </c>
      <c r="H535" s="10">
        <v>0.97759999999999891</v>
      </c>
      <c r="I535" s="10">
        <v>0.34000000000000696</v>
      </c>
      <c r="J535" s="10">
        <v>1.739999999999986</v>
      </c>
      <c r="K535" s="11">
        <v>1.6899999999999693</v>
      </c>
    </row>
    <row r="536" spans="1:11" x14ac:dyDescent="0.3">
      <c r="A536" s="9">
        <v>46253</v>
      </c>
      <c r="B536" s="10" t="s">
        <v>12</v>
      </c>
      <c r="C536" s="121" t="s">
        <v>99</v>
      </c>
      <c r="D536" s="121" t="s">
        <v>103</v>
      </c>
      <c r="E536" s="10">
        <v>2.4900000000000002</v>
      </c>
      <c r="F536" s="10">
        <v>5.7600000000000318</v>
      </c>
      <c r="G536" s="10">
        <v>30.200000000000003</v>
      </c>
      <c r="H536" s="10">
        <v>1.2080000000000002</v>
      </c>
      <c r="I536" s="10">
        <v>0.14000000000002899</v>
      </c>
      <c r="J536" s="10">
        <v>2.430000000000021</v>
      </c>
      <c r="K536" s="11">
        <v>-1.089999999999991</v>
      </c>
    </row>
    <row r="537" spans="1:11" x14ac:dyDescent="0.3">
      <c r="A537" s="9">
        <v>46253</v>
      </c>
      <c r="B537" s="10" t="s">
        <v>13</v>
      </c>
      <c r="C537" s="121" t="s">
        <v>103</v>
      </c>
      <c r="D537" s="121" t="s">
        <v>125</v>
      </c>
      <c r="E537" s="10">
        <v>2.6280000000000001</v>
      </c>
      <c r="F537" s="10">
        <v>13.79999999999999</v>
      </c>
      <c r="G537" s="10">
        <v>43.999999999999993</v>
      </c>
      <c r="H537" s="10">
        <v>1.7599999999999998</v>
      </c>
      <c r="I537" s="10">
        <v>0.49999999999998934</v>
      </c>
      <c r="J537" s="10">
        <v>5.1000000000000156</v>
      </c>
      <c r="K537" s="11">
        <v>0.33000000000003027</v>
      </c>
    </row>
    <row r="538" spans="1:11" x14ac:dyDescent="0.3">
      <c r="A538" s="9">
        <v>46253</v>
      </c>
      <c r="B538" s="10" t="s">
        <v>14</v>
      </c>
      <c r="C538" s="121" t="s">
        <v>125</v>
      </c>
      <c r="D538" s="121" t="s">
        <v>147</v>
      </c>
      <c r="E538" s="10">
        <v>2.6829999999999998</v>
      </c>
      <c r="F538" s="10">
        <v>5.4999999999999716</v>
      </c>
      <c r="G538" s="10">
        <v>49.499999999999964</v>
      </c>
      <c r="H538" s="10">
        <v>1.9799999999999986</v>
      </c>
      <c r="I538" s="10">
        <v>0.8799999999999919</v>
      </c>
      <c r="J538" s="10">
        <v>6.3999999999999613</v>
      </c>
      <c r="K538" s="11">
        <v>1.0999999999999677</v>
      </c>
    </row>
    <row r="539" spans="1:11" x14ac:dyDescent="0.3">
      <c r="A539" s="9">
        <v>46253</v>
      </c>
      <c r="B539" s="10" t="s">
        <v>15</v>
      </c>
      <c r="C539" s="121" t="s">
        <v>147</v>
      </c>
      <c r="D539" s="121" t="s">
        <v>148</v>
      </c>
      <c r="E539" s="10">
        <v>2.758</v>
      </c>
      <c r="F539" s="10">
        <v>7.5000000000000178</v>
      </c>
      <c r="G539" s="10">
        <v>56.999999999999986</v>
      </c>
      <c r="H539" s="10">
        <v>2.2799999999999994</v>
      </c>
      <c r="I539" s="10">
        <v>1.2500000000000178</v>
      </c>
      <c r="J539" s="10">
        <v>7.7599999999999891</v>
      </c>
      <c r="K539" s="11">
        <v>2.4500000000000188</v>
      </c>
    </row>
    <row r="540" spans="1:11" x14ac:dyDescent="0.3">
      <c r="A540" s="9">
        <v>46253</v>
      </c>
      <c r="B540" s="10" t="s">
        <v>17</v>
      </c>
      <c r="C540" s="121" t="s">
        <v>148</v>
      </c>
      <c r="D540" s="121" t="s">
        <v>199</v>
      </c>
      <c r="E540" s="10">
        <v>2.7879999999999998</v>
      </c>
      <c r="F540" s="10">
        <v>2.9999999999999805</v>
      </c>
      <c r="G540" s="10">
        <v>59.999999999999964</v>
      </c>
      <c r="H540" s="10">
        <v>2.3999999999999986</v>
      </c>
      <c r="I540" s="10">
        <v>1.7999999999999794</v>
      </c>
      <c r="J540" s="10">
        <v>8.9299999999999713</v>
      </c>
      <c r="K540" s="11">
        <v>3.9999999999999591</v>
      </c>
    </row>
    <row r="541" spans="1:11" x14ac:dyDescent="0.3">
      <c r="A541" s="9">
        <v>46253</v>
      </c>
      <c r="B541" s="10" t="s">
        <v>18</v>
      </c>
      <c r="C541" s="121" t="s">
        <v>199</v>
      </c>
      <c r="D541" s="121" t="s">
        <v>145</v>
      </c>
      <c r="E541" s="10">
        <v>2.8210000000000002</v>
      </c>
      <c r="F541" s="10">
        <v>3.3000000000000362</v>
      </c>
      <c r="G541" s="10">
        <v>63.3</v>
      </c>
      <c r="H541" s="10">
        <v>2.532</v>
      </c>
      <c r="I541" s="10">
        <v>1.8900000000000361</v>
      </c>
      <c r="J541" s="10">
        <v>9.9000000000000199</v>
      </c>
      <c r="K541" s="11" t="s">
        <v>41</v>
      </c>
    </row>
    <row r="542" spans="1:11" x14ac:dyDescent="0.3">
      <c r="A542" s="9">
        <v>46253</v>
      </c>
      <c r="B542" s="10" t="s">
        <v>28</v>
      </c>
      <c r="C542" s="121"/>
      <c r="D542" s="121"/>
      <c r="E542" s="10">
        <v>2.8319999999999999</v>
      </c>
      <c r="F542" s="10">
        <v>1.0999999999999677</v>
      </c>
      <c r="G542" s="10">
        <v>64.399999999999963</v>
      </c>
      <c r="H542" s="10">
        <v>2.5759999999999987</v>
      </c>
      <c r="I542" s="10">
        <v>2.0899999999999697</v>
      </c>
      <c r="J542" s="10">
        <v>10.499999999999998</v>
      </c>
      <c r="K542" s="11">
        <v>7.749999999999968</v>
      </c>
    </row>
    <row r="543" spans="1:11" x14ac:dyDescent="0.3">
      <c r="A543" s="9">
        <v>46253</v>
      </c>
      <c r="B543" s="10"/>
      <c r="C543" s="121"/>
      <c r="D543" s="121"/>
      <c r="E543" s="10"/>
      <c r="F543" s="10"/>
      <c r="G543" s="10"/>
      <c r="H543" s="10"/>
      <c r="I543" s="10">
        <v>-281.11</v>
      </c>
      <c r="J543" s="10">
        <v>-272.7</v>
      </c>
      <c r="K543" s="11">
        <v>-275.45000000000005</v>
      </c>
    </row>
    <row r="544" spans="1:11" x14ac:dyDescent="0.3">
      <c r="A544" s="9">
        <v>46253</v>
      </c>
      <c r="B544" s="10"/>
      <c r="C544" s="121"/>
      <c r="D544" s="121"/>
      <c r="E544" s="10"/>
      <c r="F544" s="10"/>
      <c r="G544" s="10"/>
      <c r="H544" s="10"/>
      <c r="I544" s="10">
        <v>-281.11</v>
      </c>
      <c r="J544" s="10">
        <v>-272.7</v>
      </c>
      <c r="K544" s="11">
        <v>-275.45000000000005</v>
      </c>
    </row>
    <row r="545" spans="1:11" x14ac:dyDescent="0.3">
      <c r="A545" s="9">
        <v>46253</v>
      </c>
      <c r="B545" s="10"/>
      <c r="C545" s="121"/>
      <c r="D545" s="121"/>
      <c r="E545" s="10"/>
      <c r="F545" s="10"/>
      <c r="G545" s="10"/>
      <c r="H545" s="10"/>
      <c r="I545" s="10">
        <v>-281.11</v>
      </c>
      <c r="J545" s="10">
        <v>-272.7</v>
      </c>
      <c r="K545" s="11">
        <v>-275.45000000000005</v>
      </c>
    </row>
    <row r="546" spans="1:11" x14ac:dyDescent="0.3">
      <c r="A546" s="9">
        <v>46253</v>
      </c>
      <c r="B546" s="10"/>
      <c r="C546" s="121"/>
      <c r="D546" s="121"/>
      <c r="E546" s="10"/>
      <c r="F546" s="10"/>
      <c r="G546" s="10"/>
      <c r="H546" s="10"/>
      <c r="I546" s="10">
        <v>-281.11</v>
      </c>
      <c r="J546" s="10">
        <v>-272.7</v>
      </c>
      <c r="K546" s="11">
        <v>-275.45000000000005</v>
      </c>
    </row>
  </sheetData>
  <phoneticPr fontId="6" type="noConversion"/>
  <hyperlinks>
    <hyperlink ref="I1" r:id="rId1" display="https://www.worldsport.ge/ge/page/186696_realma-pogbas-damatebistvis-fexburteli-unda-gayidos?fbclid=IwAR1Q8_AuVjfuFyEqRQbAPIWQl1LwCJxT8yrAB4_5wAq_JUjGwmGboJ4jIZo" xr:uid="{00000000-0004-0000-0300-000000000000}"/>
  </hyperlinks>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549"/>
  <sheetViews>
    <sheetView topLeftCell="A523" zoomScale="85" zoomScaleNormal="85" workbookViewId="0">
      <selection activeCell="A538" sqref="A538:K549"/>
    </sheetView>
  </sheetViews>
  <sheetFormatPr defaultColWidth="8.85546875" defaultRowHeight="18.75" x14ac:dyDescent="0.3"/>
  <cols>
    <col min="1" max="1" width="17.85546875" style="12" bestFit="1" customWidth="1"/>
    <col min="2" max="2" width="13.28515625" style="5" bestFit="1" customWidth="1"/>
    <col min="3" max="4" width="14.85546875" style="5" bestFit="1" customWidth="1"/>
    <col min="5" max="5" width="9.2851562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2" width="8.85546875" style="5"/>
    <col min="13" max="13" width="10" style="5" bestFit="1" customWidth="1"/>
    <col min="14"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9" t="s">
        <v>89</v>
      </c>
      <c r="B2" s="10" t="s">
        <v>15</v>
      </c>
      <c r="C2" s="121">
        <v>45372</v>
      </c>
      <c r="D2" s="121">
        <v>45421</v>
      </c>
      <c r="E2" s="10">
        <v>5.2069655310586098</v>
      </c>
      <c r="F2" s="10">
        <v>1.5865531058610216</v>
      </c>
      <c r="G2" s="10">
        <v>1.5865531058610216</v>
      </c>
      <c r="H2" s="10">
        <v>6.3462124234440864E-2</v>
      </c>
      <c r="I2" s="10">
        <v>5.1892812178966352E-2</v>
      </c>
      <c r="J2" s="10" t="s">
        <v>41</v>
      </c>
      <c r="K2" s="11" t="s">
        <v>41</v>
      </c>
    </row>
    <row r="3" spans="1:11" x14ac:dyDescent="0.3">
      <c r="A3" s="9" t="s">
        <v>89</v>
      </c>
      <c r="B3" s="10" t="s">
        <v>17</v>
      </c>
      <c r="C3" s="121">
        <v>45421</v>
      </c>
      <c r="D3" s="121">
        <v>45463</v>
      </c>
      <c r="E3" s="10">
        <v>5.1539693325935501</v>
      </c>
      <c r="F3" s="10">
        <v>-5.2996198465059763</v>
      </c>
      <c r="G3" s="10">
        <v>-3.7130667406449547</v>
      </c>
      <c r="H3" s="10">
        <v>-0.14852266962579819</v>
      </c>
      <c r="I3" s="10">
        <v>-3.2478168550120756E-3</v>
      </c>
      <c r="J3" s="10" t="s">
        <v>41</v>
      </c>
      <c r="K3" s="11" t="s">
        <v>41</v>
      </c>
    </row>
    <row r="4" spans="1:11" x14ac:dyDescent="0.3">
      <c r="A4" s="9" t="s">
        <v>89</v>
      </c>
      <c r="B4" s="10" t="s">
        <v>18</v>
      </c>
      <c r="C4" s="121">
        <v>45463</v>
      </c>
      <c r="D4" s="121">
        <v>45505</v>
      </c>
      <c r="E4" s="10">
        <v>5.0257131429078497</v>
      </c>
      <c r="F4" s="10">
        <v>-12.825618968570041</v>
      </c>
      <c r="G4" s="10">
        <v>-16.538685709214995</v>
      </c>
      <c r="H4" s="10">
        <v>-0.66154742836859981</v>
      </c>
      <c r="I4" s="10">
        <v>-3.8230284634011014E-2</v>
      </c>
      <c r="J4" s="10" t="s">
        <v>41</v>
      </c>
      <c r="K4" s="11" t="s">
        <v>41</v>
      </c>
    </row>
    <row r="5" spans="1:11" x14ac:dyDescent="0.3">
      <c r="A5" s="9" t="s">
        <v>89</v>
      </c>
      <c r="B5" s="10" t="s">
        <v>9</v>
      </c>
      <c r="C5" s="121">
        <v>45505</v>
      </c>
      <c r="D5" s="121">
        <v>45554</v>
      </c>
      <c r="E5" s="10">
        <v>4.8748920756954401</v>
      </c>
      <c r="F5" s="10">
        <v>-15.082106721240951</v>
      </c>
      <c r="G5" s="10">
        <v>-31.620792430455946</v>
      </c>
      <c r="H5" s="10">
        <v>-1.2648316972182378</v>
      </c>
      <c r="I5" s="10">
        <v>0.18046755051299712</v>
      </c>
      <c r="J5" s="10" t="s">
        <v>41</v>
      </c>
      <c r="K5" s="11" t="s">
        <v>41</v>
      </c>
    </row>
    <row r="6" spans="1:11" x14ac:dyDescent="0.3">
      <c r="A6" s="9" t="s">
        <v>89</v>
      </c>
      <c r="B6" s="10" t="s">
        <v>10</v>
      </c>
      <c r="C6" s="121">
        <v>45554</v>
      </c>
      <c r="D6" s="121">
        <v>45603</v>
      </c>
      <c r="E6" s="10">
        <v>4.7427934120986599</v>
      </c>
      <c r="F6" s="10">
        <v>-13.209866359678024</v>
      </c>
      <c r="G6" s="10">
        <v>-44.830658790133967</v>
      </c>
      <c r="H6" s="10">
        <v>-1.7932263516053586</v>
      </c>
      <c r="I6" s="10">
        <v>0.40099997275602206</v>
      </c>
      <c r="J6" s="10" t="s">
        <v>41</v>
      </c>
      <c r="K6" s="11" t="s">
        <v>41</v>
      </c>
    </row>
    <row r="7" spans="1:11" x14ac:dyDescent="0.3">
      <c r="A7" s="9" t="s">
        <v>89</v>
      </c>
      <c r="B7" s="10" t="s">
        <v>12</v>
      </c>
      <c r="C7" s="121">
        <v>45603</v>
      </c>
      <c r="D7" s="121">
        <v>45645</v>
      </c>
      <c r="E7" s="10">
        <v>4.5875927998517199</v>
      </c>
      <c r="F7" s="10">
        <v>-15.520061224694004</v>
      </c>
      <c r="G7" s="10">
        <v>-60.350720014827971</v>
      </c>
      <c r="H7" s="10">
        <v>-2.414028800593119</v>
      </c>
      <c r="I7" s="10">
        <v>0.58101050867200854</v>
      </c>
      <c r="J7" s="10" t="s">
        <v>41</v>
      </c>
      <c r="K7" s="11" t="s">
        <v>41</v>
      </c>
    </row>
    <row r="8" spans="1:11" x14ac:dyDescent="0.3">
      <c r="A8" s="9" t="s">
        <v>89</v>
      </c>
      <c r="B8" s="10" t="s">
        <v>13</v>
      </c>
      <c r="C8" s="121">
        <v>45645</v>
      </c>
      <c r="D8" s="121">
        <v>45694</v>
      </c>
      <c r="E8" s="10">
        <v>4.4538871308231602</v>
      </c>
      <c r="F8" s="10">
        <v>-13.370566902855963</v>
      </c>
      <c r="G8" s="10">
        <v>-73.72128691768394</v>
      </c>
      <c r="H8" s="10">
        <v>-2.9488514767073575</v>
      </c>
      <c r="I8" s="10">
        <v>0.53165193901003605</v>
      </c>
      <c r="J8" s="10" t="s">
        <v>41</v>
      </c>
      <c r="K8" s="11" t="s">
        <v>41</v>
      </c>
    </row>
    <row r="9" spans="1:11" x14ac:dyDescent="0.3">
      <c r="A9" s="9" t="s">
        <v>89</v>
      </c>
      <c r="B9" s="10" t="s">
        <v>14</v>
      </c>
      <c r="C9" s="121">
        <v>45694</v>
      </c>
      <c r="D9" s="121">
        <v>45736</v>
      </c>
      <c r="E9" s="10">
        <v>4.2947137147092302</v>
      </c>
      <c r="F9" s="10">
        <v>-15.917341611392999</v>
      </c>
      <c r="G9" s="10">
        <v>-89.638628529076939</v>
      </c>
      <c r="H9" s="10">
        <v>-3.5855451411630774</v>
      </c>
      <c r="I9" s="10">
        <v>0.60835554974705275</v>
      </c>
      <c r="J9" s="10" t="s">
        <v>41</v>
      </c>
      <c r="K9" s="11" t="s">
        <v>41</v>
      </c>
    </row>
    <row r="10" spans="1:11" x14ac:dyDescent="0.3">
      <c r="A10" s="9" t="s">
        <v>89</v>
      </c>
      <c r="B10" s="10" t="s">
        <v>15</v>
      </c>
      <c r="C10" s="121">
        <v>45736</v>
      </c>
      <c r="D10" s="121">
        <v>45785</v>
      </c>
      <c r="E10" s="10">
        <v>4.1837149675565399</v>
      </c>
      <c r="F10" s="10">
        <v>-11.099874715269031</v>
      </c>
      <c r="G10" s="10">
        <v>-100.73850324434596</v>
      </c>
      <c r="H10" s="10">
        <v>-4.0295401297738387</v>
      </c>
      <c r="I10" s="10">
        <v>0.98640710220898598</v>
      </c>
      <c r="J10" s="10" t="s">
        <v>41</v>
      </c>
      <c r="K10" s="11" t="s">
        <v>41</v>
      </c>
    </row>
    <row r="11" spans="1:11" x14ac:dyDescent="0.3">
      <c r="A11" s="9" t="s">
        <v>89</v>
      </c>
      <c r="B11" s="10" t="s">
        <v>17</v>
      </c>
      <c r="C11" s="121">
        <v>45785</v>
      </c>
      <c r="D11" s="121">
        <v>45827</v>
      </c>
      <c r="E11" s="10">
        <v>4.0318816727577804</v>
      </c>
      <c r="F11" s="10">
        <v>-15.183329479875951</v>
      </c>
      <c r="G11" s="10">
        <v>-115.92183272422191</v>
      </c>
      <c r="H11" s="10">
        <v>-4.6368733089688767</v>
      </c>
      <c r="I11" s="10">
        <v>-1.1079605518689917</v>
      </c>
      <c r="J11" s="10" t="s">
        <v>41</v>
      </c>
      <c r="K11" s="11" t="s">
        <v>41</v>
      </c>
    </row>
    <row r="12" spans="1:11" x14ac:dyDescent="0.3">
      <c r="A12" s="9" t="s">
        <v>89</v>
      </c>
      <c r="B12" s="10"/>
      <c r="C12" s="121"/>
      <c r="D12" s="121"/>
      <c r="E12" s="10"/>
      <c r="F12" s="10"/>
      <c r="G12" s="10"/>
      <c r="H12" s="10"/>
      <c r="I12" s="10">
        <v>0</v>
      </c>
      <c r="J12" s="10" t="s">
        <v>41</v>
      </c>
      <c r="K12" s="11" t="s">
        <v>41</v>
      </c>
    </row>
    <row r="13" spans="1:11" x14ac:dyDescent="0.3">
      <c r="A13" s="9" t="s">
        <v>89</v>
      </c>
      <c r="B13" s="10"/>
      <c r="C13" s="121"/>
      <c r="D13" s="121"/>
      <c r="E13" s="10"/>
      <c r="F13" s="10"/>
      <c r="G13" s="10"/>
      <c r="H13" s="10"/>
      <c r="I13" s="10">
        <v>0</v>
      </c>
      <c r="J13" s="10" t="s">
        <v>41</v>
      </c>
      <c r="K13" s="11" t="s">
        <v>41</v>
      </c>
    </row>
    <row r="14" spans="1:11" x14ac:dyDescent="0.3">
      <c r="A14" s="9">
        <v>46192</v>
      </c>
      <c r="B14" s="10" t="s">
        <v>19</v>
      </c>
      <c r="C14" s="121" t="s">
        <v>104</v>
      </c>
      <c r="D14" s="121" t="s">
        <v>105</v>
      </c>
      <c r="E14" s="10">
        <v>3.7829899999999999</v>
      </c>
      <c r="F14" s="10">
        <v>5.2989999999999871</v>
      </c>
      <c r="G14" s="10">
        <v>5.2989999999999871</v>
      </c>
      <c r="H14" s="10">
        <v>0.21195999999999948</v>
      </c>
      <c r="I14" s="10">
        <v>0.42399999999997995</v>
      </c>
      <c r="J14" s="10">
        <v>-4.1110000000000202</v>
      </c>
      <c r="K14" s="11">
        <v>-17.000999999999998</v>
      </c>
    </row>
    <row r="15" spans="1:11" x14ac:dyDescent="0.3">
      <c r="A15" s="9">
        <v>46192</v>
      </c>
      <c r="B15" s="10" t="s">
        <v>10</v>
      </c>
      <c r="C15" s="121" t="s">
        <v>105</v>
      </c>
      <c r="D15" s="121" t="s">
        <v>106</v>
      </c>
      <c r="E15" s="10">
        <v>3.8773399999999998</v>
      </c>
      <c r="F15" s="10">
        <v>9.4349999999999934</v>
      </c>
      <c r="G15" s="10">
        <v>14.73399999999998</v>
      </c>
      <c r="H15" s="10">
        <v>0.58935999999999922</v>
      </c>
      <c r="I15" s="10">
        <v>1.4100000000000001</v>
      </c>
      <c r="J15" s="10">
        <v>-3.7660000000000249</v>
      </c>
      <c r="K15" s="11">
        <v>-23.351000000000035</v>
      </c>
    </row>
    <row r="16" spans="1:11" x14ac:dyDescent="0.3">
      <c r="A16" s="9">
        <v>46192</v>
      </c>
      <c r="B16" s="10" t="s">
        <v>12</v>
      </c>
      <c r="C16" s="121" t="s">
        <v>106</v>
      </c>
      <c r="D16" s="121" t="s">
        <v>108</v>
      </c>
      <c r="E16" s="10">
        <v>3.9761500000000001</v>
      </c>
      <c r="F16" s="10">
        <v>9.8810000000000286</v>
      </c>
      <c r="G16" s="10">
        <v>24.615000000000009</v>
      </c>
      <c r="H16" s="10">
        <v>0.98460000000000036</v>
      </c>
      <c r="I16" s="10">
        <v>2.2390000000000132</v>
      </c>
      <c r="J16" s="10">
        <v>-3.9759999999999796</v>
      </c>
      <c r="K16" s="11">
        <v>-28.584999999999951</v>
      </c>
    </row>
    <row r="17" spans="1:11" x14ac:dyDescent="0.3">
      <c r="A17" s="9">
        <v>46192</v>
      </c>
      <c r="B17" s="10" t="s">
        <v>13</v>
      </c>
      <c r="C17" s="121" t="s">
        <v>108</v>
      </c>
      <c r="D17" s="121" t="s">
        <v>121</v>
      </c>
      <c r="E17" s="10">
        <v>4.0755999999999997</v>
      </c>
      <c r="F17" s="10">
        <v>9.9449999999999594</v>
      </c>
      <c r="G17" s="10">
        <v>34.559999999999967</v>
      </c>
      <c r="H17" s="10">
        <v>1.3823999999999987</v>
      </c>
      <c r="I17" s="10">
        <v>4.1199999999999903</v>
      </c>
      <c r="J17" s="10">
        <v>-1.2880000000000003</v>
      </c>
      <c r="K17" s="11">
        <v>-28.353000000000073</v>
      </c>
    </row>
    <row r="18" spans="1:11" x14ac:dyDescent="0.3">
      <c r="A18" s="9">
        <v>46192</v>
      </c>
      <c r="B18" s="10" t="s">
        <v>14</v>
      </c>
      <c r="C18" s="121" t="s">
        <v>121</v>
      </c>
      <c r="D18" s="121" t="s">
        <v>123</v>
      </c>
      <c r="E18" s="10">
        <v>4.1316100000000002</v>
      </c>
      <c r="F18" s="10">
        <v>5.6010000000000559</v>
      </c>
      <c r="G18" s="10">
        <v>40.161000000000023</v>
      </c>
      <c r="H18" s="10">
        <v>1.606440000000001</v>
      </c>
      <c r="I18" s="10">
        <v>5.6010000000000559</v>
      </c>
      <c r="J18" s="10">
        <v>-0.65400000000002123</v>
      </c>
      <c r="K18" s="11">
        <v>-30.438999999999972</v>
      </c>
    </row>
    <row r="19" spans="1:11" x14ac:dyDescent="0.3">
      <c r="A19" s="9">
        <v>46192</v>
      </c>
      <c r="B19" s="10" t="s">
        <v>15</v>
      </c>
      <c r="C19" s="121" t="s">
        <v>123</v>
      </c>
      <c r="D19" s="121" t="s">
        <v>127</v>
      </c>
      <c r="E19" s="10">
        <v>4.1756000000000002</v>
      </c>
      <c r="F19" s="10">
        <v>4.3989999999999974</v>
      </c>
      <c r="G19" s="10">
        <v>44.560000000000024</v>
      </c>
      <c r="H19" s="10">
        <v>1.7824000000000009</v>
      </c>
      <c r="I19" s="10">
        <v>7.1250000000000036</v>
      </c>
      <c r="J19" s="10">
        <v>1.085000000000047</v>
      </c>
      <c r="K19" s="11">
        <v>-32.064000000000007</v>
      </c>
    </row>
    <row r="20" spans="1:11" x14ac:dyDescent="0.3">
      <c r="A20" s="9">
        <v>46192</v>
      </c>
      <c r="B20" s="10" t="s">
        <v>16</v>
      </c>
      <c r="C20" s="121" t="s">
        <v>127</v>
      </c>
      <c r="D20" s="121" t="s">
        <v>146</v>
      </c>
      <c r="E20" s="10">
        <v>4.1999399999999998</v>
      </c>
      <c r="F20" s="10">
        <v>2.4339999999999584</v>
      </c>
      <c r="G20" s="10">
        <v>46.993999999999978</v>
      </c>
      <c r="H20" s="10">
        <v>1.8797599999999992</v>
      </c>
      <c r="I20" s="10">
        <v>7.9889999999999795</v>
      </c>
      <c r="J20" s="10">
        <v>1.7439999999999678</v>
      </c>
      <c r="K20" s="11">
        <v>-32.706000000000031</v>
      </c>
    </row>
    <row r="21" spans="1:11" x14ac:dyDescent="0.3">
      <c r="A21" s="9">
        <v>46192</v>
      </c>
      <c r="B21" s="10" t="s">
        <v>18</v>
      </c>
      <c r="C21" s="121" t="s">
        <v>146</v>
      </c>
      <c r="D21" s="121" t="s">
        <v>151</v>
      </c>
      <c r="E21" s="10">
        <v>4.2050000000000001</v>
      </c>
      <c r="F21" s="10">
        <v>0.50600000000002865</v>
      </c>
      <c r="G21" s="10">
        <v>47.500000000000007</v>
      </c>
      <c r="H21" s="10">
        <v>1.9000000000000004</v>
      </c>
      <c r="I21" s="10" t="s">
        <v>41</v>
      </c>
      <c r="J21" s="10" t="s">
        <v>41</v>
      </c>
      <c r="K21" s="11" t="s">
        <v>41</v>
      </c>
    </row>
    <row r="22" spans="1:11" x14ac:dyDescent="0.3">
      <c r="A22" s="9">
        <v>46192</v>
      </c>
      <c r="B22" s="10" t="s">
        <v>19</v>
      </c>
      <c r="C22" s="121" t="s">
        <v>151</v>
      </c>
      <c r="D22" s="121"/>
      <c r="E22" s="10"/>
      <c r="F22" s="10"/>
      <c r="G22" s="10"/>
      <c r="H22" s="10"/>
      <c r="I22" s="10" t="s">
        <v>41</v>
      </c>
      <c r="J22" s="10" t="s">
        <v>41</v>
      </c>
      <c r="K22" s="11" t="s">
        <v>41</v>
      </c>
    </row>
    <row r="23" spans="1:11" x14ac:dyDescent="0.3">
      <c r="A23" s="9">
        <v>46192</v>
      </c>
      <c r="B23" s="10"/>
      <c r="C23" s="121"/>
      <c r="D23" s="121"/>
      <c r="E23" s="10"/>
      <c r="F23" s="10"/>
      <c r="G23" s="10"/>
      <c r="H23" s="10"/>
      <c r="I23" s="10">
        <v>0</v>
      </c>
      <c r="J23" s="10">
        <v>0</v>
      </c>
      <c r="K23" s="11">
        <v>0</v>
      </c>
    </row>
    <row r="24" spans="1:11" x14ac:dyDescent="0.3">
      <c r="A24" s="9">
        <v>46192</v>
      </c>
      <c r="B24" s="10"/>
      <c r="C24" s="121"/>
      <c r="D24" s="121"/>
      <c r="E24" s="10"/>
      <c r="F24" s="10"/>
      <c r="G24" s="10"/>
      <c r="H24" s="10"/>
      <c r="I24" s="10">
        <v>0</v>
      </c>
      <c r="J24" s="10">
        <v>0</v>
      </c>
      <c r="K24" s="11">
        <v>0</v>
      </c>
    </row>
    <row r="25" spans="1:11" x14ac:dyDescent="0.3">
      <c r="A25" s="9">
        <v>46192</v>
      </c>
      <c r="B25" s="10"/>
      <c r="C25" s="121"/>
      <c r="D25" s="121"/>
      <c r="E25" s="10"/>
      <c r="F25" s="10"/>
      <c r="G25" s="10"/>
      <c r="H25" s="10"/>
      <c r="I25" s="10">
        <v>0</v>
      </c>
      <c r="J25" s="10">
        <v>0</v>
      </c>
      <c r="K25" s="11">
        <v>0</v>
      </c>
    </row>
    <row r="26" spans="1:11" x14ac:dyDescent="0.3">
      <c r="A26" s="296">
        <v>46195</v>
      </c>
      <c r="B26" s="297" t="s">
        <v>19</v>
      </c>
      <c r="C26" s="298" t="s">
        <v>104</v>
      </c>
      <c r="D26" s="298" t="s">
        <v>105</v>
      </c>
      <c r="E26" s="297">
        <v>3.7770000000000001</v>
      </c>
      <c r="F26" s="312">
        <v>4.7600000000000087</v>
      </c>
      <c r="G26" s="297">
        <v>4.7600000000000087</v>
      </c>
      <c r="H26" s="297">
        <v>0.19040000000000035</v>
      </c>
      <c r="I26" s="297">
        <v>-0.59899999999997178</v>
      </c>
      <c r="J26" s="297">
        <v>-3.3819999999999961</v>
      </c>
      <c r="K26" s="299">
        <v>-10.241999999999996</v>
      </c>
    </row>
    <row r="27" spans="1:11" x14ac:dyDescent="0.3">
      <c r="A27" s="296">
        <v>46195</v>
      </c>
      <c r="B27" s="297" t="s">
        <v>10</v>
      </c>
      <c r="C27" s="298" t="s">
        <v>105</v>
      </c>
      <c r="D27" s="298" t="s">
        <v>106</v>
      </c>
      <c r="E27" s="297">
        <v>3.8639999999999999</v>
      </c>
      <c r="F27" s="312">
        <v>8.6999999999999744</v>
      </c>
      <c r="G27" s="297">
        <v>13.459999999999983</v>
      </c>
      <c r="H27" s="297">
        <v>0.53839999999999932</v>
      </c>
      <c r="I27" s="297">
        <v>-1.3339999999999907</v>
      </c>
      <c r="J27" s="297">
        <v>-5.2170000000000272</v>
      </c>
      <c r="K27" s="299">
        <v>-14.507000000000003</v>
      </c>
    </row>
    <row r="28" spans="1:11" x14ac:dyDescent="0.3">
      <c r="A28" s="296">
        <v>46195</v>
      </c>
      <c r="B28" s="297" t="s">
        <v>12</v>
      </c>
      <c r="C28" s="298" t="s">
        <v>106</v>
      </c>
      <c r="D28" s="298" t="s">
        <v>108</v>
      </c>
      <c r="E28" s="297">
        <v>3.9550000000000001</v>
      </c>
      <c r="F28" s="312">
        <v>9.1000000000000192</v>
      </c>
      <c r="G28" s="297">
        <v>22.560000000000002</v>
      </c>
      <c r="H28" s="297">
        <v>0.90240000000000009</v>
      </c>
      <c r="I28" s="297">
        <v>-2.1150000000000002</v>
      </c>
      <c r="J28" s="297">
        <v>-6.0319999999999929</v>
      </c>
      <c r="K28" s="299">
        <v>-18.950000000000024</v>
      </c>
    </row>
    <row r="29" spans="1:11" x14ac:dyDescent="0.3">
      <c r="A29" s="296">
        <v>46195</v>
      </c>
      <c r="B29" s="297" t="s">
        <v>13</v>
      </c>
      <c r="C29" s="298" t="s">
        <v>108</v>
      </c>
      <c r="D29" s="298" t="s">
        <v>121</v>
      </c>
      <c r="E29" s="297">
        <v>4.0410000000000004</v>
      </c>
      <c r="F29" s="312">
        <v>8.6000000000000298</v>
      </c>
      <c r="G29" s="297">
        <v>31.160000000000032</v>
      </c>
      <c r="H29" s="297">
        <v>1.2464000000000013</v>
      </c>
      <c r="I29" s="297">
        <v>-3.4599999999999298</v>
      </c>
      <c r="J29" s="297">
        <v>-4.5399999999999885</v>
      </c>
      <c r="K29" s="299">
        <v>-19.419999999999948</v>
      </c>
    </row>
    <row r="30" spans="1:11" x14ac:dyDescent="0.3">
      <c r="A30" s="296">
        <v>46195</v>
      </c>
      <c r="B30" s="297" t="s">
        <v>14</v>
      </c>
      <c r="C30" s="298" t="s">
        <v>121</v>
      </c>
      <c r="D30" s="298" t="s">
        <v>123</v>
      </c>
      <c r="E30" s="297">
        <v>4.0890000000000004</v>
      </c>
      <c r="F30" s="312">
        <v>4.8000000000000043</v>
      </c>
      <c r="G30" s="297">
        <v>35.960000000000036</v>
      </c>
      <c r="H30" s="297">
        <v>1.4384000000000015</v>
      </c>
      <c r="I30" s="297">
        <v>-4.2609999999999815</v>
      </c>
      <c r="J30" s="297">
        <v>-4.2049999999999699</v>
      </c>
      <c r="K30" s="299">
        <v>-21.609000000000034</v>
      </c>
    </row>
    <row r="31" spans="1:11" x14ac:dyDescent="0.3">
      <c r="A31" s="296">
        <v>46195</v>
      </c>
      <c r="B31" s="297" t="s">
        <v>15</v>
      </c>
      <c r="C31" s="298" t="s">
        <v>123</v>
      </c>
      <c r="D31" s="298" t="s">
        <v>127</v>
      </c>
      <c r="E31" s="297">
        <v>4.1319999999999997</v>
      </c>
      <c r="F31" s="312">
        <v>4.2999999999999261</v>
      </c>
      <c r="G31" s="297">
        <v>40.259999999999962</v>
      </c>
      <c r="H31" s="297">
        <v>1.6103999999999985</v>
      </c>
      <c r="I31" s="297">
        <v>-4.3600000000000527</v>
      </c>
      <c r="J31" s="297">
        <v>-3.4500000000000419</v>
      </c>
      <c r="K31" s="299">
        <v>-22.794999999999987</v>
      </c>
    </row>
    <row r="32" spans="1:11" x14ac:dyDescent="0.3">
      <c r="A32" s="296">
        <v>46195</v>
      </c>
      <c r="B32" s="297" t="s">
        <v>16</v>
      </c>
      <c r="C32" s="298" t="s">
        <v>127</v>
      </c>
      <c r="D32" s="298" t="s">
        <v>146</v>
      </c>
      <c r="E32" s="297">
        <v>4.1559999999999997</v>
      </c>
      <c r="F32" s="312">
        <v>2.4000000000000021</v>
      </c>
      <c r="G32" s="297">
        <v>42.659999999999968</v>
      </c>
      <c r="H32" s="297">
        <v>1.7063999999999988</v>
      </c>
      <c r="I32" s="297">
        <v>-4.394000000000009</v>
      </c>
      <c r="J32" s="297">
        <v>-3.2700000000000173</v>
      </c>
      <c r="K32" s="299">
        <v>-24.089999999999989</v>
      </c>
    </row>
    <row r="33" spans="1:11" x14ac:dyDescent="0.3">
      <c r="A33" s="296">
        <v>46195</v>
      </c>
      <c r="B33" s="297" t="s">
        <v>18</v>
      </c>
      <c r="C33" s="298" t="s">
        <v>146</v>
      </c>
      <c r="D33" s="298" t="s">
        <v>151</v>
      </c>
      <c r="E33" s="297">
        <v>4.1580000000000004</v>
      </c>
      <c r="F33" s="312">
        <v>0.20000000000006679</v>
      </c>
      <c r="G33" s="297">
        <v>42.860000000000028</v>
      </c>
      <c r="H33" s="297">
        <v>1.714400000000001</v>
      </c>
      <c r="I33" s="297">
        <v>-4.6999999999999709</v>
      </c>
      <c r="J33" s="297" t="s">
        <v>41</v>
      </c>
      <c r="K33" s="299" t="s">
        <v>41</v>
      </c>
    </row>
    <row r="34" spans="1:11" x14ac:dyDescent="0.3">
      <c r="A34" s="296">
        <v>46195</v>
      </c>
      <c r="B34" s="297" t="s">
        <v>19</v>
      </c>
      <c r="C34" s="298" t="s">
        <v>151</v>
      </c>
      <c r="D34" s="298"/>
      <c r="E34" s="297"/>
      <c r="F34" s="297"/>
      <c r="G34" s="297"/>
      <c r="H34" s="297"/>
      <c r="I34" s="297" t="s">
        <v>41</v>
      </c>
      <c r="J34" s="297" t="s">
        <v>41</v>
      </c>
      <c r="K34" s="299" t="s">
        <v>41</v>
      </c>
    </row>
    <row r="35" spans="1:11" x14ac:dyDescent="0.3">
      <c r="A35" s="296">
        <v>46195</v>
      </c>
      <c r="B35" s="297"/>
      <c r="C35" s="298"/>
      <c r="D35" s="298"/>
      <c r="E35" s="297"/>
      <c r="F35" s="297"/>
      <c r="G35" s="297"/>
      <c r="H35" s="297"/>
      <c r="I35" s="297" t="s">
        <v>41</v>
      </c>
      <c r="J35" s="297">
        <v>0</v>
      </c>
      <c r="K35" s="299">
        <v>0</v>
      </c>
    </row>
    <row r="36" spans="1:11" x14ac:dyDescent="0.3">
      <c r="A36" s="296">
        <v>46195</v>
      </c>
      <c r="B36" s="297"/>
      <c r="C36" s="298"/>
      <c r="D36" s="298"/>
      <c r="E36" s="297"/>
      <c r="F36" s="297"/>
      <c r="G36" s="297"/>
      <c r="H36" s="297"/>
      <c r="I36" s="297" t="s">
        <v>41</v>
      </c>
      <c r="J36" s="297">
        <v>0</v>
      </c>
      <c r="K36" s="299">
        <v>0</v>
      </c>
    </row>
    <row r="37" spans="1:11" x14ac:dyDescent="0.3">
      <c r="A37" s="300">
        <v>46195</v>
      </c>
      <c r="B37" s="301"/>
      <c r="C37" s="302"/>
      <c r="D37" s="302"/>
      <c r="E37" s="301"/>
      <c r="F37" s="301"/>
      <c r="G37" s="301"/>
      <c r="H37" s="301"/>
      <c r="I37" s="301" t="s">
        <v>41</v>
      </c>
      <c r="J37" s="301">
        <v>0</v>
      </c>
      <c r="K37" s="303">
        <v>0</v>
      </c>
    </row>
    <row r="38" spans="1:11" x14ac:dyDescent="0.3">
      <c r="A38" s="296">
        <v>46196</v>
      </c>
      <c r="B38" s="297" t="s">
        <v>19</v>
      </c>
      <c r="C38" s="298" t="s">
        <v>104</v>
      </c>
      <c r="D38" s="298" t="s">
        <v>105</v>
      </c>
      <c r="E38" s="297">
        <v>3.7696800000000001</v>
      </c>
      <c r="F38" s="297">
        <v>4.0480000000000071</v>
      </c>
      <c r="G38" s="297">
        <v>4.0480000000000071</v>
      </c>
      <c r="H38" s="297">
        <v>0.16192000000000029</v>
      </c>
      <c r="I38" s="297">
        <v>-0.73199999999999932</v>
      </c>
      <c r="J38" s="297">
        <v>-3.9959999999999773</v>
      </c>
      <c r="K38" s="299">
        <v>-10.855999999999977</v>
      </c>
    </row>
    <row r="39" spans="1:11" x14ac:dyDescent="0.3">
      <c r="A39" s="296">
        <v>46196</v>
      </c>
      <c r="B39" s="297" t="s">
        <v>10</v>
      </c>
      <c r="C39" s="298" t="s">
        <v>105</v>
      </c>
      <c r="D39" s="298" t="s">
        <v>106</v>
      </c>
      <c r="E39" s="297">
        <v>3.8419500000000002</v>
      </c>
      <c r="F39" s="297">
        <v>7.2270000000000056</v>
      </c>
      <c r="G39" s="297">
        <v>11.275000000000013</v>
      </c>
      <c r="H39" s="297">
        <v>0.45100000000000051</v>
      </c>
      <c r="I39" s="297">
        <v>-2.2049999999999681</v>
      </c>
      <c r="J39" s="297">
        <v>-6.0049999999999937</v>
      </c>
      <c r="K39" s="299">
        <v>-15.29499999999997</v>
      </c>
    </row>
    <row r="40" spans="1:11" x14ac:dyDescent="0.3">
      <c r="A40" s="296">
        <v>46196</v>
      </c>
      <c r="B40" s="297" t="s">
        <v>12</v>
      </c>
      <c r="C40" s="298" t="s">
        <v>106</v>
      </c>
      <c r="D40" s="298" t="s">
        <v>108</v>
      </c>
      <c r="E40" s="297">
        <v>3.9215100000000001</v>
      </c>
      <c r="F40" s="297">
        <v>7.9559999999999853</v>
      </c>
      <c r="G40" s="297">
        <v>19.230999999999998</v>
      </c>
      <c r="H40" s="297">
        <v>0.76923999999999992</v>
      </c>
      <c r="I40" s="297">
        <v>-3.349000000000002</v>
      </c>
      <c r="J40" s="297">
        <v>-7.0310000000000095</v>
      </c>
      <c r="K40" s="299">
        <v>-19.949000000000041</v>
      </c>
    </row>
    <row r="41" spans="1:11" x14ac:dyDescent="0.3">
      <c r="A41" s="296">
        <v>46196</v>
      </c>
      <c r="B41" s="297" t="s">
        <v>13</v>
      </c>
      <c r="C41" s="298" t="s">
        <v>108</v>
      </c>
      <c r="D41" s="298" t="s">
        <v>121</v>
      </c>
      <c r="E41" s="297">
        <v>4.0029000000000003</v>
      </c>
      <c r="F41" s="297">
        <v>8.1390000000000295</v>
      </c>
      <c r="G41" s="297">
        <v>27.370000000000026</v>
      </c>
      <c r="H41" s="297">
        <v>1.0948000000000011</v>
      </c>
      <c r="I41" s="297">
        <v>-3.8100000000000023</v>
      </c>
      <c r="J41" s="297">
        <v>-5.3499999999999659</v>
      </c>
      <c r="K41" s="299">
        <v>-20.229999999999926</v>
      </c>
    </row>
    <row r="42" spans="1:11" x14ac:dyDescent="0.3">
      <c r="A42" s="296">
        <v>46196</v>
      </c>
      <c r="B42" s="297" t="s">
        <v>14</v>
      </c>
      <c r="C42" s="298" t="s">
        <v>121</v>
      </c>
      <c r="D42" s="298" t="s">
        <v>123</v>
      </c>
      <c r="E42" s="297">
        <v>4.0426099999999998</v>
      </c>
      <c r="F42" s="297">
        <v>3.9709999999999468</v>
      </c>
      <c r="G42" s="297">
        <v>31.340999999999973</v>
      </c>
      <c r="H42" s="297">
        <v>1.253639999999999</v>
      </c>
      <c r="I42" s="297">
        <v>-4.6390000000000597</v>
      </c>
      <c r="J42" s="297">
        <v>-5.1549999999999763</v>
      </c>
      <c r="K42" s="299">
        <v>-22.55900000000004</v>
      </c>
    </row>
    <row r="43" spans="1:11" x14ac:dyDescent="0.3">
      <c r="A43" s="296">
        <v>46196</v>
      </c>
      <c r="B43" s="297" t="s">
        <v>15</v>
      </c>
      <c r="C43" s="298" t="s">
        <v>123</v>
      </c>
      <c r="D43" s="298" t="s">
        <v>127</v>
      </c>
      <c r="E43" s="297">
        <v>4.0773999999999999</v>
      </c>
      <c r="F43" s="297">
        <v>3.4790000000000099</v>
      </c>
      <c r="G43" s="297">
        <v>34.819999999999986</v>
      </c>
      <c r="H43" s="297">
        <v>1.3927999999999994</v>
      </c>
      <c r="I43" s="297">
        <v>-5.459999999999976</v>
      </c>
      <c r="J43" s="297">
        <v>-4.3600000000000527</v>
      </c>
      <c r="K43" s="299">
        <v>-23.704999999999998</v>
      </c>
    </row>
    <row r="44" spans="1:11" x14ac:dyDescent="0.3">
      <c r="A44" s="296">
        <v>46196</v>
      </c>
      <c r="B44" s="297" t="s">
        <v>16</v>
      </c>
      <c r="C44" s="298" t="s">
        <v>127</v>
      </c>
      <c r="D44" s="298" t="s">
        <v>146</v>
      </c>
      <c r="E44" s="297">
        <v>4.0922999999999998</v>
      </c>
      <c r="F44" s="297">
        <v>1.4899999999999913</v>
      </c>
      <c r="G44" s="297">
        <v>36.309999999999974</v>
      </c>
      <c r="H44" s="297">
        <v>1.452399999999999</v>
      </c>
      <c r="I44" s="297">
        <v>-6.3699999999999868</v>
      </c>
      <c r="J44" s="297">
        <v>-4.3700000000000294</v>
      </c>
      <c r="K44" s="299">
        <v>-25.19</v>
      </c>
    </row>
    <row r="45" spans="1:11" x14ac:dyDescent="0.3">
      <c r="A45" s="296">
        <v>46196</v>
      </c>
      <c r="B45" s="297" t="s">
        <v>18</v>
      </c>
      <c r="C45" s="298" t="s">
        <v>146</v>
      </c>
      <c r="D45" s="298" t="s">
        <v>151</v>
      </c>
      <c r="E45" s="297">
        <v>4.0932000000000004</v>
      </c>
      <c r="F45" s="297">
        <v>9.0000000000056701E-2</v>
      </c>
      <c r="G45" s="297">
        <v>36.400000000000034</v>
      </c>
      <c r="H45" s="297">
        <v>1.4560000000000013</v>
      </c>
      <c r="I45" s="297">
        <v>-6.4799999999999969</v>
      </c>
      <c r="J45" s="297" t="s">
        <v>41</v>
      </c>
      <c r="K45" s="299" t="s">
        <v>41</v>
      </c>
    </row>
    <row r="46" spans="1:11" x14ac:dyDescent="0.3">
      <c r="A46" s="296">
        <v>46196</v>
      </c>
      <c r="B46" s="297" t="s">
        <v>19</v>
      </c>
      <c r="C46" s="298" t="s">
        <v>151</v>
      </c>
      <c r="D46" s="298"/>
      <c r="E46" s="297"/>
      <c r="F46" s="297"/>
      <c r="G46" s="297"/>
      <c r="H46" s="297"/>
      <c r="I46" s="297">
        <v>0</v>
      </c>
      <c r="J46" s="297" t="s">
        <v>41</v>
      </c>
      <c r="K46" s="299" t="s">
        <v>41</v>
      </c>
    </row>
    <row r="47" spans="1:11" x14ac:dyDescent="0.3">
      <c r="A47" s="296">
        <v>46196</v>
      </c>
      <c r="B47" s="297"/>
      <c r="C47" s="298"/>
      <c r="D47" s="298"/>
      <c r="E47" s="297"/>
      <c r="F47" s="297"/>
      <c r="G47" s="297"/>
      <c r="H47" s="297"/>
      <c r="I47" s="297">
        <v>0</v>
      </c>
      <c r="J47" s="297">
        <v>0</v>
      </c>
      <c r="K47" s="299">
        <v>0</v>
      </c>
    </row>
    <row r="48" spans="1:11" x14ac:dyDescent="0.3">
      <c r="A48" s="296">
        <v>46196</v>
      </c>
      <c r="B48" s="297"/>
      <c r="C48" s="298"/>
      <c r="D48" s="298"/>
      <c r="E48" s="297"/>
      <c r="F48" s="297"/>
      <c r="G48" s="297"/>
      <c r="H48" s="297"/>
      <c r="I48" s="297">
        <v>0</v>
      </c>
      <c r="J48" s="297">
        <v>0</v>
      </c>
      <c r="K48" s="299">
        <v>0</v>
      </c>
    </row>
    <row r="49" spans="1:11" x14ac:dyDescent="0.3">
      <c r="A49" s="300">
        <v>46196</v>
      </c>
      <c r="B49" s="301"/>
      <c r="C49" s="302"/>
      <c r="D49" s="302"/>
      <c r="E49" s="301"/>
      <c r="F49" s="301"/>
      <c r="G49" s="301"/>
      <c r="H49" s="301"/>
      <c r="I49" s="301">
        <v>0</v>
      </c>
      <c r="J49" s="301">
        <v>0</v>
      </c>
      <c r="K49" s="303">
        <v>0</v>
      </c>
    </row>
    <row r="50" spans="1:11" x14ac:dyDescent="0.3">
      <c r="A50" s="9">
        <v>46197</v>
      </c>
      <c r="B50" s="10" t="s">
        <v>19</v>
      </c>
      <c r="C50" s="121" t="s">
        <v>104</v>
      </c>
      <c r="D50" s="121" t="s">
        <v>105</v>
      </c>
      <c r="E50" s="10">
        <v>3.7650800000000002</v>
      </c>
      <c r="F50" s="10">
        <v>3.5580000000000389</v>
      </c>
      <c r="G50" s="10">
        <v>3.5580000000000389</v>
      </c>
      <c r="H50" s="10">
        <v>0.14232000000000156</v>
      </c>
      <c r="I50" s="10">
        <v>-0.45999999999999375</v>
      </c>
      <c r="J50" s="10">
        <v>-2.7109999999999967</v>
      </c>
      <c r="K50" s="11">
        <v>-10.496999999999979</v>
      </c>
    </row>
    <row r="51" spans="1:11" x14ac:dyDescent="0.3">
      <c r="A51" s="9">
        <v>46197</v>
      </c>
      <c r="B51" s="10" t="s">
        <v>10</v>
      </c>
      <c r="C51" s="121" t="s">
        <v>105</v>
      </c>
      <c r="D51" s="121" t="s">
        <v>106</v>
      </c>
      <c r="E51" s="10">
        <v>3.8392300000000001</v>
      </c>
      <c r="F51" s="10">
        <v>7.4149999999999938</v>
      </c>
      <c r="G51" s="10">
        <v>10.973000000000033</v>
      </c>
      <c r="H51" s="10">
        <v>0.43892000000000131</v>
      </c>
      <c r="I51" s="10">
        <v>-0.27200000000000557</v>
      </c>
      <c r="J51" s="10">
        <v>-3.8769999999999971</v>
      </c>
      <c r="K51" s="11">
        <v>-16.402000000000029</v>
      </c>
    </row>
    <row r="52" spans="1:11" x14ac:dyDescent="0.3">
      <c r="A52" s="9">
        <v>46197</v>
      </c>
      <c r="B52" s="10" t="s">
        <v>12</v>
      </c>
      <c r="C52" s="121" t="s">
        <v>106</v>
      </c>
      <c r="D52" s="121" t="s">
        <v>108</v>
      </c>
      <c r="E52" s="10">
        <v>3.9159899999999999</v>
      </c>
      <c r="F52" s="10">
        <v>7.6759999999999717</v>
      </c>
      <c r="G52" s="10">
        <v>18.649000000000004</v>
      </c>
      <c r="H52" s="10">
        <v>0.74596000000000018</v>
      </c>
      <c r="I52" s="10">
        <v>-0.55200000000001914</v>
      </c>
      <c r="J52" s="10">
        <v>-4.5200000000000351</v>
      </c>
      <c r="K52" s="11">
        <v>-21.623999999999999</v>
      </c>
    </row>
    <row r="53" spans="1:11" x14ac:dyDescent="0.3">
      <c r="A53" s="9">
        <v>46197</v>
      </c>
      <c r="B53" s="10" t="s">
        <v>13</v>
      </c>
      <c r="C53" s="121" t="s">
        <v>108</v>
      </c>
      <c r="D53" s="121" t="s">
        <v>121</v>
      </c>
      <c r="E53" s="10">
        <v>3.9841000000000002</v>
      </c>
      <c r="F53" s="10">
        <v>6.8110000000000337</v>
      </c>
      <c r="G53" s="10">
        <v>25.460000000000036</v>
      </c>
      <c r="H53" s="10">
        <v>1.0184000000000015</v>
      </c>
      <c r="I53" s="10">
        <v>-1.880000000000015</v>
      </c>
      <c r="J53" s="10">
        <v>-4.2349999999999444</v>
      </c>
      <c r="K53" s="11">
        <v>-22.655000000000001</v>
      </c>
    </row>
    <row r="54" spans="1:11" x14ac:dyDescent="0.3">
      <c r="A54" s="9">
        <v>46197</v>
      </c>
      <c r="B54" s="10" t="s">
        <v>14</v>
      </c>
      <c r="C54" s="121" t="s">
        <v>121</v>
      </c>
      <c r="D54" s="121" t="s">
        <v>123</v>
      </c>
      <c r="E54" s="10">
        <v>4.0137</v>
      </c>
      <c r="F54" s="10">
        <v>2.9599999999999849</v>
      </c>
      <c r="G54" s="10">
        <v>28.420000000000023</v>
      </c>
      <c r="H54" s="10">
        <v>1.1368000000000009</v>
      </c>
      <c r="I54" s="10">
        <v>-2.8909999999999769</v>
      </c>
      <c r="J54" s="10">
        <v>-4.4030000000000236</v>
      </c>
      <c r="K54" s="11">
        <v>-25.539999999999985</v>
      </c>
    </row>
    <row r="55" spans="1:11" x14ac:dyDescent="0.3">
      <c r="A55" s="9">
        <v>46197</v>
      </c>
      <c r="B55" s="10" t="s">
        <v>15</v>
      </c>
      <c r="C55" s="121" t="s">
        <v>123</v>
      </c>
      <c r="D55" s="121" t="s">
        <v>127</v>
      </c>
      <c r="E55" s="10">
        <v>4.0395599999999998</v>
      </c>
      <c r="F55" s="10">
        <v>2.5859999999999772</v>
      </c>
      <c r="G55" s="10">
        <v>31.006</v>
      </c>
      <c r="H55" s="10">
        <v>1.24024</v>
      </c>
      <c r="I55" s="10">
        <v>-3.7840000000000096</v>
      </c>
      <c r="J55" s="10">
        <v>-3.5969999999999835</v>
      </c>
      <c r="K55" s="11">
        <v>-27.149000000000001</v>
      </c>
    </row>
    <row r="56" spans="1:11" x14ac:dyDescent="0.3">
      <c r="A56" s="9">
        <v>46197</v>
      </c>
      <c r="B56" s="10" t="s">
        <v>16</v>
      </c>
      <c r="C56" s="121" t="s">
        <v>127</v>
      </c>
      <c r="D56" s="121" t="s">
        <v>146</v>
      </c>
      <c r="E56" s="10">
        <v>4.0494000000000003</v>
      </c>
      <c r="F56" s="10">
        <v>0.9840000000000515</v>
      </c>
      <c r="G56" s="10">
        <v>31.990000000000052</v>
      </c>
      <c r="H56" s="10">
        <v>1.2796000000000021</v>
      </c>
      <c r="I56" s="10">
        <v>-4.2899999999999494</v>
      </c>
      <c r="J56" s="10">
        <v>-3.3609999999999474</v>
      </c>
      <c r="K56" s="11">
        <v>-28.67999999999995</v>
      </c>
    </row>
    <row r="57" spans="1:11" x14ac:dyDescent="0.3">
      <c r="A57" s="9">
        <v>46197</v>
      </c>
      <c r="B57" s="10" t="s">
        <v>18</v>
      </c>
      <c r="C57" s="121" t="s">
        <v>146</v>
      </c>
      <c r="D57" s="121" t="s">
        <v>151</v>
      </c>
      <c r="E57" s="10">
        <v>4.0435999999999996</v>
      </c>
      <c r="F57" s="10">
        <v>-0.58000000000006935</v>
      </c>
      <c r="G57" s="10">
        <v>31.409999999999982</v>
      </c>
      <c r="H57" s="10">
        <v>1.2563999999999993</v>
      </c>
      <c r="I57" s="10">
        <v>-4.9600000000000755</v>
      </c>
      <c r="J57" s="10" t="s">
        <v>41</v>
      </c>
      <c r="K57" s="11" t="s">
        <v>41</v>
      </c>
    </row>
    <row r="58" spans="1:11" x14ac:dyDescent="0.3">
      <c r="A58" s="9">
        <v>46197</v>
      </c>
      <c r="B58" s="10" t="s">
        <v>19</v>
      </c>
      <c r="C58" s="121" t="s">
        <v>151</v>
      </c>
      <c r="D58" s="121"/>
      <c r="E58" s="10"/>
      <c r="F58" s="10"/>
      <c r="G58" s="10"/>
      <c r="H58" s="10"/>
      <c r="I58" s="10">
        <v>0</v>
      </c>
      <c r="J58" s="10" t="s">
        <v>41</v>
      </c>
      <c r="K58" s="11" t="s">
        <v>41</v>
      </c>
    </row>
    <row r="59" spans="1:11" x14ac:dyDescent="0.3">
      <c r="A59" s="9">
        <v>46197</v>
      </c>
      <c r="B59" s="10"/>
      <c r="C59" s="121"/>
      <c r="D59" s="121"/>
      <c r="E59" s="10"/>
      <c r="F59" s="10"/>
      <c r="G59" s="10"/>
      <c r="H59" s="10"/>
      <c r="I59" s="10">
        <v>0</v>
      </c>
      <c r="J59" s="10">
        <v>0</v>
      </c>
      <c r="K59" s="11">
        <v>0</v>
      </c>
    </row>
    <row r="60" spans="1:11" x14ac:dyDescent="0.3">
      <c r="A60" s="9">
        <v>46197</v>
      </c>
      <c r="B60" s="10"/>
      <c r="C60" s="121"/>
      <c r="D60" s="121"/>
      <c r="E60" s="10"/>
      <c r="F60" s="10"/>
      <c r="G60" s="10"/>
      <c r="H60" s="10"/>
      <c r="I60" s="10">
        <v>0</v>
      </c>
      <c r="J60" s="10">
        <v>0</v>
      </c>
      <c r="K60" s="11">
        <v>0</v>
      </c>
    </row>
    <row r="61" spans="1:11" x14ac:dyDescent="0.3">
      <c r="A61" s="291">
        <v>46197</v>
      </c>
      <c r="B61" s="292"/>
      <c r="C61" s="293"/>
      <c r="D61" s="293"/>
      <c r="E61" s="292"/>
      <c r="F61" s="292"/>
      <c r="G61" s="292"/>
      <c r="H61" s="292"/>
      <c r="I61" s="292">
        <v>0</v>
      </c>
      <c r="J61" s="292">
        <v>0</v>
      </c>
      <c r="K61" s="295">
        <v>0</v>
      </c>
    </row>
    <row r="62" spans="1:11" x14ac:dyDescent="0.3">
      <c r="A62" s="347">
        <v>46198</v>
      </c>
      <c r="B62" s="348" t="s">
        <v>19</v>
      </c>
      <c r="C62" s="349" t="s">
        <v>104</v>
      </c>
      <c r="D62" s="349" t="s">
        <v>105</v>
      </c>
      <c r="E62" s="348">
        <v>3.7629000000000001</v>
      </c>
      <c r="F62" s="348">
        <v>3.3900000000000041</v>
      </c>
      <c r="G62" s="348">
        <v>3.3900000000000041</v>
      </c>
      <c r="H62" s="348">
        <v>0.13560000000000016</v>
      </c>
      <c r="I62" s="348">
        <v>-0.21800000000000708</v>
      </c>
      <c r="J62" s="348">
        <v>-1.584999999999992</v>
      </c>
      <c r="K62" s="350">
        <v>-11.141999999999985</v>
      </c>
    </row>
    <row r="63" spans="1:11" x14ac:dyDescent="0.3">
      <c r="A63" s="347">
        <v>46198</v>
      </c>
      <c r="B63" s="348" t="s">
        <v>10</v>
      </c>
      <c r="C63" s="349" t="s">
        <v>105</v>
      </c>
      <c r="D63" s="349" t="s">
        <v>106</v>
      </c>
      <c r="E63" s="348">
        <v>3.8258999999999999</v>
      </c>
      <c r="F63" s="348">
        <v>6.2999999999999723</v>
      </c>
      <c r="G63" s="348">
        <v>9.6899999999999764</v>
      </c>
      <c r="H63" s="348">
        <v>0.38759999999999906</v>
      </c>
      <c r="I63" s="348">
        <v>-1.3330000000000286</v>
      </c>
      <c r="J63" s="348">
        <v>-3.7339999999999929</v>
      </c>
      <c r="K63" s="350">
        <v>-18.318000000000012</v>
      </c>
    </row>
    <row r="64" spans="1:11" x14ac:dyDescent="0.3">
      <c r="A64" s="347">
        <v>46198</v>
      </c>
      <c r="B64" s="348" t="s">
        <v>12</v>
      </c>
      <c r="C64" s="349" t="s">
        <v>106</v>
      </c>
      <c r="D64" s="349" t="s">
        <v>108</v>
      </c>
      <c r="E64" s="348">
        <v>3.8969999999999998</v>
      </c>
      <c r="F64" s="348">
        <v>7.1099999999999941</v>
      </c>
      <c r="G64" s="348">
        <v>16.799999999999969</v>
      </c>
      <c r="H64" s="348">
        <v>0.67199999999999871</v>
      </c>
      <c r="I64" s="348">
        <v>-1.8990000000000062</v>
      </c>
      <c r="J64" s="348">
        <v>-5.6760000000000144</v>
      </c>
      <c r="K64" s="350">
        <v>-24.33700000000001</v>
      </c>
    </row>
    <row r="65" spans="1:11" x14ac:dyDescent="0.3">
      <c r="A65" s="347">
        <v>46198</v>
      </c>
      <c r="B65" s="348" t="s">
        <v>13</v>
      </c>
      <c r="C65" s="349" t="s">
        <v>108</v>
      </c>
      <c r="D65" s="349" t="s">
        <v>121</v>
      </c>
      <c r="E65" s="348">
        <v>3.9532699999999998</v>
      </c>
      <c r="F65" s="348">
        <v>5.6270000000000042</v>
      </c>
      <c r="G65" s="348">
        <v>22.426999999999975</v>
      </c>
      <c r="H65" s="348">
        <v>0.89707999999999899</v>
      </c>
      <c r="I65" s="348">
        <v>-3.0830000000000357</v>
      </c>
      <c r="J65" s="348">
        <v>-8.1129999999999924</v>
      </c>
      <c r="K65" s="350">
        <v>-26.873000000000058</v>
      </c>
    </row>
    <row r="66" spans="1:11" x14ac:dyDescent="0.3">
      <c r="A66" s="347">
        <v>46198</v>
      </c>
      <c r="B66" s="348" t="s">
        <v>14</v>
      </c>
      <c r="C66" s="349" t="s">
        <v>121</v>
      </c>
      <c r="D66" s="349" t="s">
        <v>123</v>
      </c>
      <c r="E66" s="348">
        <v>3.9784999999999999</v>
      </c>
      <c r="F66" s="348">
        <v>2.5230000000000086</v>
      </c>
      <c r="G66" s="348">
        <v>24.949999999999982</v>
      </c>
      <c r="H66" s="348">
        <v>0.99799999999999922</v>
      </c>
      <c r="I66" s="348">
        <v>-3.520000000000012</v>
      </c>
      <c r="J66" s="348">
        <v>-9.7099999999999742</v>
      </c>
      <c r="K66" s="350">
        <v>-30.150000000000034</v>
      </c>
    </row>
    <row r="67" spans="1:11" x14ac:dyDescent="0.3">
      <c r="A67" s="347">
        <v>46198</v>
      </c>
      <c r="B67" s="348" t="s">
        <v>15</v>
      </c>
      <c r="C67" s="349" t="s">
        <v>123</v>
      </c>
      <c r="D67" s="349" t="s">
        <v>127</v>
      </c>
      <c r="E67" s="348">
        <v>3.9969999999999999</v>
      </c>
      <c r="F67" s="348">
        <v>1.8499999999999961</v>
      </c>
      <c r="G67" s="348">
        <v>26.799999999999979</v>
      </c>
      <c r="H67" s="348">
        <v>1.0719999999999992</v>
      </c>
      <c r="I67" s="348">
        <v>-4.2559999999999931</v>
      </c>
      <c r="J67" s="348">
        <v>-10.735000000000028</v>
      </c>
      <c r="K67" s="350">
        <v>-32.866000000000014</v>
      </c>
    </row>
    <row r="68" spans="1:11" x14ac:dyDescent="0.3">
      <c r="A68" s="347">
        <v>46198</v>
      </c>
      <c r="B68" s="348" t="s">
        <v>16</v>
      </c>
      <c r="C68" s="349" t="s">
        <v>127</v>
      </c>
      <c r="D68" s="349" t="s">
        <v>146</v>
      </c>
      <c r="E68" s="348">
        <v>4.0027499999999998</v>
      </c>
      <c r="F68" s="348">
        <v>0.57499999999999218</v>
      </c>
      <c r="G68" s="348">
        <v>27.374999999999972</v>
      </c>
      <c r="H68" s="348">
        <v>1.0949999999999989</v>
      </c>
      <c r="I68" s="348">
        <v>-4.6650000000000524</v>
      </c>
      <c r="J68" s="348">
        <v>-11.730000000000018</v>
      </c>
      <c r="K68" s="350">
        <v>-34.525000000000006</v>
      </c>
    </row>
    <row r="69" spans="1:11" x14ac:dyDescent="0.3">
      <c r="A69" s="347">
        <v>46198</v>
      </c>
      <c r="B69" s="348" t="s">
        <v>18</v>
      </c>
      <c r="C69" s="349" t="s">
        <v>146</v>
      </c>
      <c r="D69" s="349" t="s">
        <v>151</v>
      </c>
      <c r="E69" s="348">
        <v>3.9962</v>
      </c>
      <c r="F69" s="348">
        <v>-0.65499999999998337</v>
      </c>
      <c r="G69" s="348">
        <v>26.719999999999988</v>
      </c>
      <c r="H69" s="348">
        <v>1.0687999999999995</v>
      </c>
      <c r="I69" s="348">
        <v>-4.7399999999999665</v>
      </c>
      <c r="J69" s="348" t="s">
        <v>41</v>
      </c>
      <c r="K69" s="350" t="s">
        <v>41</v>
      </c>
    </row>
    <row r="70" spans="1:11" x14ac:dyDescent="0.3">
      <c r="A70" s="347">
        <v>46198</v>
      </c>
      <c r="B70" s="348" t="s">
        <v>19</v>
      </c>
      <c r="C70" s="349" t="s">
        <v>151</v>
      </c>
      <c r="D70" s="349"/>
      <c r="E70" s="348"/>
      <c r="F70" s="348"/>
      <c r="G70" s="348"/>
      <c r="H70" s="348"/>
      <c r="I70" s="348">
        <v>0</v>
      </c>
      <c r="J70" s="348" t="s">
        <v>41</v>
      </c>
      <c r="K70" s="350" t="s">
        <v>41</v>
      </c>
    </row>
    <row r="71" spans="1:11" x14ac:dyDescent="0.3">
      <c r="A71" s="347">
        <v>46198</v>
      </c>
      <c r="B71" s="348"/>
      <c r="C71" s="349"/>
      <c r="D71" s="349"/>
      <c r="E71" s="348"/>
      <c r="F71" s="348"/>
      <c r="G71" s="348"/>
      <c r="H71" s="348"/>
      <c r="I71" s="348">
        <v>0</v>
      </c>
      <c r="J71" s="348">
        <v>0</v>
      </c>
      <c r="K71" s="350">
        <v>0</v>
      </c>
    </row>
    <row r="72" spans="1:11" x14ac:dyDescent="0.3">
      <c r="A72" s="347">
        <v>46198</v>
      </c>
      <c r="B72" s="348"/>
      <c r="C72" s="349"/>
      <c r="D72" s="349"/>
      <c r="E72" s="348"/>
      <c r="F72" s="348"/>
      <c r="G72" s="348"/>
      <c r="H72" s="348"/>
      <c r="I72" s="348">
        <v>0</v>
      </c>
      <c r="J72" s="348">
        <v>0</v>
      </c>
      <c r="K72" s="350">
        <v>0</v>
      </c>
    </row>
    <row r="73" spans="1:11" x14ac:dyDescent="0.3">
      <c r="A73" s="347">
        <v>46198</v>
      </c>
      <c r="B73" s="348"/>
      <c r="C73" s="349"/>
      <c r="D73" s="349"/>
      <c r="E73" s="348"/>
      <c r="F73" s="348"/>
      <c r="G73" s="348"/>
      <c r="H73" s="348"/>
      <c r="I73" s="348">
        <v>0</v>
      </c>
      <c r="J73" s="348">
        <v>0</v>
      </c>
      <c r="K73" s="350">
        <v>0</v>
      </c>
    </row>
    <row r="74" spans="1:11" x14ac:dyDescent="0.3">
      <c r="A74" s="347">
        <v>46199</v>
      </c>
      <c r="B74" s="348" t="s">
        <v>19</v>
      </c>
      <c r="C74" s="349" t="s">
        <v>104</v>
      </c>
      <c r="D74" s="349" t="s">
        <v>105</v>
      </c>
      <c r="E74" s="348">
        <v>3.7649699999999999</v>
      </c>
      <c r="F74" s="348">
        <v>3.6270000000000024</v>
      </c>
      <c r="G74" s="348">
        <v>3.6270000000000024</v>
      </c>
      <c r="H74" s="348">
        <v>0.1450800000000001</v>
      </c>
      <c r="I74" s="348">
        <v>0.20699999999997942</v>
      </c>
      <c r="J74" s="348">
        <v>-1.8019999999999925</v>
      </c>
      <c r="K74" s="350">
        <v>-10.922000000000009</v>
      </c>
    </row>
    <row r="75" spans="1:11" x14ac:dyDescent="0.3">
      <c r="A75" s="347">
        <v>46199</v>
      </c>
      <c r="B75" s="348" t="s">
        <v>10</v>
      </c>
      <c r="C75" s="349" t="s">
        <v>105</v>
      </c>
      <c r="D75" s="349" t="s">
        <v>106</v>
      </c>
      <c r="E75" s="348">
        <v>3.8292700000000002</v>
      </c>
      <c r="F75" s="348">
        <v>6.4300000000000246</v>
      </c>
      <c r="G75" s="348">
        <v>10.057000000000027</v>
      </c>
      <c r="H75" s="348">
        <v>0.40228000000000108</v>
      </c>
      <c r="I75" s="348">
        <v>0.33700000000003172</v>
      </c>
      <c r="J75" s="348">
        <v>-4.8069999999999613</v>
      </c>
      <c r="K75" s="350">
        <v>-16.079000000000001</v>
      </c>
    </row>
    <row r="76" spans="1:11" x14ac:dyDescent="0.3">
      <c r="A76" s="347">
        <v>46199</v>
      </c>
      <c r="B76" s="348" t="s">
        <v>12</v>
      </c>
      <c r="C76" s="349" t="s">
        <v>106</v>
      </c>
      <c r="D76" s="349" t="s">
        <v>108</v>
      </c>
      <c r="E76" s="348">
        <v>3.9039600000000001</v>
      </c>
      <c r="F76" s="348">
        <v>7.4689999999999923</v>
      </c>
      <c r="G76" s="348">
        <v>17.526000000000018</v>
      </c>
      <c r="H76" s="348">
        <v>0.70104000000000066</v>
      </c>
      <c r="I76" s="348">
        <v>0.69600000000002993</v>
      </c>
      <c r="J76" s="348">
        <v>-7.2189999999999976</v>
      </c>
      <c r="K76" s="350">
        <v>-20.550999999999988</v>
      </c>
    </row>
    <row r="77" spans="1:11" x14ac:dyDescent="0.3">
      <c r="A77" s="347">
        <v>46199</v>
      </c>
      <c r="B77" s="348" t="s">
        <v>13</v>
      </c>
      <c r="C77" s="349" t="s">
        <v>108</v>
      </c>
      <c r="D77" s="349" t="s">
        <v>121</v>
      </c>
      <c r="E77" s="348">
        <v>3.95885</v>
      </c>
      <c r="F77" s="348">
        <v>5.4889999999999883</v>
      </c>
      <c r="G77" s="348">
        <v>23.015000000000008</v>
      </c>
      <c r="H77" s="348">
        <v>0.92060000000000031</v>
      </c>
      <c r="I77" s="348">
        <v>0.55800000000001404</v>
      </c>
      <c r="J77" s="348">
        <v>-11.674999999999969</v>
      </c>
      <c r="K77" s="350">
        <v>-21.340000000000003</v>
      </c>
    </row>
    <row r="78" spans="1:11" x14ac:dyDescent="0.3">
      <c r="A78" s="347">
        <v>46199</v>
      </c>
      <c r="B78" s="348" t="s">
        <v>14</v>
      </c>
      <c r="C78" s="349" t="s">
        <v>121</v>
      </c>
      <c r="D78" s="349" t="s">
        <v>123</v>
      </c>
      <c r="E78" s="348">
        <v>3.9839899999999999</v>
      </c>
      <c r="F78" s="348">
        <v>2.513999999999994</v>
      </c>
      <c r="G78" s="348">
        <v>25.529000000000003</v>
      </c>
      <c r="H78" s="348">
        <v>1.0211600000000001</v>
      </c>
      <c r="I78" s="348">
        <v>0.54899999999999949</v>
      </c>
      <c r="J78" s="348">
        <v>-14.762000000000031</v>
      </c>
      <c r="K78" s="350">
        <v>-23.600999999999985</v>
      </c>
    </row>
    <row r="79" spans="1:11" x14ac:dyDescent="0.3">
      <c r="A79" s="347">
        <v>46199</v>
      </c>
      <c r="B79" s="348" t="s">
        <v>15</v>
      </c>
      <c r="C79" s="349" t="s">
        <v>123</v>
      </c>
      <c r="D79" s="349" t="s">
        <v>127</v>
      </c>
      <c r="E79" s="348">
        <v>4.0068299999999999</v>
      </c>
      <c r="F79" s="348">
        <v>2.2839999999999971</v>
      </c>
      <c r="G79" s="348">
        <v>27.812999999999999</v>
      </c>
      <c r="H79" s="348">
        <v>1.11252</v>
      </c>
      <c r="I79" s="348">
        <v>0.98300000000000054</v>
      </c>
      <c r="J79" s="348">
        <v>-16.877000000000031</v>
      </c>
      <c r="K79" s="350">
        <v>-24.643000000000015</v>
      </c>
    </row>
    <row r="80" spans="1:11" x14ac:dyDescent="0.3">
      <c r="A80" s="347">
        <v>46199</v>
      </c>
      <c r="B80" s="348" t="s">
        <v>16</v>
      </c>
      <c r="C80" s="349" t="s">
        <v>127</v>
      </c>
      <c r="D80" s="349" t="s">
        <v>146</v>
      </c>
      <c r="E80" s="348">
        <v>4.0156999999999998</v>
      </c>
      <c r="F80" s="348">
        <v>0.88699999999999335</v>
      </c>
      <c r="G80" s="348">
        <v>28.699999999999992</v>
      </c>
      <c r="H80" s="348">
        <v>1.1479999999999997</v>
      </c>
      <c r="I80" s="348">
        <v>1.2950000000000017</v>
      </c>
      <c r="J80" s="348">
        <v>-18.423999999999996</v>
      </c>
      <c r="K80" s="350">
        <v>-25.755999999999979</v>
      </c>
    </row>
    <row r="81" spans="1:11" x14ac:dyDescent="0.3">
      <c r="A81" s="347">
        <v>46199</v>
      </c>
      <c r="B81" s="348" t="s">
        <v>18</v>
      </c>
      <c r="C81" s="349" t="s">
        <v>146</v>
      </c>
      <c r="D81" s="349" t="s">
        <v>151</v>
      </c>
      <c r="E81" s="348">
        <v>4.0095599999999996</v>
      </c>
      <c r="F81" s="348">
        <v>-0.61400000000002564</v>
      </c>
      <c r="G81" s="348">
        <v>28.085999999999967</v>
      </c>
      <c r="H81" s="348">
        <v>1.1234399999999987</v>
      </c>
      <c r="I81" s="348">
        <v>1.3359999999999594</v>
      </c>
      <c r="J81" s="348">
        <v>-19.54400000000005</v>
      </c>
      <c r="K81" s="350" t="s">
        <v>41</v>
      </c>
    </row>
    <row r="82" spans="1:11" x14ac:dyDescent="0.3">
      <c r="A82" s="347">
        <v>46199</v>
      </c>
      <c r="B82" s="348" t="s">
        <v>19</v>
      </c>
      <c r="C82" s="349" t="s">
        <v>151</v>
      </c>
      <c r="D82" s="349"/>
      <c r="E82" s="348"/>
      <c r="F82" s="348"/>
      <c r="G82" s="348"/>
      <c r="H82" s="348"/>
      <c r="I82" s="348">
        <v>0</v>
      </c>
      <c r="J82" s="348">
        <v>0</v>
      </c>
      <c r="K82" s="350" t="s">
        <v>41</v>
      </c>
    </row>
    <row r="83" spans="1:11" x14ac:dyDescent="0.3">
      <c r="A83" s="347">
        <v>46199</v>
      </c>
      <c r="B83" s="348"/>
      <c r="C83" s="349"/>
      <c r="D83" s="349"/>
      <c r="E83" s="348"/>
      <c r="F83" s="348"/>
      <c r="G83" s="348"/>
      <c r="H83" s="348"/>
      <c r="I83" s="348">
        <v>0</v>
      </c>
      <c r="J83" s="348">
        <v>0</v>
      </c>
      <c r="K83" s="350">
        <v>0</v>
      </c>
    </row>
    <row r="84" spans="1:11" x14ac:dyDescent="0.3">
      <c r="A84" s="347">
        <v>46199</v>
      </c>
      <c r="B84" s="348"/>
      <c r="C84" s="349"/>
      <c r="D84" s="349"/>
      <c r="E84" s="348"/>
      <c r="F84" s="348"/>
      <c r="G84" s="348"/>
      <c r="H84" s="348"/>
      <c r="I84" s="348">
        <v>0</v>
      </c>
      <c r="J84" s="348">
        <v>0</v>
      </c>
      <c r="K84" s="350">
        <v>0</v>
      </c>
    </row>
    <row r="85" spans="1:11" x14ac:dyDescent="0.3">
      <c r="A85" s="351">
        <v>46199</v>
      </c>
      <c r="B85" s="352"/>
      <c r="C85" s="353"/>
      <c r="D85" s="353"/>
      <c r="E85" s="352"/>
      <c r="F85" s="352"/>
      <c r="G85" s="352"/>
      <c r="H85" s="352"/>
      <c r="I85" s="352">
        <v>0</v>
      </c>
      <c r="J85" s="352">
        <v>0</v>
      </c>
      <c r="K85" s="354">
        <v>0</v>
      </c>
    </row>
    <row r="86" spans="1:11" x14ac:dyDescent="0.3">
      <c r="A86" s="9">
        <v>46202</v>
      </c>
      <c r="B86" s="10" t="s">
        <v>19</v>
      </c>
      <c r="C86" s="121" t="s">
        <v>104</v>
      </c>
      <c r="D86" s="121" t="s">
        <v>105</v>
      </c>
      <c r="E86" s="10">
        <v>3.7621799999999999</v>
      </c>
      <c r="F86" s="10">
        <v>3.3179999999999765</v>
      </c>
      <c r="G86" s="10">
        <v>3.3179999999999765</v>
      </c>
      <c r="H86" s="10">
        <v>0.13271999999999906</v>
      </c>
      <c r="I86" s="10">
        <v>-0.27900000000000702</v>
      </c>
      <c r="J86" s="10">
        <v>-1.4820000000000277</v>
      </c>
      <c r="K86" s="11">
        <v>-5.9439999999999937</v>
      </c>
    </row>
    <row r="87" spans="1:11" x14ac:dyDescent="0.3">
      <c r="A87" s="9">
        <v>46202</v>
      </c>
      <c r="B87" s="10" t="s">
        <v>10</v>
      </c>
      <c r="C87" s="121" t="s">
        <v>105</v>
      </c>
      <c r="D87" s="121" t="s">
        <v>106</v>
      </c>
      <c r="E87" s="10">
        <v>3.8248899999999999</v>
      </c>
      <c r="F87" s="10">
        <v>6.2710000000000043</v>
      </c>
      <c r="G87" s="10">
        <v>9.5889999999999809</v>
      </c>
      <c r="H87" s="10">
        <v>0.38355999999999923</v>
      </c>
      <c r="I87" s="10">
        <v>-0.43800000000002726</v>
      </c>
      <c r="J87" s="10">
        <v>-3.9109999999999978</v>
      </c>
      <c r="K87" s="11">
        <v>-8.5580000000000211</v>
      </c>
    </row>
    <row r="88" spans="1:11" x14ac:dyDescent="0.3">
      <c r="A88" s="9">
        <v>46202</v>
      </c>
      <c r="B88" s="10" t="s">
        <v>12</v>
      </c>
      <c r="C88" s="121" t="s">
        <v>106</v>
      </c>
      <c r="D88" s="121" t="s">
        <v>108</v>
      </c>
      <c r="E88" s="10">
        <v>3.9024200000000002</v>
      </c>
      <c r="F88" s="10">
        <v>7.7530000000000321</v>
      </c>
      <c r="G88" s="10">
        <v>17.342000000000013</v>
      </c>
      <c r="H88" s="10">
        <v>0.69368000000000052</v>
      </c>
      <c r="I88" s="10">
        <v>-0.15399999999998748</v>
      </c>
      <c r="J88" s="10">
        <v>-5.2579999999999849</v>
      </c>
      <c r="K88" s="11">
        <v>-10.587999999999997</v>
      </c>
    </row>
    <row r="89" spans="1:11" x14ac:dyDescent="0.3">
      <c r="A89" s="9">
        <v>46202</v>
      </c>
      <c r="B89" s="10" t="s">
        <v>13</v>
      </c>
      <c r="C89" s="121" t="s">
        <v>108</v>
      </c>
      <c r="D89" s="121" t="s">
        <v>121</v>
      </c>
      <c r="E89" s="10">
        <v>3.9636999999999998</v>
      </c>
      <c r="F89" s="10">
        <v>6.1279999999999557</v>
      </c>
      <c r="G89" s="10">
        <v>23.46999999999997</v>
      </c>
      <c r="H89" s="10">
        <v>0.93879999999999886</v>
      </c>
      <c r="I89" s="10">
        <v>0.48499999999997989</v>
      </c>
      <c r="J89" s="10">
        <v>-7.730000000000059</v>
      </c>
      <c r="K89" s="11">
        <v>-8.9110000000000245</v>
      </c>
    </row>
    <row r="90" spans="1:11" x14ac:dyDescent="0.3">
      <c r="A90" s="9">
        <v>46202</v>
      </c>
      <c r="B90" s="10" t="s">
        <v>14</v>
      </c>
      <c r="C90" s="121" t="s">
        <v>121</v>
      </c>
      <c r="D90" s="121" t="s">
        <v>123</v>
      </c>
      <c r="E90" s="10">
        <v>3.9950700000000001</v>
      </c>
      <c r="F90" s="10">
        <v>3.1370000000000342</v>
      </c>
      <c r="G90" s="10">
        <v>26.607000000000003</v>
      </c>
      <c r="H90" s="10">
        <v>1.0642800000000001</v>
      </c>
      <c r="I90" s="10">
        <v>1.1080000000000201</v>
      </c>
      <c r="J90" s="10">
        <v>-9.3930000000000291</v>
      </c>
      <c r="K90" s="11">
        <v>-8.7839999999999918</v>
      </c>
    </row>
    <row r="91" spans="1:11" x14ac:dyDescent="0.3">
      <c r="A91" s="9">
        <v>46202</v>
      </c>
      <c r="B91" s="10" t="s">
        <v>15</v>
      </c>
      <c r="C91" s="121" t="s">
        <v>123</v>
      </c>
      <c r="D91" s="121" t="s">
        <v>127</v>
      </c>
      <c r="E91" s="10">
        <v>4.0234899999999998</v>
      </c>
      <c r="F91" s="10">
        <v>2.8419999999999668</v>
      </c>
      <c r="G91" s="10">
        <v>29.44899999999997</v>
      </c>
      <c r="H91" s="10">
        <v>1.1779599999999988</v>
      </c>
      <c r="I91" s="10">
        <v>1.6659999999999897</v>
      </c>
      <c r="J91" s="10">
        <v>-10.850999999999988</v>
      </c>
      <c r="K91" s="11">
        <v>-7.950999999999997</v>
      </c>
    </row>
    <row r="92" spans="1:11" x14ac:dyDescent="0.3">
      <c r="A92" s="9">
        <v>46202</v>
      </c>
      <c r="B92" s="10" t="s">
        <v>16</v>
      </c>
      <c r="C92" s="121" t="s">
        <v>127</v>
      </c>
      <c r="D92" s="121" t="s">
        <v>146</v>
      </c>
      <c r="E92" s="10">
        <v>4.0335000000000001</v>
      </c>
      <c r="F92" s="10">
        <v>1.0010000000000296</v>
      </c>
      <c r="G92" s="10">
        <v>30.45</v>
      </c>
      <c r="H92" s="10">
        <v>1.218</v>
      </c>
      <c r="I92" s="10">
        <v>1.780000000000026</v>
      </c>
      <c r="J92" s="10">
        <v>-12.249999999999961</v>
      </c>
      <c r="K92" s="11">
        <v>-8.1500000000000128</v>
      </c>
    </row>
    <row r="93" spans="1:11" x14ac:dyDescent="0.3">
      <c r="A93" s="9">
        <v>46202</v>
      </c>
      <c r="B93" s="10" t="s">
        <v>18</v>
      </c>
      <c r="C93" s="121" t="s">
        <v>146</v>
      </c>
      <c r="D93" s="121" t="s">
        <v>151</v>
      </c>
      <c r="E93" s="10">
        <v>4.0265000000000004</v>
      </c>
      <c r="F93" s="10">
        <v>-0.69999999999996732</v>
      </c>
      <c r="G93" s="10">
        <v>29.750000000000032</v>
      </c>
      <c r="H93" s="10">
        <v>1.1900000000000013</v>
      </c>
      <c r="I93" s="10">
        <v>1.6940000000000843</v>
      </c>
      <c r="J93" s="10">
        <v>-13.149999999999995</v>
      </c>
      <c r="K93" s="11" t="s">
        <v>41</v>
      </c>
    </row>
    <row r="94" spans="1:11" x14ac:dyDescent="0.3">
      <c r="A94" s="9">
        <v>46202</v>
      </c>
      <c r="B94" s="10" t="s">
        <v>19</v>
      </c>
      <c r="C94" s="121" t="s">
        <v>151</v>
      </c>
      <c r="D94" s="121"/>
      <c r="E94" s="10"/>
      <c r="F94" s="10"/>
      <c r="G94" s="10"/>
      <c r="H94" s="10"/>
      <c r="I94" s="10">
        <v>0</v>
      </c>
      <c r="J94" s="10">
        <v>0</v>
      </c>
      <c r="K94" s="11" t="s">
        <v>41</v>
      </c>
    </row>
    <row r="95" spans="1:11" x14ac:dyDescent="0.3">
      <c r="A95" s="9">
        <v>46202</v>
      </c>
      <c r="B95" s="10"/>
      <c r="C95" s="121"/>
      <c r="D95" s="121"/>
      <c r="E95" s="10"/>
      <c r="F95" s="10"/>
      <c r="G95" s="10"/>
      <c r="H95" s="10"/>
      <c r="I95" s="10">
        <v>0</v>
      </c>
      <c r="J95" s="10">
        <v>0</v>
      </c>
      <c r="K95" s="11">
        <v>0</v>
      </c>
    </row>
    <row r="96" spans="1:11" x14ac:dyDescent="0.3">
      <c r="A96" s="9">
        <v>46202</v>
      </c>
      <c r="B96" s="10"/>
      <c r="C96" s="121"/>
      <c r="D96" s="121"/>
      <c r="E96" s="10"/>
      <c r="F96" s="10"/>
      <c r="G96" s="10"/>
      <c r="H96" s="10"/>
      <c r="I96" s="10">
        <v>0</v>
      </c>
      <c r="J96" s="10">
        <v>0</v>
      </c>
      <c r="K96" s="11">
        <v>0</v>
      </c>
    </row>
    <row r="97" spans="1:11" x14ac:dyDescent="0.3">
      <c r="A97" s="9">
        <v>46202</v>
      </c>
      <c r="B97" s="10"/>
      <c r="C97" s="121"/>
      <c r="D97" s="121"/>
      <c r="E97" s="10"/>
      <c r="F97" s="10"/>
      <c r="G97" s="10"/>
      <c r="H97" s="10"/>
      <c r="I97" s="10">
        <v>0</v>
      </c>
      <c r="J97" s="10">
        <v>0</v>
      </c>
      <c r="K97" s="11">
        <v>0</v>
      </c>
    </row>
    <row r="98" spans="1:11" x14ac:dyDescent="0.3">
      <c r="A98" s="9">
        <v>46203</v>
      </c>
      <c r="B98" s="10" t="s">
        <v>19</v>
      </c>
      <c r="C98" s="121" t="s">
        <v>104</v>
      </c>
      <c r="D98" s="121" t="s">
        <v>105</v>
      </c>
      <c r="E98" s="10">
        <v>3.7615799999999999</v>
      </c>
      <c r="F98" s="10">
        <v>3.2379999999999853</v>
      </c>
      <c r="G98" s="10">
        <v>3.2379999999999853</v>
      </c>
      <c r="H98" s="10">
        <v>0.12951999999999941</v>
      </c>
      <c r="I98" s="10">
        <v>-5.9999999999993392E-2</v>
      </c>
      <c r="J98" s="10">
        <v>-0.81000000000002181</v>
      </c>
      <c r="K98" s="11">
        <v>-9.7090000000000121</v>
      </c>
    </row>
    <row r="99" spans="1:11" x14ac:dyDescent="0.3">
      <c r="A99" s="9">
        <v>46203</v>
      </c>
      <c r="B99" s="10" t="s">
        <v>10</v>
      </c>
      <c r="C99" s="121" t="s">
        <v>105</v>
      </c>
      <c r="D99" s="121" t="s">
        <v>106</v>
      </c>
      <c r="E99" s="10">
        <v>3.82762</v>
      </c>
      <c r="F99" s="10">
        <v>6.6040000000000099</v>
      </c>
      <c r="G99" s="10">
        <v>9.8419999999999952</v>
      </c>
      <c r="H99" s="10">
        <v>0.39367999999999981</v>
      </c>
      <c r="I99" s="10">
        <v>0.27300000000001212</v>
      </c>
      <c r="J99" s="10">
        <v>-1.4330000000000176</v>
      </c>
      <c r="K99" s="11">
        <v>-13.407999999999998</v>
      </c>
    </row>
    <row r="100" spans="1:11" x14ac:dyDescent="0.3">
      <c r="A100" s="9">
        <v>46203</v>
      </c>
      <c r="B100" s="10" t="s">
        <v>12</v>
      </c>
      <c r="C100" s="121" t="s">
        <v>106</v>
      </c>
      <c r="D100" s="121" t="s">
        <v>108</v>
      </c>
      <c r="E100" s="10">
        <v>3.9020000000000001</v>
      </c>
      <c r="F100" s="10">
        <v>7.4380000000000113</v>
      </c>
      <c r="G100" s="10">
        <v>17.280000000000008</v>
      </c>
      <c r="H100" s="10">
        <v>0.69120000000000037</v>
      </c>
      <c r="I100" s="10">
        <v>-4.2000000000008697E-2</v>
      </c>
      <c r="J100" s="10">
        <v>-1.9509999999999916</v>
      </c>
      <c r="K100" s="11">
        <v>-16.999999999999993</v>
      </c>
    </row>
    <row r="101" spans="1:11" x14ac:dyDescent="0.3">
      <c r="A101" s="9">
        <v>46203</v>
      </c>
      <c r="B101" s="10" t="s">
        <v>13</v>
      </c>
      <c r="C101" s="121" t="s">
        <v>108</v>
      </c>
      <c r="D101" s="121" t="s">
        <v>121</v>
      </c>
      <c r="E101" s="10">
        <v>3.9616500000000001</v>
      </c>
      <c r="F101" s="10">
        <v>5.9649999999999981</v>
      </c>
      <c r="G101" s="10">
        <v>23.245000000000005</v>
      </c>
      <c r="H101" s="10">
        <v>0.92980000000000018</v>
      </c>
      <c r="I101" s="10">
        <v>-0.20499999999996632</v>
      </c>
      <c r="J101" s="10">
        <v>-4.1250000000000231</v>
      </c>
      <c r="K101" s="11">
        <v>-16.606999999999992</v>
      </c>
    </row>
    <row r="102" spans="1:11" x14ac:dyDescent="0.3">
      <c r="A102" s="9">
        <v>46203</v>
      </c>
      <c r="B102" s="10" t="s">
        <v>14</v>
      </c>
      <c r="C102" s="121" t="s">
        <v>121</v>
      </c>
      <c r="D102" s="121" t="s">
        <v>123</v>
      </c>
      <c r="E102" s="10">
        <v>3.9980000000000002</v>
      </c>
      <c r="F102" s="10">
        <v>3.6350000000000104</v>
      </c>
      <c r="G102" s="10">
        <v>26.880000000000017</v>
      </c>
      <c r="H102" s="10">
        <v>1.0752000000000006</v>
      </c>
      <c r="I102" s="10">
        <v>0.29300000000000992</v>
      </c>
      <c r="J102" s="10">
        <v>-4.4609999999999594</v>
      </c>
      <c r="K102" s="11">
        <v>-16.943000000000019</v>
      </c>
    </row>
    <row r="103" spans="1:11" x14ac:dyDescent="0.3">
      <c r="A103" s="9">
        <v>46203</v>
      </c>
      <c r="B103" s="10" t="s">
        <v>15</v>
      </c>
      <c r="C103" s="121" t="s">
        <v>123</v>
      </c>
      <c r="D103" s="121" t="s">
        <v>127</v>
      </c>
      <c r="E103" s="10">
        <v>4.0323500000000001</v>
      </c>
      <c r="F103" s="10">
        <v>3.4349999999999881</v>
      </c>
      <c r="G103" s="10">
        <v>30.315000000000005</v>
      </c>
      <c r="H103" s="10">
        <v>1.2126000000000001</v>
      </c>
      <c r="I103" s="10">
        <v>0.88600000000003121</v>
      </c>
      <c r="J103" s="10">
        <v>-4.5049999999999812</v>
      </c>
      <c r="K103" s="11">
        <v>-16.155000000000008</v>
      </c>
    </row>
    <row r="104" spans="1:11" x14ac:dyDescent="0.3">
      <c r="A104" s="9">
        <v>46203</v>
      </c>
      <c r="B104" s="10" t="s">
        <v>16</v>
      </c>
      <c r="C104" s="121" t="s">
        <v>127</v>
      </c>
      <c r="D104" s="121" t="s">
        <v>146</v>
      </c>
      <c r="E104" s="10">
        <v>4.048</v>
      </c>
      <c r="F104" s="10">
        <v>1.5649999999999942</v>
      </c>
      <c r="G104" s="10">
        <v>31.879999999999995</v>
      </c>
      <c r="H104" s="10">
        <v>1.2751999999999999</v>
      </c>
      <c r="I104" s="10">
        <v>1.4499999999999957</v>
      </c>
      <c r="J104" s="10">
        <v>-4.4299999999999784</v>
      </c>
      <c r="K104" s="11">
        <v>-15.949999999999953</v>
      </c>
    </row>
    <row r="105" spans="1:11" x14ac:dyDescent="0.3">
      <c r="A105" s="9">
        <v>46203</v>
      </c>
      <c r="B105" s="10" t="s">
        <v>18</v>
      </c>
      <c r="C105" s="121" t="s">
        <v>146</v>
      </c>
      <c r="D105" s="121" t="s">
        <v>151</v>
      </c>
      <c r="E105" s="10">
        <v>4.048</v>
      </c>
      <c r="F105" s="10">
        <v>0</v>
      </c>
      <c r="G105" s="10">
        <v>31.879999999999995</v>
      </c>
      <c r="H105" s="10">
        <v>1.2751999999999999</v>
      </c>
      <c r="I105" s="10">
        <v>2.1499999999999631</v>
      </c>
      <c r="J105" s="10">
        <v>-4.5200000000000351</v>
      </c>
      <c r="K105" s="11" t="s">
        <v>41</v>
      </c>
    </row>
    <row r="106" spans="1:11" x14ac:dyDescent="0.3">
      <c r="A106" s="9">
        <v>46203</v>
      </c>
      <c r="B106" s="10" t="s">
        <v>19</v>
      </c>
      <c r="C106" s="121" t="s">
        <v>151</v>
      </c>
      <c r="D106" s="121"/>
      <c r="E106" s="10"/>
      <c r="F106" s="10"/>
      <c r="G106" s="10"/>
      <c r="H106" s="10"/>
      <c r="I106" s="10">
        <v>0</v>
      </c>
      <c r="J106" s="10">
        <v>0</v>
      </c>
      <c r="K106" s="11" t="s">
        <v>41</v>
      </c>
    </row>
    <row r="107" spans="1:11" x14ac:dyDescent="0.3">
      <c r="A107" s="9">
        <v>46203</v>
      </c>
      <c r="B107" s="10"/>
      <c r="C107" s="121"/>
      <c r="D107" s="121"/>
      <c r="E107" s="10"/>
      <c r="F107" s="10"/>
      <c r="G107" s="10"/>
      <c r="H107" s="10"/>
      <c r="I107" s="10">
        <v>0</v>
      </c>
      <c r="J107" s="10">
        <v>0</v>
      </c>
      <c r="K107" s="11">
        <v>0</v>
      </c>
    </row>
    <row r="108" spans="1:11" x14ac:dyDescent="0.3">
      <c r="A108" s="9">
        <v>46203</v>
      </c>
      <c r="B108" s="10"/>
      <c r="C108" s="121"/>
      <c r="D108" s="121"/>
      <c r="E108" s="10"/>
      <c r="F108" s="10"/>
      <c r="G108" s="10"/>
      <c r="H108" s="10"/>
      <c r="I108" s="10">
        <v>0</v>
      </c>
      <c r="J108" s="10">
        <v>0</v>
      </c>
      <c r="K108" s="11">
        <v>0</v>
      </c>
    </row>
    <row r="109" spans="1:11" x14ac:dyDescent="0.3">
      <c r="A109" s="9">
        <v>46203</v>
      </c>
      <c r="B109" s="10"/>
      <c r="C109" s="121"/>
      <c r="D109" s="121"/>
      <c r="E109" s="10"/>
      <c r="F109" s="10"/>
      <c r="G109" s="10"/>
      <c r="H109" s="10"/>
      <c r="I109" s="10">
        <v>0</v>
      </c>
      <c r="J109" s="10">
        <v>0</v>
      </c>
      <c r="K109" s="11">
        <v>0</v>
      </c>
    </row>
    <row r="110" spans="1:11" x14ac:dyDescent="0.3">
      <c r="A110" s="9">
        <v>46204</v>
      </c>
      <c r="B110" s="10" t="s">
        <v>19</v>
      </c>
      <c r="C110" s="121" t="s">
        <v>104</v>
      </c>
      <c r="D110" s="121" t="s">
        <v>105</v>
      </c>
      <c r="E110" s="10">
        <v>3.7534999999999998</v>
      </c>
      <c r="F110" s="10">
        <v>2.1700000000000053</v>
      </c>
      <c r="G110" s="10">
        <v>2.1700000000000053</v>
      </c>
      <c r="H110" s="10">
        <v>8.680000000000021E-2</v>
      </c>
      <c r="I110" s="10">
        <v>-0.80800000000000871</v>
      </c>
      <c r="J110" s="10">
        <v>-1.1580000000000368</v>
      </c>
      <c r="K110" s="11">
        <v>-10.505000000000031</v>
      </c>
    </row>
    <row r="111" spans="1:11" x14ac:dyDescent="0.3">
      <c r="A111" s="9">
        <v>46204</v>
      </c>
      <c r="B111" s="10" t="s">
        <v>10</v>
      </c>
      <c r="C111" s="121" t="s">
        <v>105</v>
      </c>
      <c r="D111" s="121" t="s">
        <v>106</v>
      </c>
      <c r="E111" s="10">
        <v>3.8035199999999998</v>
      </c>
      <c r="F111" s="10">
        <v>5.0019999999999953</v>
      </c>
      <c r="G111" s="10">
        <v>7.1720000000000006</v>
      </c>
      <c r="H111" s="10">
        <v>0.28688000000000002</v>
      </c>
      <c r="I111" s="10">
        <v>-2.4100000000000232</v>
      </c>
      <c r="J111" s="10">
        <v>-3.5710000000000353</v>
      </c>
      <c r="K111" s="11">
        <v>-19.048000000000044</v>
      </c>
    </row>
    <row r="112" spans="1:11" x14ac:dyDescent="0.3">
      <c r="A112" s="9">
        <v>46204</v>
      </c>
      <c r="B112" s="10" t="s">
        <v>12</v>
      </c>
      <c r="C112" s="121" t="s">
        <v>106</v>
      </c>
      <c r="D112" s="121" t="s">
        <v>108</v>
      </c>
      <c r="E112" s="10">
        <v>3.8706900000000002</v>
      </c>
      <c r="F112" s="10">
        <v>6.7170000000000396</v>
      </c>
      <c r="G112" s="10">
        <v>13.88900000000004</v>
      </c>
      <c r="H112" s="10">
        <v>0.55556000000000161</v>
      </c>
      <c r="I112" s="10">
        <v>-3.1309999999999949</v>
      </c>
      <c r="J112" s="10">
        <v>-4.5299999999999674</v>
      </c>
      <c r="K112" s="11">
        <v>-25.960999999999991</v>
      </c>
    </row>
    <row r="113" spans="1:11" x14ac:dyDescent="0.3">
      <c r="A113" s="9">
        <v>46204</v>
      </c>
      <c r="B113" s="10" t="s">
        <v>13</v>
      </c>
      <c r="C113" s="121" t="s">
        <v>108</v>
      </c>
      <c r="D113" s="121" t="s">
        <v>121</v>
      </c>
      <c r="E113" s="10">
        <v>3.9283999999999999</v>
      </c>
      <c r="F113" s="10">
        <v>5.7709999999999706</v>
      </c>
      <c r="G113" s="10">
        <v>19.660000000000011</v>
      </c>
      <c r="H113" s="10">
        <v>0.78640000000000043</v>
      </c>
      <c r="I113" s="10">
        <v>-3.3250000000000224</v>
      </c>
      <c r="J113" s="10">
        <v>-5.5700000000000305</v>
      </c>
      <c r="K113" s="11">
        <v>-28.099999999999969</v>
      </c>
    </row>
    <row r="114" spans="1:11" x14ac:dyDescent="0.3">
      <c r="A114" s="9">
        <v>46204</v>
      </c>
      <c r="B114" s="10" t="s">
        <v>14</v>
      </c>
      <c r="C114" s="121" t="s">
        <v>121</v>
      </c>
      <c r="D114" s="121" t="s">
        <v>123</v>
      </c>
      <c r="E114" s="10">
        <v>3.9613200000000002</v>
      </c>
      <c r="F114" s="10">
        <v>3.2920000000000282</v>
      </c>
      <c r="G114" s="10">
        <v>22.952000000000041</v>
      </c>
      <c r="H114" s="10">
        <v>0.91808000000000167</v>
      </c>
      <c r="I114" s="10">
        <v>-3.6680000000000046</v>
      </c>
      <c r="J114" s="10">
        <v>-5.2379999999999871</v>
      </c>
      <c r="K114" s="11">
        <v>-29.967999999999996</v>
      </c>
    </row>
    <row r="115" spans="1:11" x14ac:dyDescent="0.3">
      <c r="A115" s="9">
        <v>46204</v>
      </c>
      <c r="B115" s="10" t="s">
        <v>15</v>
      </c>
      <c r="C115" s="121" t="s">
        <v>123</v>
      </c>
      <c r="D115" s="121" t="s">
        <v>127</v>
      </c>
      <c r="E115" s="10">
        <v>3.9952700000000001</v>
      </c>
      <c r="F115" s="10">
        <v>3.3949999999999925</v>
      </c>
      <c r="G115" s="10">
        <v>26.34700000000003</v>
      </c>
      <c r="H115" s="10">
        <v>1.0538800000000013</v>
      </c>
      <c r="I115" s="10">
        <v>-3.7080000000000002</v>
      </c>
      <c r="J115" s="10">
        <v>-4.4289999999999718</v>
      </c>
      <c r="K115" s="11">
        <v>-29.573000000000029</v>
      </c>
    </row>
    <row r="116" spans="1:11" x14ac:dyDescent="0.3">
      <c r="A116" s="9">
        <v>46204</v>
      </c>
      <c r="B116" s="10" t="s">
        <v>16</v>
      </c>
      <c r="C116" s="121" t="s">
        <v>127</v>
      </c>
      <c r="D116" s="121" t="s">
        <v>146</v>
      </c>
      <c r="E116" s="10">
        <v>4.0132000000000003</v>
      </c>
      <c r="F116" s="10">
        <v>1.7930000000000224</v>
      </c>
      <c r="G116" s="10">
        <v>28.140000000000054</v>
      </c>
      <c r="H116" s="10">
        <v>1.1256000000000022</v>
      </c>
      <c r="I116" s="10">
        <v>-3.479999999999972</v>
      </c>
      <c r="J116" s="10">
        <v>-3.620000000000001</v>
      </c>
      <c r="K116" s="11">
        <v>-29.227999999999987</v>
      </c>
    </row>
    <row r="117" spans="1:11" x14ac:dyDescent="0.3">
      <c r="A117" s="9">
        <v>46204</v>
      </c>
      <c r="B117" s="10" t="s">
        <v>18</v>
      </c>
      <c r="C117" s="121" t="s">
        <v>146</v>
      </c>
      <c r="D117" s="121" t="s">
        <v>151</v>
      </c>
      <c r="E117" s="10">
        <v>4.0179999999999998</v>
      </c>
      <c r="F117" s="10">
        <v>0.47999999999994714</v>
      </c>
      <c r="G117" s="10">
        <v>28.62</v>
      </c>
      <c r="H117" s="10">
        <v>1.1448</v>
      </c>
      <c r="I117" s="10">
        <v>-3.0000000000000249</v>
      </c>
      <c r="J117" s="10">
        <v>-2.5599999999999845</v>
      </c>
      <c r="K117" s="11" t="s">
        <v>41</v>
      </c>
    </row>
    <row r="118" spans="1:11" x14ac:dyDescent="0.3">
      <c r="A118" s="9">
        <v>46204</v>
      </c>
      <c r="B118" s="10" t="s">
        <v>19</v>
      </c>
      <c r="C118" s="121" t="s">
        <v>151</v>
      </c>
      <c r="D118" s="121"/>
      <c r="E118" s="10"/>
      <c r="F118" s="10"/>
      <c r="G118" s="10"/>
      <c r="H118" s="10"/>
      <c r="I118" s="10">
        <v>0</v>
      </c>
      <c r="J118" s="10">
        <v>0</v>
      </c>
      <c r="K118" s="11" t="s">
        <v>41</v>
      </c>
    </row>
    <row r="119" spans="1:11" x14ac:dyDescent="0.3">
      <c r="A119" s="9">
        <v>46204</v>
      </c>
      <c r="B119" s="10"/>
      <c r="C119" s="121"/>
      <c r="D119" s="121"/>
      <c r="E119" s="10"/>
      <c r="F119" s="10"/>
      <c r="G119" s="10"/>
      <c r="H119" s="10"/>
      <c r="I119" s="10">
        <v>0</v>
      </c>
      <c r="J119" s="10">
        <v>0</v>
      </c>
      <c r="K119" s="11">
        <v>0</v>
      </c>
    </row>
    <row r="120" spans="1:11" x14ac:dyDescent="0.3">
      <c r="A120" s="9">
        <v>46204</v>
      </c>
      <c r="B120" s="10"/>
      <c r="C120" s="121"/>
      <c r="D120" s="121"/>
      <c r="E120" s="10"/>
      <c r="F120" s="10"/>
      <c r="G120" s="10"/>
      <c r="H120" s="10"/>
      <c r="I120" s="10">
        <v>0</v>
      </c>
      <c r="J120" s="10">
        <v>0</v>
      </c>
      <c r="K120" s="11">
        <v>0</v>
      </c>
    </row>
    <row r="121" spans="1:11" x14ac:dyDescent="0.3">
      <c r="A121" s="9">
        <v>46204</v>
      </c>
      <c r="B121" s="10"/>
      <c r="C121" s="121"/>
      <c r="D121" s="121"/>
      <c r="E121" s="10"/>
      <c r="F121" s="10"/>
      <c r="G121" s="10"/>
      <c r="H121" s="10"/>
      <c r="I121" s="10">
        <v>0</v>
      </c>
      <c r="J121" s="10">
        <v>0</v>
      </c>
      <c r="K121" s="11">
        <v>0</v>
      </c>
    </row>
    <row r="122" spans="1:11" x14ac:dyDescent="0.3">
      <c r="A122" s="9">
        <v>46205</v>
      </c>
      <c r="B122" s="10" t="s">
        <v>19</v>
      </c>
      <c r="C122" s="121" t="s">
        <v>104</v>
      </c>
      <c r="D122" s="121" t="s">
        <v>105</v>
      </c>
      <c r="E122" s="10">
        <v>3.7508699999999999</v>
      </c>
      <c r="F122" s="10">
        <v>1.9969999999999821</v>
      </c>
      <c r="G122" s="10">
        <v>1.9969999999999821</v>
      </c>
      <c r="H122" s="10">
        <v>7.9879999999999285E-2</v>
      </c>
      <c r="I122" s="10">
        <v>-0.26299999999999102</v>
      </c>
      <c r="J122" s="10">
        <v>-1.2030000000000207</v>
      </c>
      <c r="K122" s="11">
        <v>-11.003000000000007</v>
      </c>
    </row>
    <row r="123" spans="1:11" x14ac:dyDescent="0.3">
      <c r="A123" s="9">
        <v>46205</v>
      </c>
      <c r="B123" s="10" t="s">
        <v>10</v>
      </c>
      <c r="C123" s="121" t="s">
        <v>105</v>
      </c>
      <c r="D123" s="121" t="s">
        <v>106</v>
      </c>
      <c r="E123" s="10">
        <v>3.80017</v>
      </c>
      <c r="F123" s="10">
        <v>4.9300000000000122</v>
      </c>
      <c r="G123" s="10">
        <v>6.9269999999999943</v>
      </c>
      <c r="H123" s="10">
        <v>0.27707999999999977</v>
      </c>
      <c r="I123" s="10">
        <v>-0.33499999999997421</v>
      </c>
      <c r="J123" s="10">
        <v>-2.5729999999999809</v>
      </c>
      <c r="K123" s="11">
        <v>-18.303000000000004</v>
      </c>
    </row>
    <row r="124" spans="1:11" x14ac:dyDescent="0.3">
      <c r="A124" s="9">
        <v>46205</v>
      </c>
      <c r="B124" s="10" t="s">
        <v>12</v>
      </c>
      <c r="C124" s="121" t="s">
        <v>106</v>
      </c>
      <c r="D124" s="121" t="s">
        <v>108</v>
      </c>
      <c r="E124" s="10">
        <v>3.86252</v>
      </c>
      <c r="F124" s="10">
        <v>6.2349999999999905</v>
      </c>
      <c r="G124" s="10">
        <v>13.161999999999985</v>
      </c>
      <c r="H124" s="10">
        <v>0.52647999999999939</v>
      </c>
      <c r="I124" s="10">
        <v>-0.81700000000002326</v>
      </c>
      <c r="J124" s="10">
        <v>-3.4479999999999844</v>
      </c>
      <c r="K124" s="11">
        <v>-24.319999999999986</v>
      </c>
    </row>
    <row r="125" spans="1:11" x14ac:dyDescent="0.3">
      <c r="A125" s="9">
        <v>46205</v>
      </c>
      <c r="B125" s="10" t="s">
        <v>13</v>
      </c>
      <c r="C125" s="121" t="s">
        <v>108</v>
      </c>
      <c r="D125" s="121" t="s">
        <v>121</v>
      </c>
      <c r="E125" s="10">
        <v>3.9151199999999999</v>
      </c>
      <c r="F125" s="10">
        <v>5.259999999999998</v>
      </c>
      <c r="G125" s="10">
        <v>18.421999999999983</v>
      </c>
      <c r="H125" s="10">
        <v>0.73687999999999931</v>
      </c>
      <c r="I125" s="10">
        <v>-1.3279999999999959</v>
      </c>
      <c r="J125" s="10">
        <v>-3.8149999999999906</v>
      </c>
      <c r="K125" s="11">
        <v>-26.735000000000042</v>
      </c>
    </row>
    <row r="126" spans="1:11" x14ac:dyDescent="0.3">
      <c r="A126" s="9">
        <v>46205</v>
      </c>
      <c r="B126" s="10" t="s">
        <v>14</v>
      </c>
      <c r="C126" s="121" t="s">
        <v>121</v>
      </c>
      <c r="D126" s="121" t="s">
        <v>123</v>
      </c>
      <c r="E126" s="10">
        <v>3.9420000000000002</v>
      </c>
      <c r="F126" s="10">
        <v>2.6880000000000237</v>
      </c>
      <c r="G126" s="10">
        <v>21.110000000000007</v>
      </c>
      <c r="H126" s="10">
        <v>0.84440000000000026</v>
      </c>
      <c r="I126" s="10">
        <v>-1.9320000000000004</v>
      </c>
      <c r="J126" s="10">
        <v>-3.6499999999999755</v>
      </c>
      <c r="K126" s="11">
        <v>-28.800000000000026</v>
      </c>
    </row>
    <row r="127" spans="1:11" x14ac:dyDescent="0.3">
      <c r="A127" s="9">
        <v>46205</v>
      </c>
      <c r="B127" s="10" t="s">
        <v>15</v>
      </c>
      <c r="C127" s="121" t="s">
        <v>123</v>
      </c>
      <c r="D127" s="121" t="s">
        <v>127</v>
      </c>
      <c r="E127" s="10">
        <v>3.9707300000000001</v>
      </c>
      <c r="F127" s="10">
        <v>2.8729999999999922</v>
      </c>
      <c r="G127" s="10">
        <v>23.982999999999997</v>
      </c>
      <c r="H127" s="10">
        <v>0.95931999999999984</v>
      </c>
      <c r="I127" s="10">
        <v>-2.4540000000000006</v>
      </c>
      <c r="J127" s="10">
        <v>-2.6269999999999794</v>
      </c>
      <c r="K127" s="11">
        <v>-28.503000000000036</v>
      </c>
    </row>
    <row r="128" spans="1:11" x14ac:dyDescent="0.3">
      <c r="A128" s="9">
        <v>46205</v>
      </c>
      <c r="B128" s="10" t="s">
        <v>16</v>
      </c>
      <c r="C128" s="121" t="s">
        <v>127</v>
      </c>
      <c r="D128" s="121" t="s">
        <v>146</v>
      </c>
      <c r="E128" s="10">
        <v>3.9830000000000001</v>
      </c>
      <c r="F128" s="10">
        <v>1.2270000000000003</v>
      </c>
      <c r="G128" s="10">
        <v>25.21</v>
      </c>
      <c r="H128" s="10">
        <v>1.0084</v>
      </c>
      <c r="I128" s="10">
        <v>-3.0200000000000227</v>
      </c>
      <c r="J128" s="10">
        <v>-1.9749999999999712</v>
      </c>
      <c r="K128" s="11">
        <v>-28.78599999999998</v>
      </c>
    </row>
    <row r="129" spans="1:11" x14ac:dyDescent="0.3">
      <c r="A129" s="9">
        <v>46205</v>
      </c>
      <c r="B129" s="10" t="s">
        <v>18</v>
      </c>
      <c r="C129" s="121" t="s">
        <v>146</v>
      </c>
      <c r="D129" s="121" t="s">
        <v>151</v>
      </c>
      <c r="E129" s="10">
        <v>3.9849999999999999</v>
      </c>
      <c r="F129" s="10">
        <v>0.19999999999997797</v>
      </c>
      <c r="G129" s="10">
        <v>25.409999999999975</v>
      </c>
      <c r="H129" s="10">
        <v>1.0163999999999991</v>
      </c>
      <c r="I129" s="10">
        <v>-3.2999999999999918</v>
      </c>
      <c r="J129" s="10">
        <v>-1.1200000000000099</v>
      </c>
      <c r="K129" s="11" t="s">
        <v>41</v>
      </c>
    </row>
    <row r="130" spans="1:11" x14ac:dyDescent="0.3">
      <c r="A130" s="9">
        <v>46205</v>
      </c>
      <c r="B130" s="10" t="s">
        <v>19</v>
      </c>
      <c r="C130" s="121" t="s">
        <v>151</v>
      </c>
      <c r="D130" s="121"/>
      <c r="E130" s="10"/>
      <c r="F130" s="10"/>
      <c r="G130" s="10"/>
      <c r="H130" s="10"/>
      <c r="I130" s="10">
        <v>0</v>
      </c>
      <c r="J130" s="10">
        <v>0</v>
      </c>
      <c r="K130" s="11" t="s">
        <v>41</v>
      </c>
    </row>
    <row r="131" spans="1:11" x14ac:dyDescent="0.3">
      <c r="A131" s="9">
        <v>46205</v>
      </c>
      <c r="B131" s="10"/>
      <c r="C131" s="121"/>
      <c r="D131" s="121"/>
      <c r="E131" s="10"/>
      <c r="F131" s="10"/>
      <c r="G131" s="10"/>
      <c r="H131" s="10"/>
      <c r="I131" s="10">
        <v>0</v>
      </c>
      <c r="J131" s="10">
        <v>0</v>
      </c>
      <c r="K131" s="11">
        <v>0</v>
      </c>
    </row>
    <row r="132" spans="1:11" x14ac:dyDescent="0.3">
      <c r="A132" s="9">
        <v>46205</v>
      </c>
      <c r="B132" s="10"/>
      <c r="C132" s="121"/>
      <c r="D132" s="121"/>
      <c r="E132" s="10"/>
      <c r="F132" s="10"/>
      <c r="G132" s="10"/>
      <c r="H132" s="10"/>
      <c r="I132" s="10">
        <v>0</v>
      </c>
      <c r="J132" s="10">
        <v>0</v>
      </c>
      <c r="K132" s="11">
        <v>0</v>
      </c>
    </row>
    <row r="133" spans="1:11" x14ac:dyDescent="0.3">
      <c r="A133" s="9">
        <v>46205</v>
      </c>
      <c r="B133" s="10"/>
      <c r="C133" s="121"/>
      <c r="D133" s="121"/>
      <c r="E133" s="10"/>
      <c r="F133" s="10"/>
      <c r="G133" s="10"/>
      <c r="H133" s="10"/>
      <c r="I133" s="10">
        <v>0</v>
      </c>
      <c r="J133" s="10">
        <v>0</v>
      </c>
      <c r="K133" s="11">
        <v>0</v>
      </c>
    </row>
    <row r="134" spans="1:11" x14ac:dyDescent="0.3">
      <c r="A134" s="9">
        <v>46206</v>
      </c>
      <c r="B134" s="10" t="s">
        <v>19</v>
      </c>
      <c r="C134" s="121" t="s">
        <v>104</v>
      </c>
      <c r="D134" s="121" t="s">
        <v>105</v>
      </c>
      <c r="E134" s="10">
        <v>3.7484999999999999</v>
      </c>
      <c r="F134" s="10">
        <v>1.7999999999999794</v>
      </c>
      <c r="G134" s="10">
        <v>1.7999999999999794</v>
      </c>
      <c r="H134" s="10">
        <v>7.1999999999999176E-2</v>
      </c>
      <c r="I134" s="10">
        <v>-0.23699999999999832</v>
      </c>
      <c r="J134" s="10">
        <v>-1.6469999999999985</v>
      </c>
      <c r="K134" s="11">
        <v>-13.344000000000023</v>
      </c>
    </row>
    <row r="135" spans="1:11" x14ac:dyDescent="0.3">
      <c r="A135" s="9">
        <v>46206</v>
      </c>
      <c r="B135" s="10" t="s">
        <v>10</v>
      </c>
      <c r="C135" s="121" t="s">
        <v>105</v>
      </c>
      <c r="D135" s="121" t="s">
        <v>106</v>
      </c>
      <c r="E135" s="10">
        <v>3.79521</v>
      </c>
      <c r="F135" s="10">
        <v>4.6710000000000029</v>
      </c>
      <c r="G135" s="10">
        <v>6.4709999999999823</v>
      </c>
      <c r="H135" s="10">
        <v>0.25883999999999929</v>
      </c>
      <c r="I135" s="10">
        <v>-0.49600000000000755</v>
      </c>
      <c r="J135" s="10">
        <v>-3.4060000000000201</v>
      </c>
      <c r="K135" s="11">
        <v>-22.689000000000004</v>
      </c>
    </row>
    <row r="136" spans="1:11" x14ac:dyDescent="0.3">
      <c r="A136" s="9">
        <v>46206</v>
      </c>
      <c r="B136" s="10" t="s">
        <v>12</v>
      </c>
      <c r="C136" s="121" t="s">
        <v>106</v>
      </c>
      <c r="D136" s="121" t="s">
        <v>108</v>
      </c>
      <c r="E136" s="10">
        <v>3.85846</v>
      </c>
      <c r="F136" s="10">
        <v>6.3250000000000028</v>
      </c>
      <c r="G136" s="10">
        <v>12.795999999999985</v>
      </c>
      <c r="H136" s="10">
        <v>0.51183999999999941</v>
      </c>
      <c r="I136" s="10">
        <v>-0.40599999999999525</v>
      </c>
      <c r="J136" s="10">
        <v>-4.5500000000000096</v>
      </c>
      <c r="K136" s="11">
        <v>-29.774000000000012</v>
      </c>
    </row>
    <row r="137" spans="1:11" x14ac:dyDescent="0.3">
      <c r="A137" s="9">
        <v>46206</v>
      </c>
      <c r="B137" s="10" t="s">
        <v>13</v>
      </c>
      <c r="C137" s="121" t="s">
        <v>108</v>
      </c>
      <c r="D137" s="121" t="s">
        <v>121</v>
      </c>
      <c r="E137" s="10">
        <v>3.9129999999999998</v>
      </c>
      <c r="F137" s="10">
        <v>5.4539999999999811</v>
      </c>
      <c r="G137" s="10">
        <v>18.249999999999964</v>
      </c>
      <c r="H137" s="10">
        <v>0.72999999999999854</v>
      </c>
      <c r="I137" s="10">
        <v>-0.21200000000001218</v>
      </c>
      <c r="J137" s="10">
        <v>-4.5850000000000168</v>
      </c>
      <c r="K137" s="11">
        <v>-32.370000000000012</v>
      </c>
    </row>
    <row r="138" spans="1:11" x14ac:dyDescent="0.3">
      <c r="A138" s="9">
        <v>46206</v>
      </c>
      <c r="B138" s="10" t="s">
        <v>14</v>
      </c>
      <c r="C138" s="121" t="s">
        <v>121</v>
      </c>
      <c r="D138" s="121" t="s">
        <v>123</v>
      </c>
      <c r="E138" s="10">
        <v>3.9407000000000001</v>
      </c>
      <c r="F138" s="10">
        <v>2.770000000000028</v>
      </c>
      <c r="G138" s="10">
        <v>21.019999999999996</v>
      </c>
      <c r="H138" s="10">
        <v>0.84079999999999988</v>
      </c>
      <c r="I138" s="10">
        <v>-0.13000000000000789</v>
      </c>
      <c r="J138" s="10">
        <v>-4.3289999999999829</v>
      </c>
      <c r="K138" s="11">
        <v>-34.77000000000001</v>
      </c>
    </row>
    <row r="139" spans="1:11" x14ac:dyDescent="0.3">
      <c r="A139" s="9">
        <v>46206</v>
      </c>
      <c r="B139" s="10" t="s">
        <v>15</v>
      </c>
      <c r="C139" s="121" t="s">
        <v>123</v>
      </c>
      <c r="D139" s="121" t="s">
        <v>127</v>
      </c>
      <c r="E139" s="10">
        <v>3.96936</v>
      </c>
      <c r="F139" s="10">
        <v>2.8659999999999908</v>
      </c>
      <c r="G139" s="10">
        <v>23.885999999999985</v>
      </c>
      <c r="H139" s="10">
        <v>0.9554399999999994</v>
      </c>
      <c r="I139" s="10">
        <v>-0.13700000000000934</v>
      </c>
      <c r="J139" s="10">
        <v>-3.7469999999999892</v>
      </c>
      <c r="K139" s="11">
        <v>-34.933999999999976</v>
      </c>
    </row>
    <row r="140" spans="1:11" x14ac:dyDescent="0.3">
      <c r="A140" s="9">
        <v>46206</v>
      </c>
      <c r="B140" s="10" t="s">
        <v>16</v>
      </c>
      <c r="C140" s="121" t="s">
        <v>127</v>
      </c>
      <c r="D140" s="121" t="s">
        <v>146</v>
      </c>
      <c r="E140" s="10">
        <v>3.98325</v>
      </c>
      <c r="F140" s="10">
        <v>1.3889999999999958</v>
      </c>
      <c r="G140" s="10">
        <v>25.274999999999981</v>
      </c>
      <c r="H140" s="10">
        <v>1.0109999999999992</v>
      </c>
      <c r="I140" s="10">
        <v>2.4999999999986144E-2</v>
      </c>
      <c r="J140" s="10">
        <v>-3.2449999999999868</v>
      </c>
      <c r="K140" s="11">
        <v>-35.402000000000022</v>
      </c>
    </row>
    <row r="141" spans="1:11" x14ac:dyDescent="0.3">
      <c r="A141" s="9">
        <v>46206</v>
      </c>
      <c r="B141" s="10" t="s">
        <v>18</v>
      </c>
      <c r="C141" s="121" t="s">
        <v>146</v>
      </c>
      <c r="D141" s="121" t="s">
        <v>151</v>
      </c>
      <c r="E141" s="10">
        <v>3.9889999999999999</v>
      </c>
      <c r="F141" s="10">
        <v>0.57499999999999218</v>
      </c>
      <c r="G141" s="10">
        <v>25.849999999999973</v>
      </c>
      <c r="H141" s="10">
        <v>1.0339999999999989</v>
      </c>
      <c r="I141" s="10">
        <v>0.40000000000000036</v>
      </c>
      <c r="J141" s="10">
        <v>-2.055999999999969</v>
      </c>
      <c r="K141" s="11" t="s">
        <v>41</v>
      </c>
    </row>
    <row r="142" spans="1:11" x14ac:dyDescent="0.3">
      <c r="A142" s="9">
        <v>46206</v>
      </c>
      <c r="B142" s="10" t="s">
        <v>19</v>
      </c>
      <c r="C142" s="121" t="s">
        <v>151</v>
      </c>
      <c r="D142" s="121"/>
      <c r="E142" s="10"/>
      <c r="F142" s="10"/>
      <c r="G142" s="10"/>
      <c r="H142" s="10"/>
      <c r="I142" s="10">
        <v>0</v>
      </c>
      <c r="J142" s="10">
        <v>0</v>
      </c>
      <c r="K142" s="11" t="s">
        <v>41</v>
      </c>
    </row>
    <row r="143" spans="1:11" x14ac:dyDescent="0.3">
      <c r="A143" s="9">
        <v>46206</v>
      </c>
      <c r="B143" s="10"/>
      <c r="C143" s="121"/>
      <c r="D143" s="121"/>
      <c r="E143" s="10"/>
      <c r="F143" s="10"/>
      <c r="G143" s="10"/>
      <c r="H143" s="10"/>
      <c r="I143" s="10">
        <v>0</v>
      </c>
      <c r="J143" s="10">
        <v>0</v>
      </c>
      <c r="K143" s="11">
        <v>0</v>
      </c>
    </row>
    <row r="144" spans="1:11" x14ac:dyDescent="0.3">
      <c r="A144" s="9">
        <v>46206</v>
      </c>
      <c r="B144" s="10"/>
      <c r="C144" s="121"/>
      <c r="D144" s="121"/>
      <c r="E144" s="10"/>
      <c r="F144" s="10"/>
      <c r="G144" s="10"/>
      <c r="H144" s="10"/>
      <c r="I144" s="10">
        <v>0</v>
      </c>
      <c r="J144" s="10">
        <v>0</v>
      </c>
      <c r="K144" s="11">
        <v>0</v>
      </c>
    </row>
    <row r="145" spans="1:11" x14ac:dyDescent="0.3">
      <c r="A145" s="9">
        <v>46206</v>
      </c>
      <c r="B145" s="10"/>
      <c r="C145" s="121"/>
      <c r="D145" s="121"/>
      <c r="E145" s="10"/>
      <c r="F145" s="10"/>
      <c r="G145" s="10"/>
      <c r="H145" s="10"/>
      <c r="I145" s="10">
        <v>0</v>
      </c>
      <c r="J145" s="10">
        <v>0</v>
      </c>
      <c r="K145" s="11">
        <v>0</v>
      </c>
    </row>
    <row r="146" spans="1:11" x14ac:dyDescent="0.3">
      <c r="A146" s="416">
        <v>46209</v>
      </c>
      <c r="B146" s="417" t="s">
        <v>19</v>
      </c>
      <c r="C146" s="418" t="s">
        <v>104</v>
      </c>
      <c r="D146" s="418" t="s">
        <v>105</v>
      </c>
      <c r="E146" s="417">
        <v>3.7504</v>
      </c>
      <c r="F146" s="417">
        <v>2.0199999999999996</v>
      </c>
      <c r="G146" s="417">
        <v>2.0199999999999996</v>
      </c>
      <c r="H146" s="417">
        <v>8.0799999999999983E-2</v>
      </c>
      <c r="I146" s="417">
        <v>0.19000000000000128</v>
      </c>
      <c r="J146" s="417">
        <v>-1.1779999999999902</v>
      </c>
      <c r="K146" s="419">
        <v>-13.154000000000021</v>
      </c>
    </row>
    <row r="147" spans="1:11" x14ac:dyDescent="0.3">
      <c r="A147" s="416">
        <v>46209</v>
      </c>
      <c r="B147" s="417" t="s">
        <v>10</v>
      </c>
      <c r="C147" s="418" t="s">
        <v>105</v>
      </c>
      <c r="D147" s="418" t="s">
        <v>106</v>
      </c>
      <c r="E147" s="417">
        <v>3.7955199999999998</v>
      </c>
      <c r="F147" s="417">
        <v>4.5119999999999827</v>
      </c>
      <c r="G147" s="417">
        <v>6.5319999999999823</v>
      </c>
      <c r="H147" s="417">
        <v>0.26127999999999929</v>
      </c>
      <c r="I147" s="417">
        <v>3.0999999999981043E-2</v>
      </c>
      <c r="J147" s="417">
        <v>-2.9370000000000118</v>
      </c>
      <c r="K147" s="419">
        <v>-22.658000000000023</v>
      </c>
    </row>
    <row r="148" spans="1:11" x14ac:dyDescent="0.3">
      <c r="A148" s="416">
        <v>46209</v>
      </c>
      <c r="B148" s="417" t="s">
        <v>12</v>
      </c>
      <c r="C148" s="418" t="s">
        <v>106</v>
      </c>
      <c r="D148" s="418" t="s">
        <v>108</v>
      </c>
      <c r="E148" s="417">
        <v>3.8586999999999998</v>
      </c>
      <c r="F148" s="417">
        <v>6.3180000000000014</v>
      </c>
      <c r="G148" s="417">
        <v>12.849999999999984</v>
      </c>
      <c r="H148" s="417">
        <v>0.51399999999999935</v>
      </c>
      <c r="I148" s="417">
        <v>2.3999999999979593E-2</v>
      </c>
      <c r="J148" s="417">
        <v>-4.3720000000000425</v>
      </c>
      <c r="K148" s="419">
        <v>-29.750000000000032</v>
      </c>
    </row>
    <row r="149" spans="1:11" x14ac:dyDescent="0.3">
      <c r="A149" s="416">
        <v>46209</v>
      </c>
      <c r="B149" s="417" t="s">
        <v>13</v>
      </c>
      <c r="C149" s="418" t="s">
        <v>108</v>
      </c>
      <c r="D149" s="418" t="s">
        <v>121</v>
      </c>
      <c r="E149" s="417">
        <v>3.9137599999999999</v>
      </c>
      <c r="F149" s="417">
        <v>5.5060000000000109</v>
      </c>
      <c r="G149" s="417">
        <v>18.355999999999995</v>
      </c>
      <c r="H149" s="417">
        <v>0.73423999999999978</v>
      </c>
      <c r="I149" s="417">
        <v>7.6000000000009393E-2</v>
      </c>
      <c r="J149" s="417">
        <v>-4.9939999999999873</v>
      </c>
      <c r="K149" s="419">
        <v>-32.293999999999997</v>
      </c>
    </row>
    <row r="150" spans="1:11" x14ac:dyDescent="0.3">
      <c r="A150" s="416">
        <v>46209</v>
      </c>
      <c r="B150" s="417" t="s">
        <v>14</v>
      </c>
      <c r="C150" s="418" t="s">
        <v>121</v>
      </c>
      <c r="D150" s="418" t="s">
        <v>123</v>
      </c>
      <c r="E150" s="417">
        <v>3.9405199999999998</v>
      </c>
      <c r="F150" s="417">
        <v>2.6759999999999895</v>
      </c>
      <c r="G150" s="417">
        <v>21.031999999999982</v>
      </c>
      <c r="H150" s="417">
        <v>0.84127999999999925</v>
      </c>
      <c r="I150" s="417">
        <v>-1.8000000000029104E-2</v>
      </c>
      <c r="J150" s="417">
        <v>-5.455000000000032</v>
      </c>
      <c r="K150" s="419">
        <v>-34.788000000000039</v>
      </c>
    </row>
    <row r="151" spans="1:11" x14ac:dyDescent="0.3">
      <c r="A151" s="416">
        <v>46209</v>
      </c>
      <c r="B151" s="417" t="s">
        <v>15</v>
      </c>
      <c r="C151" s="418" t="s">
        <v>123</v>
      </c>
      <c r="D151" s="418" t="s">
        <v>127</v>
      </c>
      <c r="E151" s="417">
        <v>3.9649999999999999</v>
      </c>
      <c r="F151" s="417">
        <v>2.4480000000000057</v>
      </c>
      <c r="G151" s="417">
        <v>23.47999999999999</v>
      </c>
      <c r="H151" s="417">
        <v>0.93919999999999959</v>
      </c>
      <c r="I151" s="417">
        <v>-0.43600000000001415</v>
      </c>
      <c r="J151" s="417">
        <v>-5.8489999999999931</v>
      </c>
      <c r="K151" s="419">
        <v>-35.36999999999999</v>
      </c>
    </row>
    <row r="152" spans="1:11" x14ac:dyDescent="0.3">
      <c r="A152" s="416">
        <v>46209</v>
      </c>
      <c r="B152" s="417" t="s">
        <v>16</v>
      </c>
      <c r="C152" s="418" t="s">
        <v>127</v>
      </c>
      <c r="D152" s="418" t="s">
        <v>146</v>
      </c>
      <c r="E152" s="417">
        <v>3.9771999999999998</v>
      </c>
      <c r="F152" s="417">
        <v>1.2199999999999989</v>
      </c>
      <c r="G152" s="417">
        <v>24.699999999999989</v>
      </c>
      <c r="H152" s="417">
        <v>0.98799999999999955</v>
      </c>
      <c r="I152" s="417">
        <v>-0.60500000000001108</v>
      </c>
      <c r="J152" s="417">
        <v>-5.6300000000000239</v>
      </c>
      <c r="K152" s="419">
        <v>-36.007000000000033</v>
      </c>
    </row>
    <row r="153" spans="1:11" x14ac:dyDescent="0.3">
      <c r="A153" s="416">
        <v>46209</v>
      </c>
      <c r="B153" s="417" t="s">
        <v>18</v>
      </c>
      <c r="C153" s="418" t="s">
        <v>146</v>
      </c>
      <c r="D153" s="418" t="s">
        <v>151</v>
      </c>
      <c r="E153" s="417">
        <v>3.98475</v>
      </c>
      <c r="F153" s="417">
        <v>0.75500000000001677</v>
      </c>
      <c r="G153" s="417">
        <v>25.455000000000005</v>
      </c>
      <c r="H153" s="417">
        <v>1.0182000000000002</v>
      </c>
      <c r="I153" s="417">
        <v>-0.4249999999999865</v>
      </c>
      <c r="J153" s="417">
        <v>-4.1750000000000398</v>
      </c>
      <c r="K153" s="419" t="s">
        <v>41</v>
      </c>
    </row>
    <row r="154" spans="1:11" x14ac:dyDescent="0.3">
      <c r="A154" s="416">
        <v>46209</v>
      </c>
      <c r="B154" s="417" t="s">
        <v>19</v>
      </c>
      <c r="C154" s="418" t="s">
        <v>151</v>
      </c>
      <c r="D154" s="418"/>
      <c r="E154" s="417"/>
      <c r="F154" s="417"/>
      <c r="G154" s="417"/>
      <c r="H154" s="417"/>
      <c r="I154" s="417">
        <v>0</v>
      </c>
      <c r="J154" s="417">
        <v>0</v>
      </c>
      <c r="K154" s="419" t="s">
        <v>41</v>
      </c>
    </row>
    <row r="155" spans="1:11" x14ac:dyDescent="0.3">
      <c r="A155" s="416">
        <v>46209</v>
      </c>
      <c r="B155" s="417"/>
      <c r="C155" s="418"/>
      <c r="D155" s="418"/>
      <c r="E155" s="417"/>
      <c r="F155" s="417"/>
      <c r="G155" s="417"/>
      <c r="H155" s="417"/>
      <c r="I155" s="417">
        <v>0</v>
      </c>
      <c r="J155" s="417">
        <v>0</v>
      </c>
      <c r="K155" s="419">
        <v>0</v>
      </c>
    </row>
    <row r="156" spans="1:11" x14ac:dyDescent="0.3">
      <c r="A156" s="416">
        <v>46209</v>
      </c>
      <c r="B156" s="417"/>
      <c r="C156" s="418"/>
      <c r="D156" s="418"/>
      <c r="E156" s="417"/>
      <c r="F156" s="417"/>
      <c r="G156" s="417"/>
      <c r="H156" s="417"/>
      <c r="I156" s="417">
        <v>0</v>
      </c>
      <c r="J156" s="417">
        <v>0</v>
      </c>
      <c r="K156" s="419">
        <v>0</v>
      </c>
    </row>
    <row r="157" spans="1:11" x14ac:dyDescent="0.3">
      <c r="A157" s="416">
        <v>46209</v>
      </c>
      <c r="B157" s="417"/>
      <c r="C157" s="418"/>
      <c r="D157" s="418"/>
      <c r="E157" s="417"/>
      <c r="F157" s="417"/>
      <c r="G157" s="417"/>
      <c r="H157" s="417"/>
      <c r="I157" s="417">
        <v>0</v>
      </c>
      <c r="J157" s="417">
        <v>0</v>
      </c>
      <c r="K157" s="419">
        <v>0</v>
      </c>
    </row>
    <row r="158" spans="1:11" x14ac:dyDescent="0.3">
      <c r="A158" s="9">
        <v>46210</v>
      </c>
      <c r="B158" s="10" t="s">
        <v>19</v>
      </c>
      <c r="C158" s="121" t="s">
        <v>104</v>
      </c>
      <c r="D158" s="121" t="s">
        <v>105</v>
      </c>
      <c r="E158" s="10">
        <v>3.7511700000000001</v>
      </c>
      <c r="F158" s="10">
        <v>2.1470000000000322</v>
      </c>
      <c r="G158" s="10">
        <v>2.1470000000000322</v>
      </c>
      <c r="H158" s="10">
        <v>8.5880000000001289E-2</v>
      </c>
      <c r="I158" s="10">
        <v>7.7000000000015945E-2</v>
      </c>
      <c r="J158" s="10">
        <v>-1.0409999999999808</v>
      </c>
      <c r="K158" s="11">
        <v>-10.292999999999974</v>
      </c>
    </row>
    <row r="159" spans="1:11" x14ac:dyDescent="0.3">
      <c r="A159" s="9">
        <v>46210</v>
      </c>
      <c r="B159" s="10" t="s">
        <v>10</v>
      </c>
      <c r="C159" s="121" t="s">
        <v>105</v>
      </c>
      <c r="D159" s="121" t="s">
        <v>106</v>
      </c>
      <c r="E159" s="10">
        <v>3.8097300000000001</v>
      </c>
      <c r="F159" s="10">
        <v>5.8559999999999945</v>
      </c>
      <c r="G159" s="10">
        <v>8.0030000000000268</v>
      </c>
      <c r="H159" s="10">
        <v>0.32012000000000107</v>
      </c>
      <c r="I159" s="10">
        <v>1.4210000000000278</v>
      </c>
      <c r="J159" s="10">
        <v>-1.7889999999999961</v>
      </c>
      <c r="K159" s="11">
        <v>-18.226999999999993</v>
      </c>
    </row>
    <row r="160" spans="1:11" x14ac:dyDescent="0.3">
      <c r="A160" s="9">
        <v>46210</v>
      </c>
      <c r="B160" s="10" t="s">
        <v>12</v>
      </c>
      <c r="C160" s="121" t="s">
        <v>106</v>
      </c>
      <c r="D160" s="121" t="s">
        <v>108</v>
      </c>
      <c r="E160" s="10">
        <v>3.883</v>
      </c>
      <c r="F160" s="10">
        <v>7.3269999999999946</v>
      </c>
      <c r="G160" s="10">
        <v>15.330000000000021</v>
      </c>
      <c r="H160" s="10">
        <v>0.61320000000000086</v>
      </c>
      <c r="I160" s="10">
        <v>2.430000000000021</v>
      </c>
      <c r="J160" s="10">
        <v>-1.9000000000000128</v>
      </c>
      <c r="K160" s="11">
        <v>-23.341000000000012</v>
      </c>
    </row>
    <row r="161" spans="1:11" x14ac:dyDescent="0.3">
      <c r="A161" s="9">
        <v>46210</v>
      </c>
      <c r="B161" s="10" t="s">
        <v>13</v>
      </c>
      <c r="C161" s="121" t="s">
        <v>108</v>
      </c>
      <c r="D161" s="121" t="s">
        <v>121</v>
      </c>
      <c r="E161" s="10">
        <v>3.9480200000000001</v>
      </c>
      <c r="F161" s="10">
        <v>6.5020000000000078</v>
      </c>
      <c r="G161" s="10">
        <v>21.832000000000029</v>
      </c>
      <c r="H161" s="10">
        <v>0.87328000000000117</v>
      </c>
      <c r="I161" s="10">
        <v>3.4260000000000179</v>
      </c>
      <c r="J161" s="10">
        <v>-1.3630000000000031</v>
      </c>
      <c r="K161" s="11">
        <v>-24.808000000000028</v>
      </c>
    </row>
    <row r="162" spans="1:11" x14ac:dyDescent="0.3">
      <c r="A162" s="9">
        <v>46210</v>
      </c>
      <c r="B162" s="10" t="s">
        <v>14</v>
      </c>
      <c r="C162" s="121" t="s">
        <v>121</v>
      </c>
      <c r="D162" s="121" t="s">
        <v>123</v>
      </c>
      <c r="E162" s="10">
        <v>3.9822500000000001</v>
      </c>
      <c r="F162" s="10">
        <v>3.4229999999999983</v>
      </c>
      <c r="G162" s="10">
        <v>25.255000000000027</v>
      </c>
      <c r="H162" s="10">
        <v>1.0102000000000011</v>
      </c>
      <c r="I162" s="10">
        <v>4.1730000000000267</v>
      </c>
      <c r="J162" s="10">
        <v>-1.5750000000000153</v>
      </c>
      <c r="K162" s="11">
        <v>-26.831999999999965</v>
      </c>
    </row>
    <row r="163" spans="1:11" x14ac:dyDescent="0.3">
      <c r="A163" s="9">
        <v>46210</v>
      </c>
      <c r="B163" s="10" t="s">
        <v>15</v>
      </c>
      <c r="C163" s="121" t="s">
        <v>123</v>
      </c>
      <c r="D163" s="121" t="s">
        <v>127</v>
      </c>
      <c r="E163" s="10">
        <v>4.0116500000000004</v>
      </c>
      <c r="F163" s="10">
        <v>2.9400000000000315</v>
      </c>
      <c r="G163" s="10">
        <v>28.195000000000057</v>
      </c>
      <c r="H163" s="10">
        <v>1.1278000000000024</v>
      </c>
      <c r="I163" s="10">
        <v>4.6650000000000524</v>
      </c>
      <c r="J163" s="10">
        <v>-2.0699999999999719</v>
      </c>
      <c r="K163" s="11">
        <v>-27.515000000000001</v>
      </c>
    </row>
    <row r="164" spans="1:11" x14ac:dyDescent="0.3">
      <c r="A164" s="9">
        <v>46210</v>
      </c>
      <c r="B164" s="10" t="s">
        <v>16</v>
      </c>
      <c r="C164" s="121" t="s">
        <v>127</v>
      </c>
      <c r="D164" s="121" t="s">
        <v>146</v>
      </c>
      <c r="E164" s="10">
        <v>4.0282600000000004</v>
      </c>
      <c r="F164" s="10">
        <v>1.6610000000000014</v>
      </c>
      <c r="G164" s="10">
        <v>29.856000000000058</v>
      </c>
      <c r="H164" s="10">
        <v>1.1942400000000024</v>
      </c>
      <c r="I164" s="10">
        <v>5.1060000000000549</v>
      </c>
      <c r="J164" s="10">
        <v>-1.9739999999999647</v>
      </c>
      <c r="K164" s="11">
        <v>-28.09399999999993</v>
      </c>
    </row>
    <row r="165" spans="1:11" x14ac:dyDescent="0.3">
      <c r="A165" s="9">
        <v>46210</v>
      </c>
      <c r="B165" s="10" t="s">
        <v>18</v>
      </c>
      <c r="C165" s="121" t="s">
        <v>146</v>
      </c>
      <c r="D165" s="121" t="s">
        <v>151</v>
      </c>
      <c r="E165" s="10">
        <v>4.0320099999999996</v>
      </c>
      <c r="F165" s="10">
        <v>0.37499999999992539</v>
      </c>
      <c r="G165" s="10">
        <v>30.230999999999987</v>
      </c>
      <c r="H165" s="10">
        <v>1.2092399999999994</v>
      </c>
      <c r="I165" s="10">
        <v>4.7259999999999636</v>
      </c>
      <c r="J165" s="10">
        <v>-1.5990000000000393</v>
      </c>
      <c r="K165" s="11" t="s">
        <v>41</v>
      </c>
    </row>
    <row r="166" spans="1:11" x14ac:dyDescent="0.3">
      <c r="A166" s="9">
        <v>46210</v>
      </c>
      <c r="B166" s="10" t="s">
        <v>19</v>
      </c>
      <c r="C166" s="121" t="s">
        <v>151</v>
      </c>
      <c r="D166" s="121"/>
      <c r="E166" s="10"/>
      <c r="F166" s="10"/>
      <c r="G166" s="10"/>
      <c r="H166" s="10"/>
      <c r="I166" s="10">
        <v>0</v>
      </c>
      <c r="J166" s="10">
        <v>0</v>
      </c>
      <c r="K166" s="11" t="s">
        <v>41</v>
      </c>
    </row>
    <row r="167" spans="1:11" x14ac:dyDescent="0.3">
      <c r="A167" s="9">
        <v>46210</v>
      </c>
      <c r="B167" s="10"/>
      <c r="C167" s="121"/>
      <c r="D167" s="121"/>
      <c r="E167" s="10"/>
      <c r="F167" s="10"/>
      <c r="G167" s="10"/>
      <c r="H167" s="10"/>
      <c r="I167" s="10">
        <v>0</v>
      </c>
      <c r="J167" s="10">
        <v>0</v>
      </c>
      <c r="K167" s="11">
        <v>0</v>
      </c>
    </row>
    <row r="168" spans="1:11" x14ac:dyDescent="0.3">
      <c r="A168" s="9">
        <v>46210</v>
      </c>
      <c r="B168" s="10"/>
      <c r="C168" s="121"/>
      <c r="D168" s="121"/>
      <c r="E168" s="10"/>
      <c r="F168" s="10"/>
      <c r="G168" s="10"/>
      <c r="H168" s="10"/>
      <c r="I168" s="10">
        <v>0</v>
      </c>
      <c r="J168" s="10">
        <v>0</v>
      </c>
      <c r="K168" s="11">
        <v>0</v>
      </c>
    </row>
    <row r="169" spans="1:11" x14ac:dyDescent="0.3">
      <c r="A169" s="9">
        <v>46210</v>
      </c>
      <c r="B169" s="10"/>
      <c r="C169" s="121"/>
      <c r="D169" s="121"/>
      <c r="E169" s="10"/>
      <c r="F169" s="10"/>
      <c r="G169" s="10"/>
      <c r="H169" s="10"/>
      <c r="I169" s="10">
        <v>0</v>
      </c>
      <c r="J169" s="10">
        <v>0</v>
      </c>
      <c r="K169" s="11">
        <v>0</v>
      </c>
    </row>
    <row r="170" spans="1:11" x14ac:dyDescent="0.3">
      <c r="A170" s="9">
        <v>46211</v>
      </c>
      <c r="B170" s="10" t="s">
        <v>19</v>
      </c>
      <c r="C170" s="121" t="s">
        <v>104</v>
      </c>
      <c r="D170" s="121" t="s">
        <v>105</v>
      </c>
      <c r="E170" s="10">
        <v>3.78206</v>
      </c>
      <c r="F170" s="10">
        <v>5.2360000000000184</v>
      </c>
      <c r="G170" s="10">
        <v>5.2360000000000184</v>
      </c>
      <c r="H170" s="10">
        <v>0.20944000000000074</v>
      </c>
      <c r="I170" s="10">
        <v>3.0889999999999862</v>
      </c>
      <c r="J170" s="10">
        <v>2.8560000000000141</v>
      </c>
      <c r="K170" s="11">
        <v>-7.7139999999999986</v>
      </c>
    </row>
    <row r="171" spans="1:11" x14ac:dyDescent="0.3">
      <c r="A171" s="9">
        <v>46211</v>
      </c>
      <c r="B171" s="10" t="s">
        <v>10</v>
      </c>
      <c r="C171" s="121" t="s">
        <v>105</v>
      </c>
      <c r="D171" s="121" t="s">
        <v>106</v>
      </c>
      <c r="E171" s="10">
        <v>3.9093599999999999</v>
      </c>
      <c r="F171" s="10">
        <v>12.729999999999997</v>
      </c>
      <c r="G171" s="10">
        <v>17.966000000000015</v>
      </c>
      <c r="H171" s="10">
        <v>0.71864000000000061</v>
      </c>
      <c r="I171" s="10">
        <v>9.9629999999999885</v>
      </c>
      <c r="J171" s="10">
        <v>10.584000000000016</v>
      </c>
      <c r="K171" s="11">
        <v>-10.040000000000004</v>
      </c>
    </row>
    <row r="172" spans="1:11" x14ac:dyDescent="0.3">
      <c r="A172" s="9">
        <v>46211</v>
      </c>
      <c r="B172" s="10" t="s">
        <v>12</v>
      </c>
      <c r="C172" s="121" t="s">
        <v>106</v>
      </c>
      <c r="D172" s="121" t="s">
        <v>108</v>
      </c>
      <c r="E172" s="10">
        <v>4.0223000000000004</v>
      </c>
      <c r="F172" s="10">
        <v>11.294000000000048</v>
      </c>
      <c r="G172" s="10">
        <v>29.260000000000062</v>
      </c>
      <c r="H172" s="10">
        <v>1.1704000000000025</v>
      </c>
      <c r="I172" s="10">
        <v>13.930000000000042</v>
      </c>
      <c r="J172" s="10">
        <v>15.161000000000024</v>
      </c>
      <c r="K172" s="11">
        <v>-11.907999999999941</v>
      </c>
    </row>
    <row r="173" spans="1:11" x14ac:dyDescent="0.3">
      <c r="A173" s="9">
        <v>46211</v>
      </c>
      <c r="B173" s="10" t="s">
        <v>13</v>
      </c>
      <c r="C173" s="121" t="s">
        <v>108</v>
      </c>
      <c r="D173" s="121" t="s">
        <v>121</v>
      </c>
      <c r="E173" s="10">
        <v>4.1030699999999998</v>
      </c>
      <c r="F173" s="10">
        <v>8.0769999999999342</v>
      </c>
      <c r="G173" s="10">
        <v>37.336999999999996</v>
      </c>
      <c r="H173" s="10">
        <v>1.4934799999999999</v>
      </c>
      <c r="I173" s="10">
        <v>15.504999999999969</v>
      </c>
      <c r="J173" s="10">
        <v>17.466999999999988</v>
      </c>
      <c r="K173" s="11">
        <v>-12.058000000000035</v>
      </c>
    </row>
    <row r="174" spans="1:11" x14ac:dyDescent="0.3">
      <c r="A174" s="9">
        <v>46211</v>
      </c>
      <c r="B174" s="10" t="s">
        <v>14</v>
      </c>
      <c r="C174" s="121" t="s">
        <v>121</v>
      </c>
      <c r="D174" s="121" t="s">
        <v>123</v>
      </c>
      <c r="E174" s="10">
        <v>4.1531599999999997</v>
      </c>
      <c r="F174" s="10">
        <v>5.0089999999999968</v>
      </c>
      <c r="G174" s="10">
        <v>42.345999999999997</v>
      </c>
      <c r="H174" s="10">
        <v>1.6938399999999998</v>
      </c>
      <c r="I174" s="10">
        <v>17.090999999999966</v>
      </c>
      <c r="J174" s="10">
        <v>19.183999999999955</v>
      </c>
      <c r="K174" s="11">
        <v>-12.684000000000051</v>
      </c>
    </row>
    <row r="175" spans="1:11" x14ac:dyDescent="0.3">
      <c r="A175" s="9">
        <v>46211</v>
      </c>
      <c r="B175" s="10" t="s">
        <v>15</v>
      </c>
      <c r="C175" s="121" t="s">
        <v>123</v>
      </c>
      <c r="D175" s="121" t="s">
        <v>127</v>
      </c>
      <c r="E175" s="10">
        <v>4.2002499999999996</v>
      </c>
      <c r="F175" s="10">
        <v>4.7089999999999854</v>
      </c>
      <c r="G175" s="10">
        <v>47.054999999999978</v>
      </c>
      <c r="H175" s="10">
        <v>1.8821999999999992</v>
      </c>
      <c r="I175" s="10">
        <v>18.859999999999921</v>
      </c>
      <c r="J175" s="10">
        <v>20.497999999999948</v>
      </c>
      <c r="K175" s="11">
        <v>-11.620000000000008</v>
      </c>
    </row>
    <row r="176" spans="1:11" x14ac:dyDescent="0.3">
      <c r="A176" s="9">
        <v>46211</v>
      </c>
      <c r="B176" s="10" t="s">
        <v>16</v>
      </c>
      <c r="C176" s="121" t="s">
        <v>127</v>
      </c>
      <c r="D176" s="121" t="s">
        <v>146</v>
      </c>
      <c r="E176" s="10">
        <v>4.2253499999999997</v>
      </c>
      <c r="F176" s="10">
        <v>2.5100000000000122</v>
      </c>
      <c r="G176" s="10">
        <v>49.564999999999991</v>
      </c>
      <c r="H176" s="10">
        <v>1.9825999999999997</v>
      </c>
      <c r="I176" s="10">
        <v>19.708999999999932</v>
      </c>
      <c r="J176" s="10">
        <v>21.214999999999939</v>
      </c>
      <c r="K176" s="11">
        <v>-11.474000000000029</v>
      </c>
    </row>
    <row r="177" spans="1:11" x14ac:dyDescent="0.3">
      <c r="A177" s="9">
        <v>46211</v>
      </c>
      <c r="B177" s="10" t="s">
        <v>18</v>
      </c>
      <c r="C177" s="121" t="s">
        <v>146</v>
      </c>
      <c r="D177" s="121" t="s">
        <v>151</v>
      </c>
      <c r="E177" s="10">
        <v>4.22973</v>
      </c>
      <c r="F177" s="10">
        <v>0.43800000000002726</v>
      </c>
      <c r="G177" s="10">
        <v>50.003000000000021</v>
      </c>
      <c r="H177" s="10">
        <v>2.0001200000000008</v>
      </c>
      <c r="I177" s="10">
        <v>19.772000000000034</v>
      </c>
      <c r="J177" s="10">
        <v>21.17300000000002</v>
      </c>
      <c r="K177" s="11" t="s">
        <v>41</v>
      </c>
    </row>
    <row r="178" spans="1:11" x14ac:dyDescent="0.3">
      <c r="A178" s="9">
        <v>46211</v>
      </c>
      <c r="B178" s="10" t="s">
        <v>19</v>
      </c>
      <c r="C178" s="121" t="s">
        <v>151</v>
      </c>
      <c r="D178" s="121"/>
      <c r="E178" s="10"/>
      <c r="F178" s="10"/>
      <c r="G178" s="10"/>
      <c r="H178" s="10"/>
      <c r="I178" s="10">
        <v>0</v>
      </c>
      <c r="J178" s="10">
        <v>0</v>
      </c>
      <c r="K178" s="11" t="s">
        <v>41</v>
      </c>
    </row>
    <row r="179" spans="1:11" x14ac:dyDescent="0.3">
      <c r="A179" s="9">
        <v>46211</v>
      </c>
      <c r="B179" s="10"/>
      <c r="C179" s="121"/>
      <c r="D179" s="121"/>
      <c r="E179" s="10"/>
      <c r="F179" s="10"/>
      <c r="G179" s="10"/>
      <c r="H179" s="10"/>
      <c r="I179" s="10">
        <v>0</v>
      </c>
      <c r="J179" s="10">
        <v>0</v>
      </c>
      <c r="K179" s="11">
        <v>0</v>
      </c>
    </row>
    <row r="180" spans="1:11" x14ac:dyDescent="0.3">
      <c r="A180" s="9">
        <v>46211</v>
      </c>
      <c r="B180" s="10"/>
      <c r="C180" s="121"/>
      <c r="D180" s="121"/>
      <c r="E180" s="10"/>
      <c r="F180" s="10"/>
      <c r="G180" s="10"/>
      <c r="H180" s="10"/>
      <c r="I180" s="10">
        <v>0</v>
      </c>
      <c r="J180" s="10">
        <v>0</v>
      </c>
      <c r="K180" s="11">
        <v>0</v>
      </c>
    </row>
    <row r="181" spans="1:11" x14ac:dyDescent="0.3">
      <c r="A181" s="9">
        <v>46211</v>
      </c>
      <c r="B181" s="10"/>
      <c r="C181" s="121"/>
      <c r="D181" s="121"/>
      <c r="E181" s="10"/>
      <c r="F181" s="10"/>
      <c r="G181" s="10"/>
      <c r="H181" s="10"/>
      <c r="I181" s="10">
        <v>0</v>
      </c>
      <c r="J181" s="10">
        <v>0</v>
      </c>
      <c r="K181" s="11">
        <v>0</v>
      </c>
    </row>
    <row r="182" spans="1:11" x14ac:dyDescent="0.3">
      <c r="A182" s="435">
        <v>46212</v>
      </c>
      <c r="B182" s="436" t="s">
        <v>19</v>
      </c>
      <c r="C182" s="437" t="s">
        <v>104</v>
      </c>
      <c r="D182" s="437" t="s">
        <v>105</v>
      </c>
      <c r="E182" s="436">
        <v>3.7665700000000002</v>
      </c>
      <c r="F182" s="436"/>
      <c r="G182" s="436"/>
      <c r="H182" s="436"/>
      <c r="I182" s="436"/>
      <c r="J182" s="436"/>
      <c r="K182" s="438"/>
    </row>
    <row r="183" spans="1:11" x14ac:dyDescent="0.3">
      <c r="A183" s="435">
        <v>46212</v>
      </c>
      <c r="B183" s="432" t="s">
        <v>10</v>
      </c>
      <c r="C183" s="433" t="s">
        <v>105</v>
      </c>
      <c r="D183" s="433" t="s">
        <v>106</v>
      </c>
      <c r="E183" s="432">
        <v>3.8648699999999998</v>
      </c>
      <c r="F183" s="432"/>
      <c r="G183" s="432"/>
      <c r="H183" s="432"/>
      <c r="I183" s="432"/>
      <c r="J183" s="432"/>
      <c r="K183" s="434"/>
    </row>
    <row r="184" spans="1:11" x14ac:dyDescent="0.3">
      <c r="A184" s="435">
        <v>46212</v>
      </c>
      <c r="B184" s="432" t="s">
        <v>12</v>
      </c>
      <c r="C184" s="433" t="s">
        <v>106</v>
      </c>
      <c r="D184" s="433" t="s">
        <v>108</v>
      </c>
      <c r="E184" s="432">
        <v>3.9628000000000001</v>
      </c>
      <c r="F184" s="432"/>
      <c r="G184" s="432"/>
      <c r="H184" s="432"/>
      <c r="I184" s="432"/>
      <c r="J184" s="432"/>
      <c r="K184" s="434"/>
    </row>
    <row r="185" spans="1:11" x14ac:dyDescent="0.3">
      <c r="A185" s="435">
        <v>46212</v>
      </c>
      <c r="B185" s="432" t="s">
        <v>13</v>
      </c>
      <c r="C185" s="433" t="s">
        <v>108</v>
      </c>
      <c r="D185" s="433" t="s">
        <v>121</v>
      </c>
      <c r="E185" s="432">
        <v>4.0372000000000003</v>
      </c>
      <c r="F185" s="432"/>
      <c r="G185" s="432"/>
      <c r="H185" s="432"/>
      <c r="I185" s="432"/>
      <c r="J185" s="432"/>
      <c r="K185" s="434"/>
    </row>
    <row r="186" spans="1:11" x14ac:dyDescent="0.3">
      <c r="A186" s="435">
        <v>46212</v>
      </c>
      <c r="B186" s="432" t="s">
        <v>14</v>
      </c>
      <c r="C186" s="433" t="s">
        <v>121</v>
      </c>
      <c r="D186" s="433" t="s">
        <v>123</v>
      </c>
      <c r="E186" s="432">
        <v>4.0773999999999999</v>
      </c>
      <c r="F186" s="432"/>
      <c r="G186" s="432"/>
      <c r="H186" s="432"/>
      <c r="I186" s="432"/>
      <c r="J186" s="432"/>
      <c r="K186" s="434"/>
    </row>
    <row r="187" spans="1:11" x14ac:dyDescent="0.3">
      <c r="A187" s="435">
        <v>46212</v>
      </c>
      <c r="B187" s="432" t="s">
        <v>15</v>
      </c>
      <c r="C187" s="433" t="s">
        <v>123</v>
      </c>
      <c r="D187" s="433" t="s">
        <v>127</v>
      </c>
      <c r="E187" s="432">
        <v>4.1200999999999999</v>
      </c>
      <c r="F187" s="432"/>
      <c r="G187" s="432"/>
      <c r="H187" s="432"/>
      <c r="I187" s="432"/>
      <c r="J187" s="432"/>
      <c r="K187" s="434"/>
    </row>
    <row r="188" spans="1:11" x14ac:dyDescent="0.3">
      <c r="A188" s="435">
        <v>46212</v>
      </c>
      <c r="B188" s="432" t="s">
        <v>16</v>
      </c>
      <c r="C188" s="433" t="s">
        <v>127</v>
      </c>
      <c r="D188" s="433" t="s">
        <v>146</v>
      </c>
      <c r="E188" s="432">
        <v>4.1388699999999998</v>
      </c>
      <c r="F188" s="432"/>
      <c r="G188" s="432"/>
      <c r="H188" s="432"/>
      <c r="I188" s="432"/>
      <c r="J188" s="432"/>
      <c r="K188" s="434"/>
    </row>
    <row r="189" spans="1:11" x14ac:dyDescent="0.3">
      <c r="A189" s="435">
        <v>46212</v>
      </c>
      <c r="B189" s="432" t="s">
        <v>18</v>
      </c>
      <c r="C189" s="433" t="s">
        <v>146</v>
      </c>
      <c r="D189" s="433" t="s">
        <v>151</v>
      </c>
      <c r="E189" s="432">
        <v>4.1470000000000002</v>
      </c>
      <c r="F189" s="432"/>
      <c r="G189" s="432"/>
      <c r="H189" s="432"/>
      <c r="I189" s="432"/>
      <c r="J189" s="432"/>
      <c r="K189" s="434"/>
    </row>
    <row r="190" spans="1:11" x14ac:dyDescent="0.3">
      <c r="A190" s="431">
        <v>46213</v>
      </c>
      <c r="B190" s="432" t="s">
        <v>19</v>
      </c>
      <c r="C190" s="433" t="s">
        <v>104</v>
      </c>
      <c r="D190" s="433" t="s">
        <v>105</v>
      </c>
      <c r="E190" s="432">
        <v>3.7620300000000002</v>
      </c>
      <c r="F190" s="432">
        <v>3.0930000000000124</v>
      </c>
      <c r="G190" s="432">
        <v>3.0930000000000124</v>
      </c>
      <c r="H190" s="432">
        <v>0.1237200000000005</v>
      </c>
      <c r="I190" s="432">
        <v>-0.45399999999999885</v>
      </c>
      <c r="J190" s="432">
        <v>1.3530000000000264</v>
      </c>
      <c r="K190" s="434">
        <v>-10.246999999999984</v>
      </c>
    </row>
    <row r="191" spans="1:11" x14ac:dyDescent="0.3">
      <c r="A191" s="431">
        <v>46213</v>
      </c>
      <c r="B191" s="432" t="s">
        <v>10</v>
      </c>
      <c r="C191" s="433" t="s">
        <v>105</v>
      </c>
      <c r="D191" s="433" t="s">
        <v>106</v>
      </c>
      <c r="E191" s="432">
        <v>3.8593000000000002</v>
      </c>
      <c r="F191" s="432">
        <v>9.7269999999999968</v>
      </c>
      <c r="G191" s="432">
        <v>12.820000000000009</v>
      </c>
      <c r="H191" s="432">
        <v>0.51280000000000037</v>
      </c>
      <c r="I191" s="432">
        <v>-0.55699999999996308</v>
      </c>
      <c r="J191" s="432">
        <v>6.4090000000000202</v>
      </c>
      <c r="K191" s="434">
        <v>-15.470000000000006</v>
      </c>
    </row>
    <row r="192" spans="1:11" x14ac:dyDescent="0.3">
      <c r="A192" s="431">
        <v>46213</v>
      </c>
      <c r="B192" s="432" t="s">
        <v>12</v>
      </c>
      <c r="C192" s="433" t="s">
        <v>106</v>
      </c>
      <c r="D192" s="433" t="s">
        <v>108</v>
      </c>
      <c r="E192" s="432">
        <v>3.9553099999999999</v>
      </c>
      <c r="F192" s="432">
        <v>9.6009999999999707</v>
      </c>
      <c r="G192" s="432">
        <v>22.420999999999978</v>
      </c>
      <c r="H192" s="432">
        <v>0.89683999999999908</v>
      </c>
      <c r="I192" s="432">
        <v>-0.74900000000002187</v>
      </c>
      <c r="J192" s="432">
        <v>9.6849999999999881</v>
      </c>
      <c r="K192" s="434">
        <v>-19.369000000000014</v>
      </c>
    </row>
    <row r="193" spans="1:11" x14ac:dyDescent="0.3">
      <c r="A193" s="431">
        <v>46213</v>
      </c>
      <c r="B193" s="432" t="s">
        <v>13</v>
      </c>
      <c r="C193" s="433" t="s">
        <v>108</v>
      </c>
      <c r="D193" s="433" t="s">
        <v>121</v>
      </c>
      <c r="E193" s="432">
        <v>4.0270299999999999</v>
      </c>
      <c r="F193" s="432">
        <v>7.1720000000000006</v>
      </c>
      <c r="G193" s="432">
        <v>29.592999999999982</v>
      </c>
      <c r="H193" s="432">
        <v>1.1837199999999992</v>
      </c>
      <c r="I193" s="432">
        <v>-1.0170000000000456</v>
      </c>
      <c r="J193" s="432">
        <v>11.403000000000008</v>
      </c>
      <c r="K193" s="434">
        <v>-21.997</v>
      </c>
    </row>
    <row r="194" spans="1:11" x14ac:dyDescent="0.3">
      <c r="A194" s="431">
        <v>46213</v>
      </c>
      <c r="B194" s="432" t="s">
        <v>14</v>
      </c>
      <c r="C194" s="433" t="s">
        <v>121</v>
      </c>
      <c r="D194" s="433" t="s">
        <v>123</v>
      </c>
      <c r="E194" s="432">
        <v>4.0665300000000002</v>
      </c>
      <c r="F194" s="432">
        <v>3.9500000000000313</v>
      </c>
      <c r="G194" s="432">
        <v>33.543000000000013</v>
      </c>
      <c r="H194" s="432">
        <v>1.3417200000000005</v>
      </c>
      <c r="I194" s="432">
        <v>-1.0869999999999713</v>
      </c>
      <c r="J194" s="432">
        <v>12.583000000000011</v>
      </c>
      <c r="K194" s="434">
        <v>-22.46699999999997</v>
      </c>
    </row>
    <row r="195" spans="1:11" x14ac:dyDescent="0.3">
      <c r="A195" s="431">
        <v>46213</v>
      </c>
      <c r="B195" s="432" t="s">
        <v>15</v>
      </c>
      <c r="C195" s="433" t="s">
        <v>123</v>
      </c>
      <c r="D195" s="433" t="s">
        <v>127</v>
      </c>
      <c r="E195" s="432">
        <v>4.1109400000000003</v>
      </c>
      <c r="F195" s="432">
        <v>4.4410000000000061</v>
      </c>
      <c r="G195" s="432">
        <v>37.984000000000016</v>
      </c>
      <c r="H195" s="432">
        <v>1.5193600000000007</v>
      </c>
      <c r="I195" s="432">
        <v>-0.91599999999996129</v>
      </c>
      <c r="J195" s="432">
        <v>14.158000000000026</v>
      </c>
      <c r="K195" s="434">
        <v>-22.105999999999959</v>
      </c>
    </row>
    <row r="196" spans="1:11" x14ac:dyDescent="0.3">
      <c r="A196" s="431">
        <v>46213</v>
      </c>
      <c r="B196" s="432" t="s">
        <v>16</v>
      </c>
      <c r="C196" s="433" t="s">
        <v>127</v>
      </c>
      <c r="D196" s="433" t="s">
        <v>146</v>
      </c>
      <c r="E196" s="432">
        <v>4.1310000000000002</v>
      </c>
      <c r="F196" s="432">
        <v>2.0059999999999967</v>
      </c>
      <c r="G196" s="432">
        <v>39.990000000000016</v>
      </c>
      <c r="H196" s="432">
        <v>1.5996000000000006</v>
      </c>
      <c r="I196" s="432">
        <v>-0.78699999999995995</v>
      </c>
      <c r="J196" s="432">
        <v>14.775000000000027</v>
      </c>
      <c r="K196" s="434">
        <v>-23.280000000000012</v>
      </c>
    </row>
    <row r="197" spans="1:11" x14ac:dyDescent="0.3">
      <c r="A197" s="431">
        <v>46213</v>
      </c>
      <c r="B197" s="432" t="s">
        <v>18</v>
      </c>
      <c r="C197" s="433" t="s">
        <v>146</v>
      </c>
      <c r="D197" s="433" t="s">
        <v>151</v>
      </c>
      <c r="E197" s="432">
        <v>4.1368</v>
      </c>
      <c r="F197" s="432">
        <v>0.57999999999998053</v>
      </c>
      <c r="G197" s="432">
        <v>40.569999999999993</v>
      </c>
      <c r="H197" s="432">
        <v>1.6227999999999998</v>
      </c>
      <c r="I197" s="432">
        <v>-1.0200000000000209</v>
      </c>
      <c r="J197" s="432">
        <v>14.780000000000015</v>
      </c>
      <c r="K197" s="434" t="s">
        <v>41</v>
      </c>
    </row>
    <row r="198" spans="1:11" x14ac:dyDescent="0.3">
      <c r="A198" s="431">
        <v>46213</v>
      </c>
      <c r="B198" s="432" t="s">
        <v>19</v>
      </c>
      <c r="C198" s="433" t="s">
        <v>151</v>
      </c>
      <c r="D198" s="433"/>
      <c r="E198" s="432"/>
      <c r="F198" s="432"/>
      <c r="G198" s="432"/>
      <c r="H198" s="432"/>
      <c r="I198" s="432" t="s">
        <v>41</v>
      </c>
      <c r="J198" s="432">
        <v>0</v>
      </c>
      <c r="K198" s="434" t="s">
        <v>41</v>
      </c>
    </row>
    <row r="199" spans="1:11" x14ac:dyDescent="0.3">
      <c r="A199" s="431">
        <v>46213</v>
      </c>
      <c r="B199" s="432"/>
      <c r="C199" s="433"/>
      <c r="D199" s="433"/>
      <c r="E199" s="432"/>
      <c r="F199" s="432"/>
      <c r="G199" s="432"/>
      <c r="H199" s="432"/>
      <c r="I199" s="432" t="s">
        <v>41</v>
      </c>
      <c r="J199" s="432">
        <v>0</v>
      </c>
      <c r="K199" s="434">
        <v>0</v>
      </c>
    </row>
    <row r="200" spans="1:11" x14ac:dyDescent="0.3">
      <c r="A200" s="431">
        <v>46213</v>
      </c>
      <c r="B200" s="432"/>
      <c r="C200" s="433"/>
      <c r="D200" s="433"/>
      <c r="E200" s="432"/>
      <c r="F200" s="432"/>
      <c r="G200" s="432"/>
      <c r="H200" s="432"/>
      <c r="I200" s="432" t="s">
        <v>41</v>
      </c>
      <c r="J200" s="432">
        <v>0</v>
      </c>
      <c r="K200" s="434">
        <v>0</v>
      </c>
    </row>
    <row r="201" spans="1:11" x14ac:dyDescent="0.3">
      <c r="A201" s="431">
        <v>46213</v>
      </c>
      <c r="B201" s="432"/>
      <c r="C201" s="433"/>
      <c r="D201" s="433"/>
      <c r="E201" s="432"/>
      <c r="F201" s="432"/>
      <c r="G201" s="432"/>
      <c r="H201" s="432"/>
      <c r="I201" s="432" t="s">
        <v>41</v>
      </c>
      <c r="J201" s="432">
        <v>0</v>
      </c>
      <c r="K201" s="434">
        <v>0</v>
      </c>
    </row>
    <row r="202" spans="1:11" x14ac:dyDescent="0.3">
      <c r="A202" s="456">
        <v>46216</v>
      </c>
      <c r="B202" s="457" t="s">
        <v>19</v>
      </c>
      <c r="C202" s="458" t="s">
        <v>104</v>
      </c>
      <c r="D202" s="458" t="s">
        <v>105</v>
      </c>
      <c r="E202" s="457">
        <v>3.7763499999999999</v>
      </c>
      <c r="F202" s="457">
        <v>4.5350000000000001</v>
      </c>
      <c r="G202" s="457">
        <v>4.5350000000000001</v>
      </c>
      <c r="H202" s="457">
        <v>0.18140000000000001</v>
      </c>
      <c r="I202" s="457">
        <v>1.4319999999999666</v>
      </c>
      <c r="J202" s="457">
        <v>2.5949999999999918</v>
      </c>
      <c r="K202" s="459">
        <v>-8.8150000000000173</v>
      </c>
    </row>
    <row r="203" spans="1:11" x14ac:dyDescent="0.3">
      <c r="A203" s="456">
        <v>46216</v>
      </c>
      <c r="B203" s="457" t="s">
        <v>10</v>
      </c>
      <c r="C203" s="458" t="s">
        <v>105</v>
      </c>
      <c r="D203" s="458" t="s">
        <v>106</v>
      </c>
      <c r="E203" s="457">
        <v>3.9184399999999999</v>
      </c>
      <c r="F203" s="457">
        <v>14.209000000000005</v>
      </c>
      <c r="G203" s="457">
        <v>18.744000000000007</v>
      </c>
      <c r="H203" s="457">
        <v>0.74976000000000032</v>
      </c>
      <c r="I203" s="457">
        <v>5.9139999999999748</v>
      </c>
      <c r="J203" s="457">
        <v>12.292000000000014</v>
      </c>
      <c r="K203" s="459">
        <v>-9.5560000000000311</v>
      </c>
    </row>
    <row r="204" spans="1:11" x14ac:dyDescent="0.3">
      <c r="A204" s="456">
        <v>46216</v>
      </c>
      <c r="B204" s="457" t="s">
        <v>12</v>
      </c>
      <c r="C204" s="458" t="s">
        <v>106</v>
      </c>
      <c r="D204" s="458" t="s">
        <v>108</v>
      </c>
      <c r="E204" s="457">
        <v>4.048</v>
      </c>
      <c r="F204" s="457">
        <v>12.956000000000012</v>
      </c>
      <c r="G204" s="457">
        <v>31.700000000000017</v>
      </c>
      <c r="H204" s="457">
        <v>1.2680000000000007</v>
      </c>
      <c r="I204" s="457">
        <v>9.2690000000000161</v>
      </c>
      <c r="J204" s="457">
        <v>18.930000000000025</v>
      </c>
      <c r="K204" s="459">
        <v>-10.099999999999998</v>
      </c>
    </row>
    <row r="205" spans="1:11" x14ac:dyDescent="0.3">
      <c r="A205" s="456">
        <v>46216</v>
      </c>
      <c r="B205" s="457" t="s">
        <v>13</v>
      </c>
      <c r="C205" s="458" t="s">
        <v>108</v>
      </c>
      <c r="D205" s="458" t="s">
        <v>121</v>
      </c>
      <c r="E205" s="457">
        <v>4.1340000000000003</v>
      </c>
      <c r="F205" s="457">
        <v>8.6000000000000298</v>
      </c>
      <c r="G205" s="457">
        <v>40.300000000000047</v>
      </c>
      <c r="H205" s="457">
        <v>1.6120000000000019</v>
      </c>
      <c r="I205" s="457">
        <v>10.697000000000045</v>
      </c>
      <c r="J205" s="457">
        <v>22.024000000000044</v>
      </c>
      <c r="K205" s="459">
        <v>-11.299999999999955</v>
      </c>
    </row>
    <row r="206" spans="1:11" x14ac:dyDescent="0.3">
      <c r="A206" s="456">
        <v>46216</v>
      </c>
      <c r="B206" s="457" t="s">
        <v>14</v>
      </c>
      <c r="C206" s="458" t="s">
        <v>121</v>
      </c>
      <c r="D206" s="458" t="s">
        <v>123</v>
      </c>
      <c r="E206" s="457">
        <v>4.1880699999999997</v>
      </c>
      <c r="F206" s="457">
        <v>5.4069999999999396</v>
      </c>
      <c r="G206" s="457">
        <v>45.706999999999987</v>
      </c>
      <c r="H206" s="457">
        <v>1.8282799999999995</v>
      </c>
      <c r="I206" s="457">
        <v>12.153999999999954</v>
      </c>
      <c r="J206" s="457">
        <v>24.754999999999995</v>
      </c>
      <c r="K206" s="459">
        <v>-10.313000000000017</v>
      </c>
    </row>
    <row r="207" spans="1:11" x14ac:dyDescent="0.3">
      <c r="A207" s="456">
        <v>46216</v>
      </c>
      <c r="B207" s="457" t="s">
        <v>15</v>
      </c>
      <c r="C207" s="458" t="s">
        <v>123</v>
      </c>
      <c r="D207" s="458" t="s">
        <v>127</v>
      </c>
      <c r="E207" s="457">
        <v>4.2424999999999997</v>
      </c>
      <c r="F207" s="457">
        <v>5.4429999999999978</v>
      </c>
      <c r="G207" s="457">
        <v>51.149999999999984</v>
      </c>
      <c r="H207" s="457">
        <v>2.0459999999999994</v>
      </c>
      <c r="I207" s="457">
        <v>13.155999999999946</v>
      </c>
      <c r="J207" s="457">
        <v>27.749999999999986</v>
      </c>
      <c r="K207" s="459">
        <v>-8.9500000000000135</v>
      </c>
    </row>
    <row r="208" spans="1:11" x14ac:dyDescent="0.3">
      <c r="A208" s="456">
        <v>46216</v>
      </c>
      <c r="B208" s="457" t="s">
        <v>16</v>
      </c>
      <c r="C208" s="458" t="s">
        <v>127</v>
      </c>
      <c r="D208" s="458" t="s">
        <v>146</v>
      </c>
      <c r="E208" s="457">
        <v>4.2667000000000002</v>
      </c>
      <c r="F208" s="457">
        <v>2.4200000000000443</v>
      </c>
      <c r="G208" s="457">
        <v>53.570000000000029</v>
      </c>
      <c r="H208" s="457">
        <v>2.1428000000000011</v>
      </c>
      <c r="I208" s="457">
        <v>13.569999999999993</v>
      </c>
      <c r="J208" s="457">
        <v>28.950000000000031</v>
      </c>
      <c r="K208" s="459">
        <v>-9.7100000000000186</v>
      </c>
    </row>
    <row r="209" spans="1:11" x14ac:dyDescent="0.3">
      <c r="A209" s="456">
        <v>46216</v>
      </c>
      <c r="B209" s="457" t="s">
        <v>18</v>
      </c>
      <c r="C209" s="458" t="s">
        <v>146</v>
      </c>
      <c r="D209" s="458" t="s">
        <v>151</v>
      </c>
      <c r="E209" s="457">
        <v>4.2748999999999997</v>
      </c>
      <c r="F209" s="457">
        <v>0.8199999999999541</v>
      </c>
      <c r="G209" s="457">
        <v>54.389999999999986</v>
      </c>
      <c r="H209" s="457">
        <v>2.1755999999999993</v>
      </c>
      <c r="I209" s="457">
        <v>13.809999999999967</v>
      </c>
      <c r="J209" s="457">
        <v>29.014999999999969</v>
      </c>
      <c r="K209" s="459" t="s">
        <v>41</v>
      </c>
    </row>
    <row r="210" spans="1:11" x14ac:dyDescent="0.3">
      <c r="A210" s="456">
        <v>46216</v>
      </c>
      <c r="B210" s="457" t="s">
        <v>19</v>
      </c>
      <c r="C210" s="458" t="s">
        <v>151</v>
      </c>
      <c r="D210" s="458"/>
      <c r="E210" s="457"/>
      <c r="F210" s="457"/>
      <c r="G210" s="457"/>
      <c r="H210" s="457"/>
      <c r="I210" s="457">
        <v>0</v>
      </c>
      <c r="J210" s="457">
        <v>0</v>
      </c>
      <c r="K210" s="459" t="s">
        <v>41</v>
      </c>
    </row>
    <row r="211" spans="1:11" x14ac:dyDescent="0.3">
      <c r="A211" s="456">
        <v>46216</v>
      </c>
      <c r="B211" s="457"/>
      <c r="C211" s="458"/>
      <c r="D211" s="458"/>
      <c r="E211" s="457"/>
      <c r="F211" s="457"/>
      <c r="G211" s="457"/>
      <c r="H211" s="457"/>
      <c r="I211" s="457">
        <v>0</v>
      </c>
      <c r="J211" s="457">
        <v>0</v>
      </c>
      <c r="K211" s="459">
        <v>0</v>
      </c>
    </row>
    <row r="212" spans="1:11" x14ac:dyDescent="0.3">
      <c r="A212" s="456">
        <v>46216</v>
      </c>
      <c r="B212" s="457"/>
      <c r="C212" s="458"/>
      <c r="D212" s="458"/>
      <c r="E212" s="457"/>
      <c r="F212" s="457"/>
      <c r="G212" s="457"/>
      <c r="H212" s="457"/>
      <c r="I212" s="457">
        <v>0</v>
      </c>
      <c r="J212" s="457">
        <v>0</v>
      </c>
      <c r="K212" s="459">
        <v>0</v>
      </c>
    </row>
    <row r="213" spans="1:11" x14ac:dyDescent="0.3">
      <c r="A213" s="456">
        <v>46216</v>
      </c>
      <c r="B213" s="457"/>
      <c r="C213" s="458"/>
      <c r="D213" s="458"/>
      <c r="E213" s="457"/>
      <c r="F213" s="457"/>
      <c r="G213" s="457"/>
      <c r="H213" s="457"/>
      <c r="I213" s="457">
        <v>0</v>
      </c>
      <c r="J213" s="457">
        <v>0</v>
      </c>
      <c r="K213" s="459">
        <v>0</v>
      </c>
    </row>
    <row r="214" spans="1:11" x14ac:dyDescent="0.3">
      <c r="A214" s="471">
        <v>46217</v>
      </c>
      <c r="B214" s="472" t="s">
        <v>19</v>
      </c>
      <c r="C214" s="473" t="s">
        <v>104</v>
      </c>
      <c r="D214" s="473" t="s">
        <v>105</v>
      </c>
      <c r="E214" s="472">
        <v>3.76993</v>
      </c>
      <c r="F214" s="472">
        <v>3.9130000000000109</v>
      </c>
      <c r="G214" s="472">
        <v>3.9130000000000109</v>
      </c>
      <c r="H214" s="472">
        <v>0.15652000000000044</v>
      </c>
      <c r="I214" s="472">
        <v>-0.64199999999998703</v>
      </c>
      <c r="J214" s="472">
        <v>1.8759999999999888</v>
      </c>
      <c r="K214" s="474">
        <v>-5.4170000000000051</v>
      </c>
    </row>
    <row r="215" spans="1:11" x14ac:dyDescent="0.3">
      <c r="A215" s="471">
        <v>46217</v>
      </c>
      <c r="B215" s="472" t="s">
        <v>10</v>
      </c>
      <c r="C215" s="473" t="s">
        <v>105</v>
      </c>
      <c r="D215" s="473" t="s">
        <v>106</v>
      </c>
      <c r="E215" s="472">
        <v>3.9119999999999999</v>
      </c>
      <c r="F215" s="472">
        <v>14.206999999999992</v>
      </c>
      <c r="G215" s="472">
        <v>18.120000000000005</v>
      </c>
      <c r="H215" s="472">
        <v>0.72480000000000022</v>
      </c>
      <c r="I215" s="472">
        <v>-0.64400000000000013</v>
      </c>
      <c r="J215" s="472">
        <v>10.226999999999986</v>
      </c>
      <c r="K215" s="474">
        <v>-0.30000000000001137</v>
      </c>
    </row>
    <row r="216" spans="1:11" x14ac:dyDescent="0.3">
      <c r="A216" s="471">
        <v>46217</v>
      </c>
      <c r="B216" s="472" t="s">
        <v>12</v>
      </c>
      <c r="C216" s="473" t="s">
        <v>106</v>
      </c>
      <c r="D216" s="473" t="s">
        <v>108</v>
      </c>
      <c r="E216" s="472">
        <v>4.0437200000000004</v>
      </c>
      <c r="F216" s="472">
        <v>13.17200000000005</v>
      </c>
      <c r="G216" s="472">
        <v>31.292000000000051</v>
      </c>
      <c r="H216" s="472">
        <v>1.2516800000000021</v>
      </c>
      <c r="I216" s="472">
        <v>-0.42799999999996174</v>
      </c>
      <c r="J216" s="472">
        <v>16.072000000000042</v>
      </c>
      <c r="K216" s="474">
        <v>2.7810000000000556</v>
      </c>
    </row>
    <row r="217" spans="1:11" x14ac:dyDescent="0.3">
      <c r="A217" s="471">
        <v>46217</v>
      </c>
      <c r="B217" s="472" t="s">
        <v>13</v>
      </c>
      <c r="C217" s="473" t="s">
        <v>108</v>
      </c>
      <c r="D217" s="473" t="s">
        <v>121</v>
      </c>
      <c r="E217" s="472">
        <v>4.1259899999999998</v>
      </c>
      <c r="F217" s="472">
        <v>8.2269999999999399</v>
      </c>
      <c r="G217" s="472">
        <v>39.518999999999991</v>
      </c>
      <c r="H217" s="472">
        <v>1.5807599999999997</v>
      </c>
      <c r="I217" s="472">
        <v>-0.80100000000005167</v>
      </c>
      <c r="J217" s="472">
        <v>17.796999999999976</v>
      </c>
      <c r="K217" s="474">
        <v>3.7510000000000154</v>
      </c>
    </row>
    <row r="218" spans="1:11" x14ac:dyDescent="0.3">
      <c r="A218" s="471">
        <v>46217</v>
      </c>
      <c r="B218" s="472" t="s">
        <v>14</v>
      </c>
      <c r="C218" s="473" t="s">
        <v>121</v>
      </c>
      <c r="D218" s="473" t="s">
        <v>123</v>
      </c>
      <c r="E218" s="472">
        <v>4.1791700000000001</v>
      </c>
      <c r="F218" s="472">
        <v>5.3180000000000227</v>
      </c>
      <c r="G218" s="472">
        <v>44.837000000000018</v>
      </c>
      <c r="H218" s="472">
        <v>1.7934800000000006</v>
      </c>
      <c r="I218" s="472">
        <v>-0.88999999999996859</v>
      </c>
      <c r="J218" s="472">
        <v>19.692</v>
      </c>
      <c r="K218" s="474">
        <v>4.1019999999999612</v>
      </c>
    </row>
    <row r="219" spans="1:11" x14ac:dyDescent="0.3">
      <c r="A219" s="471">
        <v>46217</v>
      </c>
      <c r="B219" s="472" t="s">
        <v>15</v>
      </c>
      <c r="C219" s="473" t="s">
        <v>123</v>
      </c>
      <c r="D219" s="473" t="s">
        <v>127</v>
      </c>
      <c r="E219" s="472">
        <v>4.2344999999999997</v>
      </c>
      <c r="F219" s="472">
        <v>5.5329999999999657</v>
      </c>
      <c r="G219" s="472">
        <v>50.369999999999983</v>
      </c>
      <c r="H219" s="472">
        <v>2.0147999999999993</v>
      </c>
      <c r="I219" s="472">
        <v>-0.80000000000000071</v>
      </c>
      <c r="J219" s="472">
        <v>22.284999999999933</v>
      </c>
      <c r="K219" s="474">
        <v>6.9749999999999979</v>
      </c>
    </row>
    <row r="220" spans="1:11" x14ac:dyDescent="0.3">
      <c r="A220" s="471">
        <v>46217</v>
      </c>
      <c r="B220" s="472" t="s">
        <v>16</v>
      </c>
      <c r="C220" s="473" t="s">
        <v>127</v>
      </c>
      <c r="D220" s="473" t="s">
        <v>146</v>
      </c>
      <c r="E220" s="472">
        <v>4.2617200000000004</v>
      </c>
      <c r="F220" s="472">
        <v>2.7220000000000688</v>
      </c>
      <c r="G220" s="472">
        <v>53.092000000000048</v>
      </c>
      <c r="H220" s="472">
        <v>2.123680000000002</v>
      </c>
      <c r="I220" s="472">
        <v>-0.49799999999997624</v>
      </c>
      <c r="J220" s="472">
        <v>23.346</v>
      </c>
      <c r="K220" s="474">
        <v>7.922000000000029</v>
      </c>
    </row>
    <row r="221" spans="1:11" x14ac:dyDescent="0.3">
      <c r="A221" s="471">
        <v>46217</v>
      </c>
      <c r="B221" s="472" t="s">
        <v>18</v>
      </c>
      <c r="C221" s="473" t="s">
        <v>146</v>
      </c>
      <c r="D221" s="473" t="s">
        <v>151</v>
      </c>
      <c r="E221" s="472">
        <v>4.2651300000000001</v>
      </c>
      <c r="F221" s="472">
        <v>0.34099999999996911</v>
      </c>
      <c r="G221" s="472">
        <v>53.433000000000021</v>
      </c>
      <c r="H221" s="472">
        <v>2.1373200000000008</v>
      </c>
      <c r="I221" s="472">
        <v>-0.97699999999996123</v>
      </c>
      <c r="J221" s="472">
        <v>23.312000000000044</v>
      </c>
      <c r="K221" s="474" t="s">
        <v>41</v>
      </c>
    </row>
    <row r="222" spans="1:11" x14ac:dyDescent="0.3">
      <c r="A222" s="471">
        <v>46217</v>
      </c>
      <c r="B222" s="472" t="s">
        <v>19</v>
      </c>
      <c r="C222" s="473" t="s">
        <v>151</v>
      </c>
      <c r="D222" s="473"/>
      <c r="E222" s="472"/>
      <c r="F222" s="472"/>
      <c r="G222" s="472"/>
      <c r="H222" s="472"/>
      <c r="I222" s="472">
        <v>0</v>
      </c>
      <c r="J222" s="472">
        <v>0</v>
      </c>
      <c r="K222" s="474" t="s">
        <v>41</v>
      </c>
    </row>
    <row r="223" spans="1:11" x14ac:dyDescent="0.3">
      <c r="A223" s="471">
        <v>46217</v>
      </c>
      <c r="B223" s="472"/>
      <c r="C223" s="473"/>
      <c r="D223" s="473"/>
      <c r="E223" s="472"/>
      <c r="F223" s="472"/>
      <c r="G223" s="472"/>
      <c r="H223" s="472"/>
      <c r="I223" s="472">
        <v>0</v>
      </c>
      <c r="J223" s="472">
        <v>0</v>
      </c>
      <c r="K223" s="474">
        <v>0</v>
      </c>
    </row>
    <row r="224" spans="1:11" x14ac:dyDescent="0.3">
      <c r="A224" s="471">
        <v>46217</v>
      </c>
      <c r="B224" s="472"/>
      <c r="C224" s="473"/>
      <c r="D224" s="473"/>
      <c r="E224" s="472"/>
      <c r="F224" s="472"/>
      <c r="G224" s="472"/>
      <c r="H224" s="472"/>
      <c r="I224" s="472">
        <v>0</v>
      </c>
      <c r="J224" s="472">
        <v>0</v>
      </c>
      <c r="K224" s="474">
        <v>0</v>
      </c>
    </row>
    <row r="225" spans="1:11" x14ac:dyDescent="0.3">
      <c r="A225" s="471">
        <v>46217</v>
      </c>
      <c r="B225" s="472"/>
      <c r="C225" s="473"/>
      <c r="D225" s="473"/>
      <c r="E225" s="472"/>
      <c r="F225" s="472"/>
      <c r="G225" s="472"/>
      <c r="H225" s="472"/>
      <c r="I225" s="472">
        <v>0</v>
      </c>
      <c r="J225" s="472">
        <v>0</v>
      </c>
      <c r="K225" s="474">
        <v>0</v>
      </c>
    </row>
    <row r="226" spans="1:11" x14ac:dyDescent="0.3">
      <c r="A226" s="9">
        <v>46218</v>
      </c>
      <c r="B226" s="10" t="s">
        <v>19</v>
      </c>
      <c r="C226" s="121" t="s">
        <v>104</v>
      </c>
      <c r="D226" s="121" t="s">
        <v>105</v>
      </c>
      <c r="E226" s="10">
        <v>3.7603300000000002</v>
      </c>
      <c r="F226" s="10">
        <v>2.9230000000000089</v>
      </c>
      <c r="G226" s="10">
        <v>2.9230000000000089</v>
      </c>
      <c r="H226" s="10">
        <v>0.11692000000000036</v>
      </c>
      <c r="I226" s="10">
        <v>-0.95999999999998309</v>
      </c>
      <c r="J226" s="10">
        <v>-2.1729999999999805</v>
      </c>
      <c r="K226" s="11">
        <v>-4.9949999999999939</v>
      </c>
    </row>
    <row r="227" spans="1:11" x14ac:dyDescent="0.3">
      <c r="A227" s="9">
        <v>46218</v>
      </c>
      <c r="B227" s="10" t="s">
        <v>10</v>
      </c>
      <c r="C227" s="121" t="s">
        <v>105</v>
      </c>
      <c r="D227" s="121" t="s">
        <v>106</v>
      </c>
      <c r="E227" s="10">
        <v>3.8945099999999999</v>
      </c>
      <c r="F227" s="10">
        <v>13.417999999999974</v>
      </c>
      <c r="G227" s="10">
        <v>16.340999999999983</v>
      </c>
      <c r="H227" s="10">
        <v>0.65363999999999933</v>
      </c>
      <c r="I227" s="10">
        <v>-1.7490000000000006</v>
      </c>
      <c r="J227" s="10">
        <v>-1.485000000000003</v>
      </c>
      <c r="K227" s="11">
        <v>0.16099999999998893</v>
      </c>
    </row>
    <row r="228" spans="1:11" x14ac:dyDescent="0.3">
      <c r="A228" s="9">
        <v>46218</v>
      </c>
      <c r="B228" s="10" t="s">
        <v>12</v>
      </c>
      <c r="C228" s="121" t="s">
        <v>106</v>
      </c>
      <c r="D228" s="121" t="s">
        <v>108</v>
      </c>
      <c r="E228" s="10">
        <v>4.0252499999999998</v>
      </c>
      <c r="F228" s="10">
        <v>13.073999999999986</v>
      </c>
      <c r="G228" s="10">
        <v>29.414999999999971</v>
      </c>
      <c r="H228" s="10">
        <v>1.1765999999999988</v>
      </c>
      <c r="I228" s="10">
        <v>-1.8470000000000653</v>
      </c>
      <c r="J228" s="10">
        <v>0.2949999999999342</v>
      </c>
      <c r="K228" s="11">
        <v>4.5469999999999899</v>
      </c>
    </row>
    <row r="229" spans="1:11" x14ac:dyDescent="0.3">
      <c r="A229" s="9">
        <v>46218</v>
      </c>
      <c r="B229" s="10" t="s">
        <v>13</v>
      </c>
      <c r="C229" s="121" t="s">
        <v>108</v>
      </c>
      <c r="D229" s="121" t="s">
        <v>121</v>
      </c>
      <c r="E229" s="10">
        <v>4.1070500000000001</v>
      </c>
      <c r="F229" s="10">
        <v>8.1800000000000317</v>
      </c>
      <c r="G229" s="10">
        <v>37.594999999999999</v>
      </c>
      <c r="H229" s="10">
        <v>1.5038</v>
      </c>
      <c r="I229" s="10">
        <v>-1.8939999999999735</v>
      </c>
      <c r="J229" s="10">
        <v>0.39800000000003166</v>
      </c>
      <c r="K229" s="11">
        <v>6.7269999999999719</v>
      </c>
    </row>
    <row r="230" spans="1:11" x14ac:dyDescent="0.3">
      <c r="A230" s="9">
        <v>46218</v>
      </c>
      <c r="B230" s="10" t="s">
        <v>14</v>
      </c>
      <c r="C230" s="121" t="s">
        <v>121</v>
      </c>
      <c r="D230" s="121" t="s">
        <v>123</v>
      </c>
      <c r="E230" s="10">
        <v>4.1610899999999997</v>
      </c>
      <c r="F230" s="10">
        <v>5.4039999999999644</v>
      </c>
      <c r="G230" s="10">
        <v>42.998999999999967</v>
      </c>
      <c r="H230" s="10">
        <v>1.7199599999999986</v>
      </c>
      <c r="I230" s="10">
        <v>-1.8080000000000318</v>
      </c>
      <c r="J230" s="10">
        <v>0.79299999999999926</v>
      </c>
      <c r="K230" s="11">
        <v>8.6789999999999701</v>
      </c>
    </row>
    <row r="231" spans="1:11" x14ac:dyDescent="0.3">
      <c r="A231" s="9">
        <v>46218</v>
      </c>
      <c r="B231" s="10" t="s">
        <v>15</v>
      </c>
      <c r="C231" s="121" t="s">
        <v>123</v>
      </c>
      <c r="D231" s="121" t="s">
        <v>127</v>
      </c>
      <c r="E231" s="10">
        <v>4.2160799999999998</v>
      </c>
      <c r="F231" s="10">
        <v>5.4990000000000094</v>
      </c>
      <c r="G231" s="10">
        <v>48.497999999999976</v>
      </c>
      <c r="H231" s="10">
        <v>1.939919999999999</v>
      </c>
      <c r="I231" s="10">
        <v>-1.8419999999999881</v>
      </c>
      <c r="J231" s="10">
        <v>1.5830000000000233</v>
      </c>
      <c r="K231" s="11">
        <v>11.922999999999995</v>
      </c>
    </row>
    <row r="232" spans="1:11" x14ac:dyDescent="0.3">
      <c r="A232" s="9">
        <v>46218</v>
      </c>
      <c r="B232" s="10" t="s">
        <v>16</v>
      </c>
      <c r="C232" s="121" t="s">
        <v>127</v>
      </c>
      <c r="D232" s="121" t="s">
        <v>146</v>
      </c>
      <c r="E232" s="10">
        <v>4.2474999999999996</v>
      </c>
      <c r="F232" s="10">
        <v>3.1419999999999781</v>
      </c>
      <c r="G232" s="10">
        <v>51.639999999999951</v>
      </c>
      <c r="H232" s="10">
        <v>2.0655999999999981</v>
      </c>
      <c r="I232" s="10">
        <v>-1.4220000000000788</v>
      </c>
      <c r="J232" s="10">
        <v>2.2149999999999892</v>
      </c>
      <c r="K232" s="11">
        <v>13.875999999999955</v>
      </c>
    </row>
    <row r="233" spans="1:11" x14ac:dyDescent="0.3">
      <c r="A233" s="9">
        <v>46218</v>
      </c>
      <c r="B233" s="10" t="s">
        <v>18</v>
      </c>
      <c r="C233" s="121" t="s">
        <v>146</v>
      </c>
      <c r="D233" s="121" t="s">
        <v>151</v>
      </c>
      <c r="E233" s="10">
        <v>4.2549999999999999</v>
      </c>
      <c r="F233" s="10">
        <v>0.75000000000002842</v>
      </c>
      <c r="G233" s="10">
        <v>52.389999999999979</v>
      </c>
      <c r="H233" s="10">
        <v>2.0955999999999992</v>
      </c>
      <c r="I233" s="10">
        <v>-1.0130000000000194</v>
      </c>
      <c r="J233" s="10">
        <v>2.5269999999999904</v>
      </c>
      <c r="K233" s="11" t="s">
        <v>41</v>
      </c>
    </row>
    <row r="234" spans="1:11" x14ac:dyDescent="0.3">
      <c r="A234" s="9">
        <v>46218</v>
      </c>
      <c r="B234" s="10" t="s">
        <v>19</v>
      </c>
      <c r="C234" s="121" t="s">
        <v>151</v>
      </c>
      <c r="D234" s="121"/>
      <c r="E234" s="10"/>
      <c r="F234" s="10"/>
      <c r="G234" s="10"/>
      <c r="H234" s="10"/>
      <c r="I234" s="10">
        <v>0</v>
      </c>
      <c r="J234" s="10">
        <v>0</v>
      </c>
      <c r="K234" s="11" t="s">
        <v>41</v>
      </c>
    </row>
    <row r="235" spans="1:11" x14ac:dyDescent="0.3">
      <c r="A235" s="9">
        <v>46218</v>
      </c>
      <c r="B235" s="10"/>
      <c r="C235" s="121"/>
      <c r="D235" s="121"/>
      <c r="E235" s="10"/>
      <c r="F235" s="10"/>
      <c r="G235" s="10"/>
      <c r="H235" s="10"/>
      <c r="I235" s="10">
        <v>0</v>
      </c>
      <c r="J235" s="10">
        <v>0</v>
      </c>
      <c r="K235" s="11">
        <v>0</v>
      </c>
    </row>
    <row r="236" spans="1:11" x14ac:dyDescent="0.3">
      <c r="A236" s="9">
        <v>46218</v>
      </c>
      <c r="B236" s="10"/>
      <c r="C236" s="121"/>
      <c r="D236" s="121"/>
      <c r="E236" s="10"/>
      <c r="F236" s="10"/>
      <c r="G236" s="10"/>
      <c r="H236" s="10"/>
      <c r="I236" s="10">
        <v>0</v>
      </c>
      <c r="J236" s="10">
        <v>0</v>
      </c>
      <c r="K236" s="11">
        <v>0</v>
      </c>
    </row>
    <row r="237" spans="1:11" x14ac:dyDescent="0.3">
      <c r="A237" s="9">
        <v>46218</v>
      </c>
      <c r="B237" s="10"/>
      <c r="C237" s="121"/>
      <c r="D237" s="121"/>
      <c r="E237" s="10"/>
      <c r="F237" s="10"/>
      <c r="G237" s="10"/>
      <c r="H237" s="10"/>
      <c r="I237" s="10">
        <v>0</v>
      </c>
      <c r="J237" s="10">
        <v>0</v>
      </c>
      <c r="K237" s="11">
        <v>0</v>
      </c>
    </row>
    <row r="238" spans="1:11" x14ac:dyDescent="0.3">
      <c r="A238" s="9">
        <v>46219</v>
      </c>
      <c r="B238" s="10" t="s">
        <v>19</v>
      </c>
      <c r="C238" s="121" t="s">
        <v>104</v>
      </c>
      <c r="D238" s="121" t="s">
        <v>105</v>
      </c>
      <c r="E238" s="10">
        <v>3.7666300000000001</v>
      </c>
      <c r="F238" s="10">
        <v>3.5830000000000251</v>
      </c>
      <c r="G238" s="10">
        <v>3.5830000000000251</v>
      </c>
      <c r="H238" s="10">
        <v>0.143320000000001</v>
      </c>
      <c r="I238" s="10">
        <v>0.62999999999999723</v>
      </c>
      <c r="J238" s="10">
        <v>5.9999999999948983E-3</v>
      </c>
      <c r="K238" s="11">
        <v>-4.3009999999999771</v>
      </c>
    </row>
    <row r="239" spans="1:11" x14ac:dyDescent="0.3">
      <c r="A239" s="9">
        <v>46219</v>
      </c>
      <c r="B239" s="10" t="s">
        <v>10</v>
      </c>
      <c r="C239" s="121" t="s">
        <v>105</v>
      </c>
      <c r="D239" s="121" t="s">
        <v>106</v>
      </c>
      <c r="E239" s="10">
        <v>3.8883999999999999</v>
      </c>
      <c r="F239" s="10">
        <v>12.176999999999971</v>
      </c>
      <c r="G239" s="10">
        <v>15.759999999999996</v>
      </c>
      <c r="H239" s="10">
        <v>0.63039999999999985</v>
      </c>
      <c r="I239" s="10">
        <v>-0.61100000000000598</v>
      </c>
      <c r="J239" s="10">
        <v>2.3530000000000051</v>
      </c>
      <c r="K239" s="11">
        <v>-1.3600000000000279</v>
      </c>
    </row>
    <row r="240" spans="1:11" x14ac:dyDescent="0.3">
      <c r="A240" s="9">
        <v>46219</v>
      </c>
      <c r="B240" s="10" t="s">
        <v>12</v>
      </c>
      <c r="C240" s="121" t="s">
        <v>106</v>
      </c>
      <c r="D240" s="121" t="s">
        <v>108</v>
      </c>
      <c r="E240" s="10">
        <v>4.0180499999999997</v>
      </c>
      <c r="F240" s="10">
        <v>12.964999999999982</v>
      </c>
      <c r="G240" s="10">
        <v>28.72499999999998</v>
      </c>
      <c r="H240" s="10">
        <v>1.1489999999999991</v>
      </c>
      <c r="I240" s="10">
        <v>-0.72000000000000952</v>
      </c>
      <c r="J240" s="10">
        <v>5.5249999999999577</v>
      </c>
      <c r="K240" s="11">
        <v>2.6229999999999531</v>
      </c>
    </row>
    <row r="241" spans="1:11" x14ac:dyDescent="0.3">
      <c r="A241" s="9">
        <v>46219</v>
      </c>
      <c r="B241" s="10" t="s">
        <v>13</v>
      </c>
      <c r="C241" s="121" t="s">
        <v>108</v>
      </c>
      <c r="D241" s="121" t="s">
        <v>121</v>
      </c>
      <c r="E241" s="10">
        <v>4.1124000000000001</v>
      </c>
      <c r="F241" s="10">
        <v>9.4350000000000378</v>
      </c>
      <c r="G241" s="10">
        <v>38.160000000000018</v>
      </c>
      <c r="H241" s="10">
        <v>1.5264000000000006</v>
      </c>
      <c r="I241" s="10">
        <v>0.53499999999999659</v>
      </c>
      <c r="J241" s="10">
        <v>7.5199999999999712</v>
      </c>
      <c r="K241" s="11">
        <v>5.600000000000005</v>
      </c>
    </row>
    <row r="242" spans="1:11" x14ac:dyDescent="0.3">
      <c r="A242" s="9">
        <v>46219</v>
      </c>
      <c r="B242" s="10" t="s">
        <v>14</v>
      </c>
      <c r="C242" s="121" t="s">
        <v>121</v>
      </c>
      <c r="D242" s="121" t="s">
        <v>123</v>
      </c>
      <c r="E242" s="10">
        <v>4.1736800000000001</v>
      </c>
      <c r="F242" s="10">
        <v>6.1280000000000001</v>
      </c>
      <c r="G242" s="10">
        <v>44.288000000000018</v>
      </c>
      <c r="H242" s="10">
        <v>1.7715200000000006</v>
      </c>
      <c r="I242" s="10">
        <v>1.2590000000000323</v>
      </c>
      <c r="J242" s="10">
        <v>9.6280000000000143</v>
      </c>
      <c r="K242" s="11">
        <v>7.9520000000000479</v>
      </c>
    </row>
    <row r="243" spans="1:11" x14ac:dyDescent="0.3">
      <c r="A243" s="9">
        <v>46219</v>
      </c>
      <c r="B243" s="10" t="s">
        <v>15</v>
      </c>
      <c r="C243" s="121" t="s">
        <v>123</v>
      </c>
      <c r="D243" s="121" t="s">
        <v>127</v>
      </c>
      <c r="E243" s="10">
        <v>4.2337699999999998</v>
      </c>
      <c r="F243" s="10">
        <v>6.0089999999999755</v>
      </c>
      <c r="G243" s="10">
        <v>50.29699999999999</v>
      </c>
      <c r="H243" s="10">
        <v>2.0118799999999997</v>
      </c>
      <c r="I243" s="10">
        <v>1.7689999999999984</v>
      </c>
      <c r="J243" s="10">
        <v>11.366999999999994</v>
      </c>
      <c r="K243" s="11">
        <v>11.276999999999937</v>
      </c>
    </row>
    <row r="244" spans="1:11" x14ac:dyDescent="0.3">
      <c r="A244" s="9">
        <v>46219</v>
      </c>
      <c r="B244" s="10" t="s">
        <v>16</v>
      </c>
      <c r="C244" s="121" t="s">
        <v>127</v>
      </c>
      <c r="D244" s="121" t="s">
        <v>146</v>
      </c>
      <c r="E244" s="10">
        <v>4.2664999999999997</v>
      </c>
      <c r="F244" s="10">
        <v>3.2729999999999926</v>
      </c>
      <c r="G244" s="10">
        <v>53.569999999999986</v>
      </c>
      <c r="H244" s="10">
        <v>2.1427999999999994</v>
      </c>
      <c r="I244" s="10">
        <v>1.9000000000000128</v>
      </c>
      <c r="J244" s="10">
        <v>12.762999999999991</v>
      </c>
      <c r="K244" s="11">
        <v>13.049999999999962</v>
      </c>
    </row>
    <row r="245" spans="1:11" x14ac:dyDescent="0.3">
      <c r="A245" s="9">
        <v>46219</v>
      </c>
      <c r="B245" s="10" t="s">
        <v>18</v>
      </c>
      <c r="C245" s="121" t="s">
        <v>146</v>
      </c>
      <c r="D245" s="121" t="s">
        <v>151</v>
      </c>
      <c r="E245" s="10">
        <v>4.28</v>
      </c>
      <c r="F245" s="10">
        <v>1.3500000000000512</v>
      </c>
      <c r="G245" s="10">
        <v>54.920000000000037</v>
      </c>
      <c r="H245" s="10">
        <v>2.1968000000000014</v>
      </c>
      <c r="I245" s="10">
        <v>2.5000000000000355</v>
      </c>
      <c r="J245" s="10">
        <v>13.3</v>
      </c>
      <c r="K245" s="11" t="s">
        <v>41</v>
      </c>
    </row>
    <row r="246" spans="1:11" x14ac:dyDescent="0.3">
      <c r="A246" s="9">
        <v>46219</v>
      </c>
      <c r="B246" s="10" t="s">
        <v>19</v>
      </c>
      <c r="C246" s="121" t="s">
        <v>151</v>
      </c>
      <c r="D246" s="121"/>
      <c r="E246" s="10"/>
      <c r="F246" s="10"/>
      <c r="G246" s="10"/>
      <c r="H246" s="10"/>
      <c r="I246" s="10">
        <v>0</v>
      </c>
      <c r="J246" s="10" t="s">
        <v>41</v>
      </c>
      <c r="K246" s="11" t="s">
        <v>41</v>
      </c>
    </row>
    <row r="247" spans="1:11" x14ac:dyDescent="0.3">
      <c r="A247" s="9">
        <v>46219</v>
      </c>
      <c r="B247" s="10"/>
      <c r="C247" s="121"/>
      <c r="D247" s="121"/>
      <c r="E247" s="10"/>
      <c r="F247" s="10"/>
      <c r="G247" s="10"/>
      <c r="H247" s="10"/>
      <c r="I247" s="10">
        <v>0</v>
      </c>
      <c r="J247" s="10" t="s">
        <v>41</v>
      </c>
      <c r="K247" s="11">
        <v>0</v>
      </c>
    </row>
    <row r="248" spans="1:11" x14ac:dyDescent="0.3">
      <c r="A248" s="9">
        <v>46219</v>
      </c>
      <c r="B248" s="10"/>
      <c r="C248" s="121"/>
      <c r="D248" s="121"/>
      <c r="E248" s="10"/>
      <c r="F248" s="10"/>
      <c r="G248" s="10"/>
      <c r="H248" s="10"/>
      <c r="I248" s="10">
        <v>0</v>
      </c>
      <c r="J248" s="10" t="s">
        <v>41</v>
      </c>
      <c r="K248" s="11">
        <v>0</v>
      </c>
    </row>
    <row r="249" spans="1:11" x14ac:dyDescent="0.3">
      <c r="A249" s="9">
        <v>46219</v>
      </c>
      <c r="B249" s="10"/>
      <c r="C249" s="121"/>
      <c r="D249" s="121"/>
      <c r="E249" s="10"/>
      <c r="F249" s="10"/>
      <c r="G249" s="10"/>
      <c r="H249" s="10"/>
      <c r="I249" s="10">
        <v>0</v>
      </c>
      <c r="J249" s="10" t="s">
        <v>41</v>
      </c>
      <c r="K249" s="11">
        <v>0</v>
      </c>
    </row>
    <row r="250" spans="1:11" x14ac:dyDescent="0.3">
      <c r="A250" s="9">
        <v>46219</v>
      </c>
      <c r="B250" s="10" t="s">
        <v>19</v>
      </c>
      <c r="C250" s="121" t="s">
        <v>104</v>
      </c>
      <c r="D250" s="121" t="s">
        <v>105</v>
      </c>
      <c r="E250" s="10">
        <v>3.7666300000000001</v>
      </c>
      <c r="F250" s="10">
        <v>3.5830000000000251</v>
      </c>
      <c r="G250" s="10">
        <v>3.5830000000000251</v>
      </c>
      <c r="H250" s="10">
        <v>0.143320000000001</v>
      </c>
      <c r="I250" s="10">
        <v>0.62999999999999723</v>
      </c>
      <c r="J250" s="10">
        <v>5.9999999999948983E-3</v>
      </c>
      <c r="K250" s="11">
        <v>-4.3009999999999771</v>
      </c>
    </row>
    <row r="251" spans="1:11" x14ac:dyDescent="0.3">
      <c r="A251" s="9">
        <v>46219</v>
      </c>
      <c r="B251" s="10" t="s">
        <v>10</v>
      </c>
      <c r="C251" s="121" t="s">
        <v>105</v>
      </c>
      <c r="D251" s="121" t="s">
        <v>106</v>
      </c>
      <c r="E251" s="10">
        <v>3.8869899999999999</v>
      </c>
      <c r="F251" s="10">
        <v>12.03599999999998</v>
      </c>
      <c r="G251" s="10">
        <v>15.619000000000005</v>
      </c>
      <c r="H251" s="10">
        <v>0.6247600000000002</v>
      </c>
      <c r="I251" s="10">
        <v>-0.75199999999999712</v>
      </c>
      <c r="J251" s="10">
        <v>2.212000000000014</v>
      </c>
      <c r="K251" s="11">
        <v>-1.501000000000019</v>
      </c>
    </row>
    <row r="252" spans="1:11" x14ac:dyDescent="0.3">
      <c r="A252" s="9">
        <v>46219</v>
      </c>
      <c r="B252" s="10" t="s">
        <v>12</v>
      </c>
      <c r="C252" s="121" t="s">
        <v>106</v>
      </c>
      <c r="D252" s="121" t="s">
        <v>108</v>
      </c>
      <c r="E252" s="10">
        <v>4.0156999999999998</v>
      </c>
      <c r="F252" s="10">
        <v>12.870999999999988</v>
      </c>
      <c r="G252" s="10">
        <v>28.489999999999995</v>
      </c>
      <c r="H252" s="10">
        <v>1.1395999999999997</v>
      </c>
      <c r="I252" s="10">
        <v>-0.95499999999999474</v>
      </c>
      <c r="J252" s="10">
        <v>5.2899999999999725</v>
      </c>
      <c r="K252" s="11">
        <v>2.3879999999999679</v>
      </c>
    </row>
    <row r="253" spans="1:11" x14ac:dyDescent="0.3">
      <c r="A253" s="9">
        <v>46219</v>
      </c>
      <c r="B253" s="10" t="s">
        <v>13</v>
      </c>
      <c r="C253" s="121" t="s">
        <v>108</v>
      </c>
      <c r="D253" s="121" t="s">
        <v>121</v>
      </c>
      <c r="E253" s="10">
        <v>4.1091300000000004</v>
      </c>
      <c r="F253" s="10">
        <v>9.3430000000000568</v>
      </c>
      <c r="G253" s="10">
        <v>37.833000000000048</v>
      </c>
      <c r="H253" s="10">
        <v>1.513320000000002</v>
      </c>
      <c r="I253" s="10">
        <v>0.20800000000003038</v>
      </c>
      <c r="J253" s="10">
        <v>7.1930000000000049</v>
      </c>
      <c r="K253" s="11">
        <v>5.2730000000000388</v>
      </c>
    </row>
    <row r="254" spans="1:11" x14ac:dyDescent="0.3">
      <c r="A254" s="9">
        <v>46219</v>
      </c>
      <c r="B254" s="10" t="s">
        <v>14</v>
      </c>
      <c r="C254" s="121" t="s">
        <v>121</v>
      </c>
      <c r="D254" s="121" t="s">
        <v>123</v>
      </c>
      <c r="E254" s="10">
        <v>4.17049</v>
      </c>
      <c r="F254" s="10">
        <v>6.1359999999999637</v>
      </c>
      <c r="G254" s="10">
        <v>43.969000000000015</v>
      </c>
      <c r="H254" s="10">
        <v>1.7587600000000005</v>
      </c>
      <c r="I254" s="10">
        <v>0.9400000000000297</v>
      </c>
      <c r="J254" s="10">
        <v>9.3090000000000117</v>
      </c>
      <c r="K254" s="11">
        <v>7.6330000000000453</v>
      </c>
    </row>
    <row r="255" spans="1:11" x14ac:dyDescent="0.3">
      <c r="A255" s="9">
        <v>46219</v>
      </c>
      <c r="B255" s="10" t="s">
        <v>15</v>
      </c>
      <c r="C255" s="121" t="s">
        <v>123</v>
      </c>
      <c r="D255" s="121" t="s">
        <v>127</v>
      </c>
      <c r="E255" s="10">
        <v>4.2310999999999996</v>
      </c>
      <c r="F255" s="10">
        <v>6.0609999999999609</v>
      </c>
      <c r="G255" s="10">
        <v>50.029999999999973</v>
      </c>
      <c r="H255" s="10">
        <v>2.001199999999999</v>
      </c>
      <c r="I255" s="10">
        <v>1.5019999999999811</v>
      </c>
      <c r="J255" s="10">
        <v>11.099999999999977</v>
      </c>
      <c r="K255" s="11">
        <v>11.00999999999992</v>
      </c>
    </row>
    <row r="256" spans="1:11" x14ac:dyDescent="0.3">
      <c r="A256" s="9">
        <v>46219</v>
      </c>
      <c r="B256" s="10" t="s">
        <v>16</v>
      </c>
      <c r="C256" s="121" t="s">
        <v>127</v>
      </c>
      <c r="D256" s="121" t="s">
        <v>146</v>
      </c>
      <c r="E256" s="10">
        <v>4.2644299999999999</v>
      </c>
      <c r="F256" s="10">
        <v>3.3330000000000304</v>
      </c>
      <c r="G256" s="10">
        <v>53.363000000000007</v>
      </c>
      <c r="H256" s="10">
        <v>2.1345200000000002</v>
      </c>
      <c r="I256" s="10">
        <v>1.6930000000000334</v>
      </c>
      <c r="J256" s="10">
        <v>12.556000000000012</v>
      </c>
      <c r="K256" s="11">
        <v>12.842999999999982</v>
      </c>
    </row>
    <row r="257" spans="1:11" x14ac:dyDescent="0.3">
      <c r="A257" s="9">
        <v>46219</v>
      </c>
      <c r="B257" s="10" t="s">
        <v>18</v>
      </c>
      <c r="C257" s="121" t="s">
        <v>146</v>
      </c>
      <c r="D257" s="121" t="s">
        <v>151</v>
      </c>
      <c r="E257" s="10">
        <v>4.2759</v>
      </c>
      <c r="F257" s="10">
        <v>1.1470000000000091</v>
      </c>
      <c r="G257" s="10">
        <v>54.510000000000012</v>
      </c>
      <c r="H257" s="10">
        <v>2.1804000000000006</v>
      </c>
      <c r="I257" s="10">
        <v>2.0900000000000141</v>
      </c>
      <c r="J257" s="10">
        <v>12.889999999999979</v>
      </c>
      <c r="K257" s="11" t="s">
        <v>41</v>
      </c>
    </row>
    <row r="258" spans="1:11" x14ac:dyDescent="0.3">
      <c r="A258" s="9">
        <v>46219</v>
      </c>
      <c r="B258" s="10" t="s">
        <v>19</v>
      </c>
      <c r="C258" s="121" t="s">
        <v>151</v>
      </c>
      <c r="D258" s="121"/>
      <c r="E258" s="10"/>
      <c r="F258" s="10"/>
      <c r="G258" s="10"/>
      <c r="H258" s="10"/>
      <c r="I258" s="10">
        <v>0</v>
      </c>
      <c r="J258" s="10" t="s">
        <v>41</v>
      </c>
      <c r="K258" s="11" t="s">
        <v>41</v>
      </c>
    </row>
    <row r="259" spans="1:11" x14ac:dyDescent="0.3">
      <c r="A259" s="9">
        <v>46219</v>
      </c>
      <c r="B259" s="10"/>
      <c r="C259" s="121"/>
      <c r="D259" s="121"/>
      <c r="E259" s="10"/>
      <c r="F259" s="10"/>
      <c r="G259" s="10"/>
      <c r="H259" s="10"/>
      <c r="I259" s="10">
        <v>0</v>
      </c>
      <c r="J259" s="10" t="s">
        <v>41</v>
      </c>
      <c r="K259" s="11">
        <v>0</v>
      </c>
    </row>
    <row r="260" spans="1:11" x14ac:dyDescent="0.3">
      <c r="A260" s="9">
        <v>46219</v>
      </c>
      <c r="B260" s="10"/>
      <c r="C260" s="121"/>
      <c r="D260" s="121"/>
      <c r="E260" s="10"/>
      <c r="F260" s="10"/>
      <c r="G260" s="10"/>
      <c r="H260" s="10"/>
      <c r="I260" s="10">
        <v>0</v>
      </c>
      <c r="J260" s="10" t="s">
        <v>41</v>
      </c>
      <c r="K260" s="11">
        <v>0</v>
      </c>
    </row>
    <row r="261" spans="1:11" x14ac:dyDescent="0.3">
      <c r="A261" s="9">
        <v>46219</v>
      </c>
      <c r="B261" s="10"/>
      <c r="C261" s="121"/>
      <c r="D261" s="121"/>
      <c r="E261" s="10"/>
      <c r="F261" s="10"/>
      <c r="G261" s="10"/>
      <c r="H261" s="10"/>
      <c r="I261" s="10">
        <v>0</v>
      </c>
      <c r="J261" s="10" t="s">
        <v>41</v>
      </c>
      <c r="K261" s="11">
        <v>0</v>
      </c>
    </row>
    <row r="262" spans="1:11" x14ac:dyDescent="0.3">
      <c r="A262" s="486">
        <v>46220</v>
      </c>
      <c r="B262" s="487" t="s">
        <v>19</v>
      </c>
      <c r="C262" s="488" t="s">
        <v>104</v>
      </c>
      <c r="D262" s="488" t="s">
        <v>105</v>
      </c>
      <c r="E262" s="487">
        <v>3.7652399999999999</v>
      </c>
      <c r="F262" s="487">
        <v>3.4440000000000026</v>
      </c>
      <c r="G262" s="487">
        <v>3.4440000000000026</v>
      </c>
      <c r="H262" s="487">
        <v>0.1377600000000001</v>
      </c>
      <c r="I262" s="487">
        <v>-0.13900000000002244</v>
      </c>
      <c r="J262" s="487">
        <v>0.32099999999997131</v>
      </c>
      <c r="K262" s="489">
        <v>-2.6950000000000252</v>
      </c>
    </row>
    <row r="263" spans="1:11" x14ac:dyDescent="0.3">
      <c r="A263" s="486">
        <v>46220</v>
      </c>
      <c r="B263" s="487" t="s">
        <v>10</v>
      </c>
      <c r="C263" s="488" t="s">
        <v>105</v>
      </c>
      <c r="D263" s="488" t="s">
        <v>106</v>
      </c>
      <c r="E263" s="487">
        <v>3.8933399999999998</v>
      </c>
      <c r="F263" s="487">
        <v>12.809999999999988</v>
      </c>
      <c r="G263" s="487">
        <v>16.253999999999991</v>
      </c>
      <c r="H263" s="487">
        <v>0.65015999999999963</v>
      </c>
      <c r="I263" s="487">
        <v>0.49399999999999444</v>
      </c>
      <c r="J263" s="487">
        <v>3.4039999999999626</v>
      </c>
      <c r="K263" s="489">
        <v>1.5339999999999687</v>
      </c>
    </row>
    <row r="264" spans="1:11" x14ac:dyDescent="0.3">
      <c r="A264" s="486">
        <v>46220</v>
      </c>
      <c r="B264" s="487" t="s">
        <v>12</v>
      </c>
      <c r="C264" s="488" t="s">
        <v>106</v>
      </c>
      <c r="D264" s="488" t="s">
        <v>108</v>
      </c>
      <c r="E264" s="487">
        <v>4.0274400000000004</v>
      </c>
      <c r="F264" s="487">
        <v>13.410000000000055</v>
      </c>
      <c r="G264" s="487">
        <v>29.664000000000044</v>
      </c>
      <c r="H264" s="487">
        <v>1.1865600000000018</v>
      </c>
      <c r="I264" s="487">
        <v>0.93900000000006756</v>
      </c>
      <c r="J264" s="487">
        <v>7.2130000000000472</v>
      </c>
      <c r="K264" s="489">
        <v>6.6250000000000142</v>
      </c>
    </row>
    <row r="265" spans="1:11" x14ac:dyDescent="0.3">
      <c r="A265" s="486">
        <v>46220</v>
      </c>
      <c r="B265" s="487" t="s">
        <v>13</v>
      </c>
      <c r="C265" s="488" t="s">
        <v>108</v>
      </c>
      <c r="D265" s="488" t="s">
        <v>121</v>
      </c>
      <c r="E265" s="487">
        <v>4.1306399999999996</v>
      </c>
      <c r="F265" s="487">
        <v>10.319999999999929</v>
      </c>
      <c r="G265" s="487">
        <v>39.983999999999973</v>
      </c>
      <c r="H265" s="487">
        <v>1.599359999999999</v>
      </c>
      <c r="I265" s="487">
        <v>1.823999999999959</v>
      </c>
      <c r="J265" s="487">
        <v>10.360999999999976</v>
      </c>
      <c r="K265" s="489">
        <v>10.419</v>
      </c>
    </row>
    <row r="266" spans="1:11" x14ac:dyDescent="0.3">
      <c r="A266" s="486">
        <v>46220</v>
      </c>
      <c r="B266" s="487" t="s">
        <v>14</v>
      </c>
      <c r="C266" s="488" t="s">
        <v>121</v>
      </c>
      <c r="D266" s="488" t="s">
        <v>123</v>
      </c>
      <c r="E266" s="487">
        <v>4.1975899999999999</v>
      </c>
      <c r="F266" s="487">
        <v>6.6950000000000287</v>
      </c>
      <c r="G266" s="487">
        <v>46.679000000000002</v>
      </c>
      <c r="H266" s="487">
        <v>1.8671600000000002</v>
      </c>
      <c r="I266" s="487">
        <v>2.3909999999999876</v>
      </c>
      <c r="J266" s="487">
        <v>13.105999999999973</v>
      </c>
      <c r="K266" s="489">
        <v>13.985999999999965</v>
      </c>
    </row>
    <row r="267" spans="1:11" x14ac:dyDescent="0.3">
      <c r="A267" s="486">
        <v>46220</v>
      </c>
      <c r="B267" s="487" t="s">
        <v>15</v>
      </c>
      <c r="C267" s="488" t="s">
        <v>123</v>
      </c>
      <c r="D267" s="488" t="s">
        <v>127</v>
      </c>
      <c r="E267" s="487">
        <v>4.2614999999999998</v>
      </c>
      <c r="F267" s="487">
        <v>6.3909999999999911</v>
      </c>
      <c r="G267" s="487">
        <v>53.069999999999993</v>
      </c>
      <c r="H267" s="487">
        <v>2.1227999999999998</v>
      </c>
      <c r="I267" s="487">
        <v>2.7730000000000032</v>
      </c>
      <c r="J267" s="487">
        <v>15.055999999999958</v>
      </c>
      <c r="K267" s="489">
        <v>18.597000000000019</v>
      </c>
    </row>
    <row r="268" spans="1:11" x14ac:dyDescent="0.3">
      <c r="A268" s="486">
        <v>46220</v>
      </c>
      <c r="B268" s="487" t="s">
        <v>16</v>
      </c>
      <c r="C268" s="488" t="s">
        <v>127</v>
      </c>
      <c r="D268" s="488" t="s">
        <v>146</v>
      </c>
      <c r="E268" s="487">
        <v>4.2962999999999996</v>
      </c>
      <c r="F268" s="487">
        <v>3.479999999999972</v>
      </c>
      <c r="G268" s="487">
        <v>56.549999999999969</v>
      </c>
      <c r="H268" s="487">
        <v>2.2619999999999987</v>
      </c>
      <c r="I268" s="487">
        <v>2.9799999999999827</v>
      </c>
      <c r="J268" s="487">
        <v>16.529999999999934</v>
      </c>
      <c r="K268" s="489">
        <v>21.328999999999976</v>
      </c>
    </row>
    <row r="269" spans="1:11" x14ac:dyDescent="0.3">
      <c r="A269" s="486">
        <v>46220</v>
      </c>
      <c r="B269" s="487" t="s">
        <v>18</v>
      </c>
      <c r="C269" s="488" t="s">
        <v>146</v>
      </c>
      <c r="D269" s="488" t="s">
        <v>151</v>
      </c>
      <c r="E269" s="487">
        <v>4.3110999999999997</v>
      </c>
      <c r="F269" s="487">
        <v>1.4800000000000146</v>
      </c>
      <c r="G269" s="487">
        <v>58.02999999999998</v>
      </c>
      <c r="H269" s="487">
        <v>2.3211999999999993</v>
      </c>
      <c r="I269" s="487">
        <v>3.1099999999999461</v>
      </c>
      <c r="J269" s="487">
        <v>17.429999999999968</v>
      </c>
      <c r="K269" s="489" t="s">
        <v>41</v>
      </c>
    </row>
    <row r="270" spans="1:11" x14ac:dyDescent="0.3">
      <c r="A270" s="486">
        <v>46220</v>
      </c>
      <c r="B270" s="487" t="s">
        <v>19</v>
      </c>
      <c r="C270" s="488" t="s">
        <v>151</v>
      </c>
      <c r="D270" s="488"/>
      <c r="E270" s="487"/>
      <c r="F270" s="487"/>
      <c r="G270" s="487"/>
      <c r="H270" s="487"/>
      <c r="I270" s="487">
        <v>0</v>
      </c>
      <c r="J270" s="487">
        <v>0</v>
      </c>
      <c r="K270" s="489" t="s">
        <v>41</v>
      </c>
    </row>
    <row r="271" spans="1:11" x14ac:dyDescent="0.3">
      <c r="A271" s="486">
        <v>46220</v>
      </c>
      <c r="B271" s="487"/>
      <c r="C271" s="488"/>
      <c r="D271" s="488"/>
      <c r="E271" s="487"/>
      <c r="F271" s="487"/>
      <c r="G271" s="487"/>
      <c r="H271" s="487"/>
      <c r="I271" s="487">
        <v>0</v>
      </c>
      <c r="J271" s="487">
        <v>0</v>
      </c>
      <c r="K271" s="489">
        <v>0</v>
      </c>
    </row>
    <row r="272" spans="1:11" x14ac:dyDescent="0.3">
      <c r="A272" s="486">
        <v>46220</v>
      </c>
      <c r="B272" s="487"/>
      <c r="C272" s="488"/>
      <c r="D272" s="488"/>
      <c r="E272" s="487"/>
      <c r="F272" s="487"/>
      <c r="G272" s="487"/>
      <c r="H272" s="487"/>
      <c r="I272" s="487">
        <v>0</v>
      </c>
      <c r="J272" s="487">
        <v>0</v>
      </c>
      <c r="K272" s="489">
        <v>0</v>
      </c>
    </row>
    <row r="273" spans="1:11" x14ac:dyDescent="0.3">
      <c r="A273" s="486">
        <v>46220</v>
      </c>
      <c r="B273" s="487"/>
      <c r="C273" s="488"/>
      <c r="D273" s="488"/>
      <c r="E273" s="487"/>
      <c r="F273" s="487"/>
      <c r="G273" s="487"/>
      <c r="H273" s="487"/>
      <c r="I273" s="487">
        <v>0</v>
      </c>
      <c r="J273" s="487">
        <v>0</v>
      </c>
      <c r="K273" s="489">
        <v>0</v>
      </c>
    </row>
    <row r="274" spans="1:11" x14ac:dyDescent="0.3">
      <c r="A274" s="486">
        <v>46223</v>
      </c>
      <c r="B274" s="487" t="s">
        <v>19</v>
      </c>
      <c r="C274" s="488" t="s">
        <v>104</v>
      </c>
      <c r="D274" s="488" t="s">
        <v>105</v>
      </c>
      <c r="E274" s="487">
        <v>3.7694000000000001</v>
      </c>
      <c r="F274" s="487">
        <v>3.8699999999999957</v>
      </c>
      <c r="G274" s="487">
        <v>3.8699999999999957</v>
      </c>
      <c r="H274" s="487">
        <v>0.15479999999999983</v>
      </c>
      <c r="I274" s="487">
        <v>0.41600000000001636</v>
      </c>
      <c r="J274" s="487">
        <v>-0.69499999999997897</v>
      </c>
      <c r="K274" s="489">
        <v>-2.2790000000000088</v>
      </c>
    </row>
    <row r="275" spans="1:11" x14ac:dyDescent="0.3">
      <c r="A275" s="486">
        <v>46223</v>
      </c>
      <c r="B275" s="487" t="s">
        <v>10</v>
      </c>
      <c r="C275" s="488" t="s">
        <v>105</v>
      </c>
      <c r="D275" s="488" t="s">
        <v>106</v>
      </c>
      <c r="E275" s="487">
        <v>3.9080499999999998</v>
      </c>
      <c r="F275" s="487">
        <v>13.864999999999972</v>
      </c>
      <c r="G275" s="487">
        <v>17.734999999999967</v>
      </c>
      <c r="H275" s="487">
        <v>0.7093999999999987</v>
      </c>
      <c r="I275" s="487">
        <v>1.4710000000000001</v>
      </c>
      <c r="J275" s="487">
        <v>-1.0390000000000121</v>
      </c>
      <c r="K275" s="489">
        <v>3.0049999999999688</v>
      </c>
    </row>
    <row r="276" spans="1:11" x14ac:dyDescent="0.3">
      <c r="A276" s="486">
        <v>46223</v>
      </c>
      <c r="B276" s="487" t="s">
        <v>12</v>
      </c>
      <c r="C276" s="488" t="s">
        <v>106</v>
      </c>
      <c r="D276" s="488" t="s">
        <v>108</v>
      </c>
      <c r="E276" s="487">
        <v>4.0489199999999999</v>
      </c>
      <c r="F276" s="487">
        <v>14.087000000000005</v>
      </c>
      <c r="G276" s="487">
        <v>31.821999999999974</v>
      </c>
      <c r="H276" s="487">
        <v>1.2728799999999989</v>
      </c>
      <c r="I276" s="487">
        <v>2.1479999999999499</v>
      </c>
      <c r="J276" s="487">
        <v>9.1999999999980986E-2</v>
      </c>
      <c r="K276" s="489">
        <v>8.7729999999999642</v>
      </c>
    </row>
    <row r="277" spans="1:11" x14ac:dyDescent="0.3">
      <c r="A277" s="486">
        <v>46223</v>
      </c>
      <c r="B277" s="487" t="s">
        <v>13</v>
      </c>
      <c r="C277" s="488" t="s">
        <v>108</v>
      </c>
      <c r="D277" s="488" t="s">
        <v>121</v>
      </c>
      <c r="E277" s="487">
        <v>4.1568100000000001</v>
      </c>
      <c r="F277" s="487">
        <v>10.789000000000026</v>
      </c>
      <c r="G277" s="487">
        <v>42.610999999999997</v>
      </c>
      <c r="H277" s="487">
        <v>1.70444</v>
      </c>
      <c r="I277" s="487">
        <v>2.6170000000000471</v>
      </c>
      <c r="J277" s="487">
        <v>2.2809999999999775</v>
      </c>
      <c r="K277" s="489">
        <v>13.036000000000048</v>
      </c>
    </row>
    <row r="278" spans="1:11" x14ac:dyDescent="0.3">
      <c r="A278" s="486">
        <v>46223</v>
      </c>
      <c r="B278" s="487" t="s">
        <v>14</v>
      </c>
      <c r="C278" s="488" t="s">
        <v>121</v>
      </c>
      <c r="D278" s="488" t="s">
        <v>123</v>
      </c>
      <c r="E278" s="487">
        <v>4.2276899999999999</v>
      </c>
      <c r="F278" s="487">
        <v>7.0879999999999832</v>
      </c>
      <c r="G278" s="487">
        <v>49.698999999999984</v>
      </c>
      <c r="H278" s="487">
        <v>1.9879599999999993</v>
      </c>
      <c r="I278" s="487">
        <v>3.0100000000000016</v>
      </c>
      <c r="J278" s="487">
        <v>3.9620000000000211</v>
      </c>
      <c r="K278" s="489">
        <v>16.995999999999967</v>
      </c>
    </row>
    <row r="279" spans="1:11" x14ac:dyDescent="0.3">
      <c r="A279" s="486">
        <v>46223</v>
      </c>
      <c r="B279" s="487" t="s">
        <v>15</v>
      </c>
      <c r="C279" s="488" t="s">
        <v>123</v>
      </c>
      <c r="D279" s="488" t="s">
        <v>127</v>
      </c>
      <c r="E279" s="487">
        <v>4.2939999999999996</v>
      </c>
      <c r="F279" s="487">
        <v>6.6309999999999647</v>
      </c>
      <c r="G279" s="487">
        <v>56.329999999999949</v>
      </c>
      <c r="H279" s="487">
        <v>2.2531999999999979</v>
      </c>
      <c r="I279" s="487">
        <v>3.2499999999999751</v>
      </c>
      <c r="J279" s="487">
        <v>5.1499999999999879</v>
      </c>
      <c r="K279" s="489">
        <v>21.846999999999994</v>
      </c>
    </row>
    <row r="280" spans="1:11" x14ac:dyDescent="0.3">
      <c r="A280" s="486">
        <v>46223</v>
      </c>
      <c r="B280" s="487" t="s">
        <v>16</v>
      </c>
      <c r="C280" s="488" t="s">
        <v>127</v>
      </c>
      <c r="D280" s="488" t="s">
        <v>146</v>
      </c>
      <c r="E280" s="487">
        <v>4.3316999999999997</v>
      </c>
      <c r="F280" s="487">
        <v>3.7700000000000067</v>
      </c>
      <c r="G280" s="487">
        <v>60.099999999999952</v>
      </c>
      <c r="H280" s="487">
        <v>2.4039999999999981</v>
      </c>
      <c r="I280" s="487">
        <v>3.5400000000000098</v>
      </c>
      <c r="J280" s="487">
        <v>6.4999999999999503</v>
      </c>
      <c r="K280" s="489">
        <v>24.868999999999986</v>
      </c>
    </row>
    <row r="281" spans="1:11" x14ac:dyDescent="0.3">
      <c r="A281" s="486">
        <v>46223</v>
      </c>
      <c r="B281" s="487" t="s">
        <v>18</v>
      </c>
      <c r="C281" s="488" t="s">
        <v>146</v>
      </c>
      <c r="D281" s="488" t="s">
        <v>151</v>
      </c>
      <c r="E281" s="487">
        <v>4.3461100000000004</v>
      </c>
      <c r="F281" s="487">
        <v>1.44100000000007</v>
      </c>
      <c r="G281" s="487">
        <v>61.541000000000025</v>
      </c>
      <c r="H281" s="487">
        <v>2.4616400000000009</v>
      </c>
      <c r="I281" s="487">
        <v>3.5010000000000652</v>
      </c>
      <c r="J281" s="487">
        <v>7.1210000000000662</v>
      </c>
      <c r="K281" s="489" t="s">
        <v>41</v>
      </c>
    </row>
    <row r="282" spans="1:11" x14ac:dyDescent="0.3">
      <c r="A282" s="486">
        <v>46223</v>
      </c>
      <c r="B282" s="487" t="s">
        <v>19</v>
      </c>
      <c r="C282" s="488" t="s">
        <v>151</v>
      </c>
      <c r="D282" s="488"/>
      <c r="E282" s="487"/>
      <c r="F282" s="487"/>
      <c r="G282" s="487"/>
      <c r="H282" s="487"/>
      <c r="I282" s="487">
        <v>0</v>
      </c>
      <c r="J282" s="487">
        <v>0</v>
      </c>
      <c r="K282" s="489" t="s">
        <v>41</v>
      </c>
    </row>
    <row r="283" spans="1:11" x14ac:dyDescent="0.3">
      <c r="A283" s="486">
        <v>46223</v>
      </c>
      <c r="B283" s="487"/>
      <c r="C283" s="488"/>
      <c r="D283" s="488"/>
      <c r="E283" s="487"/>
      <c r="F283" s="487"/>
      <c r="G283" s="487"/>
      <c r="H283" s="487"/>
      <c r="I283" s="487">
        <v>0</v>
      </c>
      <c r="J283" s="487">
        <v>0</v>
      </c>
      <c r="K283" s="489">
        <v>0</v>
      </c>
    </row>
    <row r="284" spans="1:11" x14ac:dyDescent="0.3">
      <c r="A284" s="486">
        <v>46223</v>
      </c>
      <c r="B284" s="487"/>
      <c r="C284" s="488"/>
      <c r="D284" s="488"/>
      <c r="E284" s="487"/>
      <c r="F284" s="487"/>
      <c r="G284" s="487"/>
      <c r="H284" s="487"/>
      <c r="I284" s="487">
        <v>0</v>
      </c>
      <c r="J284" s="487">
        <v>0</v>
      </c>
      <c r="K284" s="489">
        <v>0</v>
      </c>
    </row>
    <row r="285" spans="1:11" x14ac:dyDescent="0.3">
      <c r="A285" s="486">
        <v>46223</v>
      </c>
      <c r="B285" s="487"/>
      <c r="C285" s="488"/>
      <c r="D285" s="488"/>
      <c r="E285" s="487"/>
      <c r="F285" s="487"/>
      <c r="G285" s="487"/>
      <c r="H285" s="487"/>
      <c r="I285" s="487">
        <v>0</v>
      </c>
      <c r="J285" s="487">
        <v>0</v>
      </c>
      <c r="K285" s="489">
        <v>0</v>
      </c>
    </row>
    <row r="286" spans="1:11" x14ac:dyDescent="0.3">
      <c r="A286" s="486">
        <v>46224</v>
      </c>
      <c r="B286" s="487" t="s">
        <v>19</v>
      </c>
      <c r="C286" s="488" t="s">
        <v>104</v>
      </c>
      <c r="D286" s="488" t="s">
        <v>105</v>
      </c>
      <c r="E286" s="487">
        <v>3.7609900000000001</v>
      </c>
      <c r="F286" s="487">
        <v>3.0289999999999928</v>
      </c>
      <c r="G286" s="487">
        <v>3.0289999999999928</v>
      </c>
      <c r="H286" s="487">
        <v>0.12115999999999971</v>
      </c>
      <c r="I286" s="487">
        <v>-0.84100000000000286</v>
      </c>
      <c r="J286" s="487">
        <v>-0.8939999999999948</v>
      </c>
      <c r="K286" s="489">
        <v>-2.1999999999999797</v>
      </c>
    </row>
    <row r="287" spans="1:11" x14ac:dyDescent="0.3">
      <c r="A287" s="486">
        <v>46224</v>
      </c>
      <c r="B287" s="487" t="s">
        <v>10</v>
      </c>
      <c r="C287" s="488" t="s">
        <v>105</v>
      </c>
      <c r="D287" s="488" t="s">
        <v>106</v>
      </c>
      <c r="E287" s="487">
        <v>3.8904000000000001</v>
      </c>
      <c r="F287" s="487">
        <v>12.941000000000003</v>
      </c>
      <c r="G287" s="487">
        <v>15.969999999999995</v>
      </c>
      <c r="H287" s="487">
        <v>0.63879999999999981</v>
      </c>
      <c r="I287" s="487">
        <v>-1.7649999999999721</v>
      </c>
      <c r="J287" s="487">
        <v>-2.1599999999999842</v>
      </c>
      <c r="K287" s="489">
        <v>1.3060000000000294</v>
      </c>
    </row>
    <row r="288" spans="1:11" x14ac:dyDescent="0.3">
      <c r="A288" s="486">
        <v>46224</v>
      </c>
      <c r="B288" s="487" t="s">
        <v>12</v>
      </c>
      <c r="C288" s="488" t="s">
        <v>106</v>
      </c>
      <c r="D288" s="488" t="s">
        <v>108</v>
      </c>
      <c r="E288" s="487">
        <v>4.03226</v>
      </c>
      <c r="F288" s="487">
        <v>14.185999999999988</v>
      </c>
      <c r="G288" s="487">
        <v>30.155999999999985</v>
      </c>
      <c r="H288" s="487">
        <v>1.2062399999999993</v>
      </c>
      <c r="I288" s="487">
        <v>-1.6659999999999897</v>
      </c>
      <c r="J288" s="487">
        <v>-1.146000000000047</v>
      </c>
      <c r="K288" s="489">
        <v>5.6109999999999882</v>
      </c>
    </row>
    <row r="289" spans="1:11" x14ac:dyDescent="0.3">
      <c r="A289" s="486">
        <v>46224</v>
      </c>
      <c r="B289" s="487" t="s">
        <v>13</v>
      </c>
      <c r="C289" s="488" t="s">
        <v>108</v>
      </c>
      <c r="D289" s="488" t="s">
        <v>121</v>
      </c>
      <c r="E289" s="487">
        <v>4.1484899999999998</v>
      </c>
      <c r="F289" s="487">
        <v>11.622999999999983</v>
      </c>
      <c r="G289" s="487">
        <v>41.778999999999968</v>
      </c>
      <c r="H289" s="487">
        <v>1.6711599999999986</v>
      </c>
      <c r="I289" s="487">
        <v>-0.83200000000003271</v>
      </c>
      <c r="J289" s="487">
        <v>2.2499999999999964</v>
      </c>
      <c r="K289" s="489">
        <v>7.2890000000000121</v>
      </c>
    </row>
    <row r="290" spans="1:11" x14ac:dyDescent="0.3">
      <c r="A290" s="486">
        <v>46224</v>
      </c>
      <c r="B290" s="487" t="s">
        <v>14</v>
      </c>
      <c r="C290" s="488" t="s">
        <v>121</v>
      </c>
      <c r="D290" s="488" t="s">
        <v>123</v>
      </c>
      <c r="E290" s="487">
        <v>4.22621</v>
      </c>
      <c r="F290" s="487">
        <v>7.7720000000000233</v>
      </c>
      <c r="G290" s="487">
        <v>49.550999999999988</v>
      </c>
      <c r="H290" s="487">
        <v>1.9820399999999996</v>
      </c>
      <c r="I290" s="487">
        <v>-0.14799999999999258</v>
      </c>
      <c r="J290" s="487">
        <v>4.7039999999999971</v>
      </c>
      <c r="K290" s="489">
        <v>9.4599999999999795</v>
      </c>
    </row>
    <row r="291" spans="1:11" x14ac:dyDescent="0.3">
      <c r="A291" s="486">
        <v>46224</v>
      </c>
      <c r="B291" s="487" t="s">
        <v>15</v>
      </c>
      <c r="C291" s="488" t="s">
        <v>123</v>
      </c>
      <c r="D291" s="488" t="s">
        <v>127</v>
      </c>
      <c r="E291" s="487">
        <v>4.2972599999999996</v>
      </c>
      <c r="F291" s="487">
        <v>7.1049999999999613</v>
      </c>
      <c r="G291" s="487">
        <v>56.655999999999949</v>
      </c>
      <c r="H291" s="487">
        <v>2.266239999999998</v>
      </c>
      <c r="I291" s="487">
        <v>0.32600000000000406</v>
      </c>
      <c r="J291" s="487">
        <v>6.2759999999999927</v>
      </c>
      <c r="K291" s="489">
        <v>12.165999999999944</v>
      </c>
    </row>
    <row r="292" spans="1:11" x14ac:dyDescent="0.3">
      <c r="A292" s="486">
        <v>46224</v>
      </c>
      <c r="B292" s="487" t="s">
        <v>16</v>
      </c>
      <c r="C292" s="488" t="s">
        <v>127</v>
      </c>
      <c r="D292" s="488" t="s">
        <v>146</v>
      </c>
      <c r="E292" s="487">
        <v>4.3412499999999996</v>
      </c>
      <c r="F292" s="487">
        <v>4.3989999999999974</v>
      </c>
      <c r="G292" s="487">
        <v>61.05499999999995</v>
      </c>
      <c r="H292" s="487">
        <v>2.4421999999999979</v>
      </c>
      <c r="I292" s="487">
        <v>0.95499999999999474</v>
      </c>
      <c r="J292" s="487">
        <v>7.9529999999999212</v>
      </c>
      <c r="K292" s="489">
        <v>14.130999999999982</v>
      </c>
    </row>
    <row r="293" spans="1:11" x14ac:dyDescent="0.3">
      <c r="A293" s="486">
        <v>46224</v>
      </c>
      <c r="B293" s="487" t="s">
        <v>18</v>
      </c>
      <c r="C293" s="488" t="s">
        <v>146</v>
      </c>
      <c r="D293" s="488" t="s">
        <v>151</v>
      </c>
      <c r="E293" s="487">
        <v>4.3647</v>
      </c>
      <c r="F293" s="487">
        <v>2.3450000000000415</v>
      </c>
      <c r="G293" s="487">
        <v>63.399999999999991</v>
      </c>
      <c r="H293" s="487">
        <v>2.5359999999999996</v>
      </c>
      <c r="I293" s="487">
        <v>1.8589999999999662</v>
      </c>
      <c r="J293" s="487">
        <v>9.9569999999999936</v>
      </c>
      <c r="K293" s="489">
        <v>15.969999999999995</v>
      </c>
    </row>
    <row r="294" spans="1:11" x14ac:dyDescent="0.3">
      <c r="A294" s="486">
        <v>46224</v>
      </c>
      <c r="B294" s="487" t="s">
        <v>19</v>
      </c>
      <c r="C294" s="488" t="s">
        <v>151</v>
      </c>
      <c r="D294" s="488"/>
      <c r="E294" s="487"/>
      <c r="F294" s="487"/>
      <c r="G294" s="487"/>
      <c r="H294" s="487"/>
      <c r="I294" s="487">
        <v>0</v>
      </c>
      <c r="J294" s="487">
        <v>0</v>
      </c>
      <c r="K294" s="489">
        <v>0</v>
      </c>
    </row>
    <row r="295" spans="1:11" x14ac:dyDescent="0.3">
      <c r="A295" s="486">
        <v>46224</v>
      </c>
      <c r="B295" s="487"/>
      <c r="C295" s="488"/>
      <c r="D295" s="488"/>
      <c r="E295" s="487"/>
      <c r="F295" s="487"/>
      <c r="G295" s="487"/>
      <c r="H295" s="487"/>
      <c r="I295" s="487">
        <v>0</v>
      </c>
      <c r="J295" s="487">
        <v>0</v>
      </c>
      <c r="K295" s="489">
        <v>0</v>
      </c>
    </row>
    <row r="296" spans="1:11" x14ac:dyDescent="0.3">
      <c r="A296" s="486">
        <v>46224</v>
      </c>
      <c r="B296" s="487"/>
      <c r="C296" s="488"/>
      <c r="D296" s="488"/>
      <c r="E296" s="487"/>
      <c r="F296" s="487"/>
      <c r="G296" s="487"/>
      <c r="H296" s="487"/>
      <c r="I296" s="487">
        <v>0</v>
      </c>
      <c r="J296" s="487">
        <v>0</v>
      </c>
      <c r="K296" s="489">
        <v>0</v>
      </c>
    </row>
    <row r="297" spans="1:11" x14ac:dyDescent="0.3">
      <c r="A297" s="486">
        <v>46224</v>
      </c>
      <c r="B297" s="487"/>
      <c r="C297" s="488"/>
      <c r="D297" s="488"/>
      <c r="E297" s="487"/>
      <c r="F297" s="487"/>
      <c r="G297" s="487"/>
      <c r="H297" s="487"/>
      <c r="I297" s="487">
        <v>0</v>
      </c>
      <c r="J297" s="487">
        <v>0</v>
      </c>
      <c r="K297" s="489">
        <v>0</v>
      </c>
    </row>
    <row r="298" spans="1:11" x14ac:dyDescent="0.3">
      <c r="A298" s="501">
        <v>46225</v>
      </c>
      <c r="B298" s="502" t="s">
        <v>19</v>
      </c>
      <c r="C298" s="503" t="s">
        <v>104</v>
      </c>
      <c r="D298" s="503" t="s">
        <v>105</v>
      </c>
      <c r="E298" s="502">
        <v>3.7572299999999998</v>
      </c>
      <c r="F298" s="502">
        <v>2.7029999999999887</v>
      </c>
      <c r="G298" s="502">
        <v>2.7029999999999887</v>
      </c>
      <c r="H298" s="502">
        <v>0.10811999999999955</v>
      </c>
      <c r="I298" s="502">
        <v>-0.37600000000002076</v>
      </c>
      <c r="J298" s="502">
        <v>-0.31000000000003247</v>
      </c>
      <c r="K298" s="504">
        <v>-1.9770000000000287</v>
      </c>
    </row>
    <row r="299" spans="1:11" x14ac:dyDescent="0.3">
      <c r="A299" s="501">
        <v>46225</v>
      </c>
      <c r="B299" s="502" t="s">
        <v>10</v>
      </c>
      <c r="C299" s="503" t="s">
        <v>105</v>
      </c>
      <c r="D299" s="503" t="s">
        <v>106</v>
      </c>
      <c r="E299" s="502">
        <v>3.9041000000000001</v>
      </c>
      <c r="F299" s="502">
        <v>14.687000000000028</v>
      </c>
      <c r="G299" s="502">
        <v>17.390000000000015</v>
      </c>
      <c r="H299" s="502">
        <v>0.69560000000000055</v>
      </c>
      <c r="I299" s="502">
        <v>1.3700000000000045</v>
      </c>
      <c r="J299" s="502">
        <v>0.95900000000002095</v>
      </c>
      <c r="K299" s="504">
        <v>4.0100000000000247</v>
      </c>
    </row>
    <row r="300" spans="1:11" x14ac:dyDescent="0.3">
      <c r="A300" s="501">
        <v>46225</v>
      </c>
      <c r="B300" s="502" t="s">
        <v>12</v>
      </c>
      <c r="C300" s="503" t="s">
        <v>106</v>
      </c>
      <c r="D300" s="503" t="s">
        <v>108</v>
      </c>
      <c r="E300" s="502">
        <v>4.0574599999999998</v>
      </c>
      <c r="F300" s="502">
        <v>15.335999999999972</v>
      </c>
      <c r="G300" s="502">
        <v>32.725999999999985</v>
      </c>
      <c r="H300" s="502">
        <v>1.3090399999999993</v>
      </c>
      <c r="I300" s="502">
        <v>2.5199999999999889</v>
      </c>
      <c r="J300" s="502">
        <v>3.2210000000000072</v>
      </c>
      <c r="K300" s="504">
        <v>10.245999999999977</v>
      </c>
    </row>
    <row r="301" spans="1:11" x14ac:dyDescent="0.3">
      <c r="A301" s="501">
        <v>46225</v>
      </c>
      <c r="B301" s="502" t="s">
        <v>13</v>
      </c>
      <c r="C301" s="503" t="s">
        <v>108</v>
      </c>
      <c r="D301" s="503" t="s">
        <v>121</v>
      </c>
      <c r="E301" s="502">
        <v>4.1851500000000001</v>
      </c>
      <c r="F301" s="502">
        <v>12.76900000000003</v>
      </c>
      <c r="G301" s="502">
        <v>45.495000000000019</v>
      </c>
      <c r="H301" s="502">
        <v>1.8198000000000008</v>
      </c>
      <c r="I301" s="502">
        <v>3.6660000000000359</v>
      </c>
      <c r="J301" s="502">
        <v>7.8100000000000058</v>
      </c>
      <c r="K301" s="504">
        <v>14.414999999999978</v>
      </c>
    </row>
    <row r="302" spans="1:11" x14ac:dyDescent="0.3">
      <c r="A302" s="501">
        <v>46225</v>
      </c>
      <c r="B302" s="502" t="s">
        <v>14</v>
      </c>
      <c r="C302" s="503" t="s">
        <v>121</v>
      </c>
      <c r="D302" s="503" t="s">
        <v>123</v>
      </c>
      <c r="E302" s="502">
        <v>4.2714499999999997</v>
      </c>
      <c r="F302" s="502">
        <v>8.6299999999999599</v>
      </c>
      <c r="G302" s="502">
        <v>54.124999999999979</v>
      </c>
      <c r="H302" s="502">
        <v>2.1649999999999991</v>
      </c>
      <c r="I302" s="502">
        <v>4.5239999999999725</v>
      </c>
      <c r="J302" s="502">
        <v>11.036000000000001</v>
      </c>
      <c r="K302" s="504">
        <v>18.244999999999933</v>
      </c>
    </row>
    <row r="303" spans="1:11" x14ac:dyDescent="0.3">
      <c r="A303" s="501">
        <v>46225</v>
      </c>
      <c r="B303" s="502" t="s">
        <v>15</v>
      </c>
      <c r="C303" s="503" t="s">
        <v>123</v>
      </c>
      <c r="D303" s="503" t="s">
        <v>127</v>
      </c>
      <c r="E303" s="502">
        <v>4.3481699999999996</v>
      </c>
      <c r="F303" s="502">
        <v>7.6719999999999899</v>
      </c>
      <c r="G303" s="502">
        <v>61.796999999999969</v>
      </c>
      <c r="H303" s="502">
        <v>2.4718799999999987</v>
      </c>
      <c r="I303" s="502">
        <v>5.0910000000000011</v>
      </c>
      <c r="J303" s="502">
        <v>13.208999999999982</v>
      </c>
      <c r="K303" s="504">
        <v>21.616999999999997</v>
      </c>
    </row>
    <row r="304" spans="1:11" x14ac:dyDescent="0.3">
      <c r="A304" s="501">
        <v>46225</v>
      </c>
      <c r="B304" s="502" t="s">
        <v>16</v>
      </c>
      <c r="C304" s="503" t="s">
        <v>127</v>
      </c>
      <c r="D304" s="503" t="s">
        <v>146</v>
      </c>
      <c r="E304" s="502">
        <v>4.3974500000000001</v>
      </c>
      <c r="F304" s="502">
        <v>4.9280000000000435</v>
      </c>
      <c r="G304" s="502">
        <v>66.725000000000009</v>
      </c>
      <c r="H304" s="502">
        <v>2.6690000000000005</v>
      </c>
      <c r="I304" s="502">
        <v>5.6200000000000472</v>
      </c>
      <c r="J304" s="502">
        <v>14.995000000000047</v>
      </c>
      <c r="K304" s="504">
        <v>24.145000000000039</v>
      </c>
    </row>
    <row r="305" spans="1:11" x14ac:dyDescent="0.3">
      <c r="A305" s="501">
        <v>46225</v>
      </c>
      <c r="B305" s="502" t="s">
        <v>18</v>
      </c>
      <c r="C305" s="503" t="s">
        <v>146</v>
      </c>
      <c r="D305" s="503" t="s">
        <v>151</v>
      </c>
      <c r="E305" s="502">
        <v>4.423</v>
      </c>
      <c r="F305" s="502">
        <v>2.5549999999999962</v>
      </c>
      <c r="G305" s="502">
        <v>69.28</v>
      </c>
      <c r="H305" s="502">
        <v>2.7711999999999999</v>
      </c>
      <c r="I305" s="502">
        <v>5.8300000000000018</v>
      </c>
      <c r="J305" s="502">
        <v>16.800000000000015</v>
      </c>
      <c r="K305" s="504">
        <v>26.499999999999968</v>
      </c>
    </row>
    <row r="306" spans="1:11" x14ac:dyDescent="0.3">
      <c r="A306" s="501">
        <v>46225</v>
      </c>
      <c r="B306" s="502" t="s">
        <v>19</v>
      </c>
      <c r="C306" s="503" t="s">
        <v>151</v>
      </c>
      <c r="D306" s="503"/>
      <c r="E306" s="502"/>
      <c r="F306" s="502"/>
      <c r="G306" s="502"/>
      <c r="H306" s="502"/>
      <c r="I306" s="502">
        <v>0</v>
      </c>
      <c r="J306" s="502">
        <v>0</v>
      </c>
      <c r="K306" s="504">
        <v>0</v>
      </c>
    </row>
    <row r="307" spans="1:11" x14ac:dyDescent="0.3">
      <c r="A307" s="501">
        <v>46225</v>
      </c>
      <c r="B307" s="502"/>
      <c r="C307" s="503"/>
      <c r="D307" s="503"/>
      <c r="E307" s="502"/>
      <c r="F307" s="502"/>
      <c r="G307" s="502"/>
      <c r="H307" s="502"/>
      <c r="I307" s="502">
        <v>0</v>
      </c>
      <c r="J307" s="502">
        <v>0</v>
      </c>
      <c r="K307" s="504">
        <v>0</v>
      </c>
    </row>
    <row r="308" spans="1:11" x14ac:dyDescent="0.3">
      <c r="A308" s="501">
        <v>46225</v>
      </c>
      <c r="B308" s="502"/>
      <c r="C308" s="503"/>
      <c r="D308" s="503"/>
      <c r="E308" s="502"/>
      <c r="F308" s="502"/>
      <c r="G308" s="502"/>
      <c r="H308" s="502"/>
      <c r="I308" s="502">
        <v>0</v>
      </c>
      <c r="J308" s="502">
        <v>0</v>
      </c>
      <c r="K308" s="504">
        <v>0</v>
      </c>
    </row>
    <row r="309" spans="1:11" x14ac:dyDescent="0.3">
      <c r="A309" s="501">
        <v>46225</v>
      </c>
      <c r="B309" s="502"/>
      <c r="C309" s="503"/>
      <c r="D309" s="503"/>
      <c r="E309" s="502"/>
      <c r="F309" s="502"/>
      <c r="G309" s="502"/>
      <c r="H309" s="502"/>
      <c r="I309" s="502">
        <v>0</v>
      </c>
      <c r="J309" s="502">
        <v>0</v>
      </c>
      <c r="K309" s="504">
        <v>0</v>
      </c>
    </row>
    <row r="310" spans="1:11" x14ac:dyDescent="0.3">
      <c r="A310" s="9">
        <v>46226</v>
      </c>
      <c r="B310" s="10" t="s">
        <v>19</v>
      </c>
      <c r="C310" s="121" t="s">
        <v>104</v>
      </c>
      <c r="D310" s="121" t="s">
        <v>105</v>
      </c>
      <c r="E310" s="10">
        <v>3.7669100000000002</v>
      </c>
      <c r="F310" s="10">
        <v>3.6610000000000031</v>
      </c>
      <c r="G310" s="10">
        <v>3.6610000000000031</v>
      </c>
      <c r="H310" s="10">
        <v>0.14644000000000013</v>
      </c>
      <c r="I310" s="10">
        <v>0.9680000000000355</v>
      </c>
      <c r="J310" s="10">
        <v>2.8000000000005798E-2</v>
      </c>
      <c r="K310" s="11">
        <v>-0.27699999999999392</v>
      </c>
    </row>
    <row r="311" spans="1:11" x14ac:dyDescent="0.3">
      <c r="A311" s="9">
        <v>46226</v>
      </c>
      <c r="B311" s="10" t="s">
        <v>10</v>
      </c>
      <c r="C311" s="121" t="s">
        <v>105</v>
      </c>
      <c r="D311" s="121" t="s">
        <v>106</v>
      </c>
      <c r="E311" s="10">
        <v>3.93851</v>
      </c>
      <c r="F311" s="10">
        <v>17.159999999999975</v>
      </c>
      <c r="G311" s="10">
        <v>20.820999999999977</v>
      </c>
      <c r="H311" s="10">
        <v>0.83283999999999903</v>
      </c>
      <c r="I311" s="10">
        <v>3.440999999999983</v>
      </c>
      <c r="J311" s="10">
        <v>5.0110000000000099</v>
      </c>
      <c r="K311" s="11">
        <v>9.6559999999999757</v>
      </c>
    </row>
    <row r="312" spans="1:11" x14ac:dyDescent="0.3">
      <c r="A312" s="9">
        <v>46226</v>
      </c>
      <c r="B312" s="10" t="s">
        <v>12</v>
      </c>
      <c r="C312" s="121" t="s">
        <v>106</v>
      </c>
      <c r="D312" s="121" t="s">
        <v>108</v>
      </c>
      <c r="E312" s="10">
        <v>4.1067999999999998</v>
      </c>
      <c r="F312" s="10">
        <v>16.828999999999983</v>
      </c>
      <c r="G312" s="10">
        <v>37.649999999999963</v>
      </c>
      <c r="H312" s="10">
        <v>1.5059999999999985</v>
      </c>
      <c r="I312" s="10">
        <v>4.9339999999999939</v>
      </c>
      <c r="J312" s="10">
        <v>8.8750000000000107</v>
      </c>
      <c r="K312" s="11">
        <v>18.528999999999975</v>
      </c>
    </row>
    <row r="313" spans="1:11" x14ac:dyDescent="0.3">
      <c r="A313" s="9">
        <v>46226</v>
      </c>
      <c r="B313" s="10" t="s">
        <v>13</v>
      </c>
      <c r="C313" s="121" t="s">
        <v>108</v>
      </c>
      <c r="D313" s="121" t="s">
        <v>121</v>
      </c>
      <c r="E313" s="10">
        <v>4.2408900000000003</v>
      </c>
      <c r="F313" s="10">
        <v>13.409000000000049</v>
      </c>
      <c r="G313" s="10">
        <v>51.059000000000012</v>
      </c>
      <c r="H313" s="10">
        <v>2.0423600000000004</v>
      </c>
      <c r="I313" s="10">
        <v>5.5740000000000123</v>
      </c>
      <c r="J313" s="10">
        <v>12.849000000000022</v>
      </c>
      <c r="K313" s="11">
        <v>23.798999999999992</v>
      </c>
    </row>
    <row r="314" spans="1:11" x14ac:dyDescent="0.3">
      <c r="A314" s="9">
        <v>46226</v>
      </c>
      <c r="B314" s="10" t="s">
        <v>14</v>
      </c>
      <c r="C314" s="121" t="s">
        <v>121</v>
      </c>
      <c r="D314" s="121" t="s">
        <v>123</v>
      </c>
      <c r="E314" s="10">
        <v>4.3390500000000003</v>
      </c>
      <c r="F314" s="10">
        <v>9.8160000000000025</v>
      </c>
      <c r="G314" s="10">
        <v>60.875000000000014</v>
      </c>
      <c r="H314" s="10">
        <v>2.4350000000000005</v>
      </c>
      <c r="I314" s="10">
        <v>6.7600000000000549</v>
      </c>
      <c r="J314" s="10">
        <v>16.537000000000024</v>
      </c>
      <c r="K314" s="11">
        <v>29.644000000000048</v>
      </c>
    </row>
    <row r="315" spans="1:11" x14ac:dyDescent="0.3">
      <c r="A315" s="9">
        <v>46226</v>
      </c>
      <c r="B315" s="10" t="s">
        <v>15</v>
      </c>
      <c r="C315" s="121" t="s">
        <v>123</v>
      </c>
      <c r="D315" s="121" t="s">
        <v>127</v>
      </c>
      <c r="E315" s="10">
        <v>4.43</v>
      </c>
      <c r="F315" s="10">
        <v>9.094999999999942</v>
      </c>
      <c r="G315" s="10">
        <v>69.969999999999956</v>
      </c>
      <c r="H315" s="10">
        <v>2.7987999999999982</v>
      </c>
      <c r="I315" s="10">
        <v>8.1830000000000069</v>
      </c>
      <c r="J315" s="10">
        <v>19.62299999999999</v>
      </c>
      <c r="K315" s="11">
        <v>35.259999999999977</v>
      </c>
    </row>
    <row r="316" spans="1:11" x14ac:dyDescent="0.3">
      <c r="A316" s="9">
        <v>46226</v>
      </c>
      <c r="B316" s="10" t="s">
        <v>16</v>
      </c>
      <c r="C316" s="121" t="s">
        <v>127</v>
      </c>
      <c r="D316" s="121" t="s">
        <v>146</v>
      </c>
      <c r="E316" s="10">
        <v>4.4886799999999996</v>
      </c>
      <c r="F316" s="10">
        <v>5.8679999999999843</v>
      </c>
      <c r="G316" s="10">
        <v>75.837999999999937</v>
      </c>
      <c r="H316" s="10">
        <v>3.0335199999999976</v>
      </c>
      <c r="I316" s="10">
        <v>9.1229999999999478</v>
      </c>
      <c r="J316" s="10">
        <v>22.217999999999982</v>
      </c>
      <c r="K316" s="11">
        <v>39.637999999999977</v>
      </c>
    </row>
    <row r="317" spans="1:11" x14ac:dyDescent="0.3">
      <c r="A317" s="9">
        <v>46226</v>
      </c>
      <c r="B317" s="10" t="s">
        <v>18</v>
      </c>
      <c r="C317" s="121" t="s">
        <v>146</v>
      </c>
      <c r="D317" s="121" t="s">
        <v>151</v>
      </c>
      <c r="E317" s="10">
        <v>4.5175000000000001</v>
      </c>
      <c r="F317" s="10">
        <v>2.8820000000000512</v>
      </c>
      <c r="G317" s="10">
        <v>78.719999999999985</v>
      </c>
      <c r="H317" s="10">
        <v>3.1487999999999996</v>
      </c>
      <c r="I317" s="10">
        <v>9.4500000000000028</v>
      </c>
      <c r="J317" s="10">
        <v>23.749999999999982</v>
      </c>
      <c r="K317" s="11">
        <v>42.429999999999964</v>
      </c>
    </row>
    <row r="318" spans="1:11" x14ac:dyDescent="0.3">
      <c r="A318" s="9">
        <v>46226</v>
      </c>
      <c r="B318" s="10" t="s">
        <v>19</v>
      </c>
      <c r="C318" s="121" t="s">
        <v>151</v>
      </c>
      <c r="D318" s="121"/>
      <c r="E318" s="10"/>
      <c r="F318" s="10"/>
      <c r="G318" s="10"/>
      <c r="H318" s="10"/>
      <c r="I318" s="10">
        <v>0</v>
      </c>
      <c r="J318" s="10">
        <v>0</v>
      </c>
      <c r="K318" s="11">
        <v>0</v>
      </c>
    </row>
    <row r="319" spans="1:11" x14ac:dyDescent="0.3">
      <c r="A319" s="9">
        <v>46226</v>
      </c>
      <c r="B319" s="10"/>
      <c r="C319" s="121"/>
      <c r="D319" s="121"/>
      <c r="E319" s="10"/>
      <c r="F319" s="10"/>
      <c r="G319" s="10"/>
      <c r="H319" s="10"/>
      <c r="I319" s="10">
        <v>0</v>
      </c>
      <c r="J319" s="10">
        <v>0</v>
      </c>
      <c r="K319" s="11">
        <v>0</v>
      </c>
    </row>
    <row r="320" spans="1:11" x14ac:dyDescent="0.3">
      <c r="A320" s="9">
        <v>46226</v>
      </c>
      <c r="B320" s="10"/>
      <c r="C320" s="121"/>
      <c r="D320" s="121"/>
      <c r="E320" s="10"/>
      <c r="F320" s="10"/>
      <c r="G320" s="10"/>
      <c r="H320" s="10"/>
      <c r="I320" s="10">
        <v>0</v>
      </c>
      <c r="J320" s="10">
        <v>0</v>
      </c>
      <c r="K320" s="11">
        <v>0</v>
      </c>
    </row>
    <row r="321" spans="1:11" x14ac:dyDescent="0.3">
      <c r="A321" s="9">
        <v>46226</v>
      </c>
      <c r="B321" s="10"/>
      <c r="C321" s="121"/>
      <c r="D321" s="121"/>
      <c r="E321" s="10"/>
      <c r="F321" s="10"/>
      <c r="G321" s="10"/>
      <c r="H321" s="10"/>
      <c r="I321" s="10">
        <v>0</v>
      </c>
      <c r="J321" s="10">
        <v>0</v>
      </c>
      <c r="K321" s="11">
        <v>0</v>
      </c>
    </row>
    <row r="322" spans="1:11" x14ac:dyDescent="0.3">
      <c r="A322" s="516">
        <v>46227</v>
      </c>
      <c r="B322" s="517" t="s">
        <v>19</v>
      </c>
      <c r="C322" s="518" t="s">
        <v>104</v>
      </c>
      <c r="D322" s="518" t="s">
        <v>105</v>
      </c>
      <c r="E322" s="517">
        <v>3.7543000000000002</v>
      </c>
      <c r="F322" s="517">
        <v>2.330000000000032</v>
      </c>
      <c r="G322" s="517">
        <v>2.330000000000032</v>
      </c>
      <c r="H322" s="517">
        <v>9.3200000000001282E-2</v>
      </c>
      <c r="I322" s="517">
        <v>-1.261000000000001</v>
      </c>
      <c r="J322" s="517">
        <v>-1.0939999999999728</v>
      </c>
      <c r="K322" s="519">
        <v>-1.0780000000000012</v>
      </c>
    </row>
    <row r="323" spans="1:11" x14ac:dyDescent="0.3">
      <c r="A323" s="516">
        <v>46227</v>
      </c>
      <c r="B323" s="517" t="s">
        <v>10</v>
      </c>
      <c r="C323" s="518" t="s">
        <v>105</v>
      </c>
      <c r="D323" s="518" t="s">
        <v>106</v>
      </c>
      <c r="E323" s="517">
        <v>3.8944999999999999</v>
      </c>
      <c r="F323" s="517">
        <v>14.019999999999966</v>
      </c>
      <c r="G323" s="517">
        <v>16.349999999999998</v>
      </c>
      <c r="H323" s="517">
        <v>0.65399999999999991</v>
      </c>
      <c r="I323" s="517">
        <v>-4.4010000000000105</v>
      </c>
      <c r="J323" s="517">
        <v>0.11600000000000499</v>
      </c>
      <c r="K323" s="519">
        <v>5.5269999999999708</v>
      </c>
    </row>
    <row r="324" spans="1:11" x14ac:dyDescent="0.3">
      <c r="A324" s="516">
        <v>46227</v>
      </c>
      <c r="B324" s="517" t="s">
        <v>12</v>
      </c>
      <c r="C324" s="518" t="s">
        <v>106</v>
      </c>
      <c r="D324" s="518" t="s">
        <v>108</v>
      </c>
      <c r="E324" s="517">
        <v>4.0473999999999997</v>
      </c>
      <c r="F324" s="517">
        <v>15.289999999999981</v>
      </c>
      <c r="G324" s="517">
        <v>31.639999999999979</v>
      </c>
      <c r="H324" s="517">
        <v>1.2655999999999992</v>
      </c>
      <c r="I324" s="517">
        <v>-5.9400000000000119</v>
      </c>
      <c r="J324" s="517">
        <v>1.9959999999999312</v>
      </c>
      <c r="K324" s="519">
        <v>13.14099999999998</v>
      </c>
    </row>
    <row r="325" spans="1:11" x14ac:dyDescent="0.3">
      <c r="A325" s="516">
        <v>46227</v>
      </c>
      <c r="B325" s="517" t="s">
        <v>13</v>
      </c>
      <c r="C325" s="518" t="s">
        <v>108</v>
      </c>
      <c r="D325" s="518" t="s">
        <v>121</v>
      </c>
      <c r="E325" s="517">
        <v>4.1699099999999998</v>
      </c>
      <c r="F325" s="517">
        <v>12.251000000000012</v>
      </c>
      <c r="G325" s="517">
        <v>43.890999999999991</v>
      </c>
      <c r="H325" s="517">
        <v>1.7556399999999996</v>
      </c>
      <c r="I325" s="517">
        <v>-7.0980000000000487</v>
      </c>
      <c r="J325" s="517">
        <v>3.9270000000000138</v>
      </c>
      <c r="K325" s="519">
        <v>18.58099999999996</v>
      </c>
    </row>
    <row r="326" spans="1:11" x14ac:dyDescent="0.3">
      <c r="A326" s="516">
        <v>46227</v>
      </c>
      <c r="B326" s="517" t="s">
        <v>14</v>
      </c>
      <c r="C326" s="518" t="s">
        <v>121</v>
      </c>
      <c r="D326" s="518" t="s">
        <v>123</v>
      </c>
      <c r="E326" s="517">
        <v>4.2588299999999997</v>
      </c>
      <c r="F326" s="517">
        <v>8.8919999999999888</v>
      </c>
      <c r="G326" s="517">
        <v>52.78299999999998</v>
      </c>
      <c r="H326" s="517">
        <v>2.1113199999999992</v>
      </c>
      <c r="I326" s="517">
        <v>-8.0220000000000624</v>
      </c>
      <c r="J326" s="517">
        <v>6.1239999999999739</v>
      </c>
      <c r="K326" s="519">
        <v>24.512999999999963</v>
      </c>
    </row>
    <row r="327" spans="1:11" x14ac:dyDescent="0.3">
      <c r="A327" s="516">
        <v>46227</v>
      </c>
      <c r="B327" s="517" t="s">
        <v>15</v>
      </c>
      <c r="C327" s="518" t="s">
        <v>123</v>
      </c>
      <c r="D327" s="518" t="s">
        <v>127</v>
      </c>
      <c r="E327" s="517">
        <v>4.3375000000000004</v>
      </c>
      <c r="F327" s="517">
        <v>7.8670000000000684</v>
      </c>
      <c r="G327" s="517">
        <v>60.650000000000048</v>
      </c>
      <c r="H327" s="517">
        <v>2.4260000000000019</v>
      </c>
      <c r="I327" s="517">
        <v>-9.2499999999999361</v>
      </c>
      <c r="J327" s="517">
        <v>7.6000000000000512</v>
      </c>
      <c r="K327" s="519">
        <v>29.794000000000054</v>
      </c>
    </row>
    <row r="328" spans="1:11" x14ac:dyDescent="0.3">
      <c r="A328" s="516">
        <v>46227</v>
      </c>
      <c r="B328" s="517" t="s">
        <v>16</v>
      </c>
      <c r="C328" s="518" t="s">
        <v>127</v>
      </c>
      <c r="D328" s="518" t="s">
        <v>146</v>
      </c>
      <c r="E328" s="517">
        <v>4.38924</v>
      </c>
      <c r="F328" s="517">
        <v>5.1739999999999675</v>
      </c>
      <c r="G328" s="517">
        <v>65.824000000000012</v>
      </c>
      <c r="H328" s="517">
        <v>2.6329600000000006</v>
      </c>
      <c r="I328" s="517">
        <v>-9.9439999999999529</v>
      </c>
      <c r="J328" s="517">
        <v>9.2940000000000467</v>
      </c>
      <c r="K328" s="519">
        <v>33.983999999999966</v>
      </c>
    </row>
    <row r="329" spans="1:11" x14ac:dyDescent="0.3">
      <c r="A329" s="516">
        <v>46227</v>
      </c>
      <c r="B329" s="517" t="s">
        <v>18</v>
      </c>
      <c r="C329" s="518" t="s">
        <v>146</v>
      </c>
      <c r="D329" s="518" t="s">
        <v>151</v>
      </c>
      <c r="E329" s="517">
        <v>4.4169999999999998</v>
      </c>
      <c r="F329" s="517">
        <v>2.7759999999999785</v>
      </c>
      <c r="G329" s="517">
        <v>68.599999999999994</v>
      </c>
      <c r="H329" s="517">
        <v>2.7439999999999998</v>
      </c>
      <c r="I329" s="517">
        <v>-10.050000000000026</v>
      </c>
      <c r="J329" s="517">
        <v>10.590000000000011</v>
      </c>
      <c r="K329" s="519">
        <v>37.340000000000018</v>
      </c>
    </row>
    <row r="330" spans="1:11" x14ac:dyDescent="0.3">
      <c r="A330" s="516">
        <v>46227</v>
      </c>
      <c r="B330" s="517" t="s">
        <v>19</v>
      </c>
      <c r="C330" s="518" t="s">
        <v>151</v>
      </c>
      <c r="D330" s="518"/>
      <c r="E330" s="517"/>
      <c r="F330" s="517"/>
      <c r="G330" s="517"/>
      <c r="H330" s="517"/>
      <c r="I330" s="517">
        <v>0</v>
      </c>
      <c r="J330" s="517">
        <v>0</v>
      </c>
      <c r="K330" s="519">
        <v>0</v>
      </c>
    </row>
    <row r="331" spans="1:11" x14ac:dyDescent="0.3">
      <c r="A331" s="516">
        <v>46227</v>
      </c>
      <c r="B331" s="517"/>
      <c r="C331" s="518"/>
      <c r="D331" s="518"/>
      <c r="E331" s="517"/>
      <c r="F331" s="517"/>
      <c r="G331" s="517"/>
      <c r="H331" s="517"/>
      <c r="I331" s="517">
        <v>0</v>
      </c>
      <c r="J331" s="517">
        <v>0</v>
      </c>
      <c r="K331" s="519">
        <v>0</v>
      </c>
    </row>
    <row r="332" spans="1:11" x14ac:dyDescent="0.3">
      <c r="A332" s="516">
        <v>46227</v>
      </c>
      <c r="B332" s="517"/>
      <c r="C332" s="518"/>
      <c r="D332" s="518"/>
      <c r="E332" s="517"/>
      <c r="F332" s="517"/>
      <c r="G332" s="517"/>
      <c r="H332" s="517"/>
      <c r="I332" s="517">
        <v>0</v>
      </c>
      <c r="J332" s="517">
        <v>0</v>
      </c>
      <c r="K332" s="519">
        <v>0</v>
      </c>
    </row>
    <row r="333" spans="1:11" x14ac:dyDescent="0.3">
      <c r="A333" s="516">
        <v>46227</v>
      </c>
      <c r="B333" s="517"/>
      <c r="C333" s="518"/>
      <c r="D333" s="518"/>
      <c r="E333" s="517"/>
      <c r="F333" s="517"/>
      <c r="G333" s="517"/>
      <c r="H333" s="517"/>
      <c r="I333" s="517">
        <v>0</v>
      </c>
      <c r="J333" s="517">
        <v>0</v>
      </c>
      <c r="K333" s="519">
        <v>0</v>
      </c>
    </row>
    <row r="334" spans="1:11" x14ac:dyDescent="0.3">
      <c r="A334" s="516">
        <v>46230</v>
      </c>
      <c r="B334" s="517" t="s">
        <v>19</v>
      </c>
      <c r="C334" s="518" t="s">
        <v>104</v>
      </c>
      <c r="D334" s="518" t="s">
        <v>105</v>
      </c>
      <c r="E334" s="517">
        <v>3.7489400000000002</v>
      </c>
      <c r="F334" s="517">
        <v>1.8240000000000034</v>
      </c>
      <c r="G334" s="517">
        <v>1.8240000000000034</v>
      </c>
      <c r="H334" s="517">
        <v>7.2960000000000136E-2</v>
      </c>
      <c r="I334" s="517">
        <v>-0.53600000000000314</v>
      </c>
      <c r="J334" s="517">
        <v>-2.0459999999999923</v>
      </c>
      <c r="K334" s="519">
        <v>-1.6140000000000043</v>
      </c>
    </row>
    <row r="335" spans="1:11" x14ac:dyDescent="0.3">
      <c r="A335" s="516">
        <v>46230</v>
      </c>
      <c r="B335" s="517" t="s">
        <v>10</v>
      </c>
      <c r="C335" s="518" t="s">
        <v>105</v>
      </c>
      <c r="D335" s="518" t="s">
        <v>106</v>
      </c>
      <c r="E335" s="517">
        <v>3.8821099999999999</v>
      </c>
      <c r="F335" s="517">
        <v>13.316999999999979</v>
      </c>
      <c r="G335" s="517">
        <v>15.140999999999982</v>
      </c>
      <c r="H335" s="517">
        <v>0.60563999999999929</v>
      </c>
      <c r="I335" s="517">
        <v>-1.2389999999999901</v>
      </c>
      <c r="J335" s="517">
        <v>-2.5939999999999852</v>
      </c>
      <c r="K335" s="519">
        <v>4.2879999999999807</v>
      </c>
    </row>
    <row r="336" spans="1:11" x14ac:dyDescent="0.3">
      <c r="A336" s="516">
        <v>46230</v>
      </c>
      <c r="B336" s="517" t="s">
        <v>12</v>
      </c>
      <c r="C336" s="518" t="s">
        <v>106</v>
      </c>
      <c r="D336" s="518" t="s">
        <v>108</v>
      </c>
      <c r="E336" s="517">
        <v>4.0235399999999997</v>
      </c>
      <c r="F336" s="517">
        <v>14.142999999999972</v>
      </c>
      <c r="G336" s="517">
        <v>29.283999999999956</v>
      </c>
      <c r="H336" s="517">
        <v>1.1713599999999982</v>
      </c>
      <c r="I336" s="517">
        <v>-2.3859999999999992</v>
      </c>
      <c r="J336" s="517">
        <v>-2.538000000000018</v>
      </c>
      <c r="K336" s="519">
        <v>10.754999999999981</v>
      </c>
    </row>
    <row r="337" spans="1:11" x14ac:dyDescent="0.3">
      <c r="A337" s="516">
        <v>46230</v>
      </c>
      <c r="B337" s="517" t="s">
        <v>13</v>
      </c>
      <c r="C337" s="518" t="s">
        <v>108</v>
      </c>
      <c r="D337" s="518" t="s">
        <v>121</v>
      </c>
      <c r="E337" s="517">
        <v>4.1320499999999996</v>
      </c>
      <c r="F337" s="517">
        <v>10.850999999999988</v>
      </c>
      <c r="G337" s="517">
        <v>40.134999999999941</v>
      </c>
      <c r="H337" s="517">
        <v>1.6053999999999977</v>
      </c>
      <c r="I337" s="517">
        <v>-3.7860000000000227</v>
      </c>
      <c r="J337" s="517">
        <v>-2.4760000000000559</v>
      </c>
      <c r="K337" s="519">
        <v>14.794999999999936</v>
      </c>
    </row>
    <row r="338" spans="1:11" x14ac:dyDescent="0.3">
      <c r="A338" s="516">
        <v>46230</v>
      </c>
      <c r="B338" s="517" t="s">
        <v>14</v>
      </c>
      <c r="C338" s="518" t="s">
        <v>121</v>
      </c>
      <c r="D338" s="518" t="s">
        <v>123</v>
      </c>
      <c r="E338" s="517">
        <v>4.2104999999999997</v>
      </c>
      <c r="F338" s="517">
        <v>7.8450000000000131</v>
      </c>
      <c r="G338" s="517">
        <v>47.979999999999954</v>
      </c>
      <c r="H338" s="517">
        <v>1.9191999999999982</v>
      </c>
      <c r="I338" s="517">
        <v>-4.8329999999999984</v>
      </c>
      <c r="J338" s="517">
        <v>-1.7190000000000261</v>
      </c>
      <c r="K338" s="519">
        <v>19.679999999999964</v>
      </c>
    </row>
    <row r="339" spans="1:11" x14ac:dyDescent="0.3">
      <c r="A339" s="516">
        <v>46230</v>
      </c>
      <c r="B339" s="517" t="s">
        <v>15</v>
      </c>
      <c r="C339" s="518" t="s">
        <v>123</v>
      </c>
      <c r="D339" s="518" t="s">
        <v>127</v>
      </c>
      <c r="E339" s="517">
        <v>4.2813499999999998</v>
      </c>
      <c r="F339" s="517">
        <v>7.085000000000008</v>
      </c>
      <c r="G339" s="517">
        <v>55.064999999999962</v>
      </c>
      <c r="H339" s="517">
        <v>2.2025999999999986</v>
      </c>
      <c r="I339" s="517">
        <v>-5.6150000000000588</v>
      </c>
      <c r="J339" s="517">
        <v>-1.2649999999999828</v>
      </c>
      <c r="K339" s="519">
        <v>24.178999999999995</v>
      </c>
    </row>
    <row r="340" spans="1:11" x14ac:dyDescent="0.3">
      <c r="A340" s="516">
        <v>46230</v>
      </c>
      <c r="B340" s="517" t="s">
        <v>16</v>
      </c>
      <c r="C340" s="518" t="s">
        <v>127</v>
      </c>
      <c r="D340" s="518" t="s">
        <v>146</v>
      </c>
      <c r="E340" s="517">
        <v>4.3264500000000004</v>
      </c>
      <c r="F340" s="517">
        <v>4.5100000000000584</v>
      </c>
      <c r="G340" s="517">
        <v>59.575000000000024</v>
      </c>
      <c r="H340" s="517">
        <v>2.3830000000000009</v>
      </c>
      <c r="I340" s="517">
        <v>-6.2789999999999679</v>
      </c>
      <c r="J340" s="517">
        <v>-0.52499999999993108</v>
      </c>
      <c r="K340" s="519">
        <v>27.705000000000002</v>
      </c>
    </row>
    <row r="341" spans="1:11" x14ac:dyDescent="0.3">
      <c r="A341" s="516">
        <v>46230</v>
      </c>
      <c r="B341" s="517" t="s">
        <v>18</v>
      </c>
      <c r="C341" s="518" t="s">
        <v>146</v>
      </c>
      <c r="D341" s="518" t="s">
        <v>151</v>
      </c>
      <c r="E341" s="517">
        <v>4.3505000000000003</v>
      </c>
      <c r="F341" s="517">
        <v>2.4049999999999905</v>
      </c>
      <c r="G341" s="517">
        <v>61.980000000000011</v>
      </c>
      <c r="H341" s="517">
        <v>2.4792000000000005</v>
      </c>
      <c r="I341" s="517">
        <v>-6.6499999999999559</v>
      </c>
      <c r="J341" s="517">
        <v>0.4389999999999894</v>
      </c>
      <c r="K341" s="519">
        <v>30.690000000000062</v>
      </c>
    </row>
    <row r="342" spans="1:11" x14ac:dyDescent="0.3">
      <c r="A342" s="516">
        <v>46230</v>
      </c>
      <c r="B342" s="517" t="s">
        <v>19</v>
      </c>
      <c r="C342" s="518" t="s">
        <v>151</v>
      </c>
      <c r="D342" s="518"/>
      <c r="E342" s="517"/>
      <c r="F342" s="517"/>
      <c r="G342" s="517"/>
      <c r="H342" s="517"/>
      <c r="I342" s="517">
        <v>0</v>
      </c>
      <c r="J342" s="517">
        <v>0</v>
      </c>
      <c r="K342" s="519">
        <v>0</v>
      </c>
    </row>
    <row r="343" spans="1:11" x14ac:dyDescent="0.3">
      <c r="A343" s="516">
        <v>46230</v>
      </c>
      <c r="B343" s="517"/>
      <c r="C343" s="518"/>
      <c r="D343" s="518"/>
      <c r="E343" s="517"/>
      <c r="F343" s="517"/>
      <c r="G343" s="517"/>
      <c r="H343" s="517"/>
      <c r="I343" s="517">
        <v>0</v>
      </c>
      <c r="J343" s="517">
        <v>0</v>
      </c>
      <c r="K343" s="519">
        <v>0</v>
      </c>
    </row>
    <row r="344" spans="1:11" x14ac:dyDescent="0.3">
      <c r="A344" s="516">
        <v>46230</v>
      </c>
      <c r="B344" s="517"/>
      <c r="C344" s="518"/>
      <c r="D344" s="518"/>
      <c r="E344" s="517"/>
      <c r="F344" s="517"/>
      <c r="G344" s="517"/>
      <c r="H344" s="517"/>
      <c r="I344" s="517">
        <v>0</v>
      </c>
      <c r="J344" s="517">
        <v>0</v>
      </c>
      <c r="K344" s="519">
        <v>0</v>
      </c>
    </row>
    <row r="345" spans="1:11" x14ac:dyDescent="0.3">
      <c r="A345" s="516">
        <v>46230</v>
      </c>
      <c r="B345" s="517"/>
      <c r="C345" s="518"/>
      <c r="D345" s="518"/>
      <c r="E345" s="517"/>
      <c r="F345" s="517"/>
      <c r="G345" s="517"/>
      <c r="H345" s="517"/>
      <c r="I345" s="517">
        <v>0</v>
      </c>
      <c r="J345" s="517">
        <v>0</v>
      </c>
      <c r="K345" s="519">
        <v>0</v>
      </c>
    </row>
    <row r="346" spans="1:11" x14ac:dyDescent="0.3">
      <c r="A346" s="9">
        <v>46231</v>
      </c>
      <c r="B346" s="10" t="s">
        <v>19</v>
      </c>
      <c r="C346" s="121" t="s">
        <v>104</v>
      </c>
      <c r="D346" s="121" t="s">
        <v>105</v>
      </c>
      <c r="E346" s="10">
        <v>3.746</v>
      </c>
      <c r="F346" s="10">
        <v>1.4800000000000146</v>
      </c>
      <c r="G346" s="10">
        <v>1.4800000000000146</v>
      </c>
      <c r="H346" s="10">
        <v>5.9200000000000585E-2</v>
      </c>
      <c r="I346" s="10">
        <v>-0.29400000000001647</v>
      </c>
      <c r="J346" s="10">
        <v>-1.4990000000000059</v>
      </c>
      <c r="K346" s="11">
        <v>-1.8969999999999931</v>
      </c>
    </row>
    <row r="347" spans="1:11" x14ac:dyDescent="0.3">
      <c r="A347" s="9">
        <v>46231</v>
      </c>
      <c r="B347" s="10" t="s">
        <v>10</v>
      </c>
      <c r="C347" s="121" t="s">
        <v>105</v>
      </c>
      <c r="D347" s="121" t="s">
        <v>106</v>
      </c>
      <c r="E347" s="10">
        <v>3.8635999999999999</v>
      </c>
      <c r="F347" s="10">
        <v>11.759999999999993</v>
      </c>
      <c r="G347" s="10">
        <v>13.240000000000007</v>
      </c>
      <c r="H347" s="10">
        <v>0.52960000000000029</v>
      </c>
      <c r="I347" s="10">
        <v>-1.8510000000000026</v>
      </c>
      <c r="J347" s="10">
        <v>-2.6800000000000157</v>
      </c>
      <c r="K347" s="11">
        <v>3.432999999999975</v>
      </c>
    </row>
    <row r="348" spans="1:11" x14ac:dyDescent="0.3">
      <c r="A348" s="9">
        <v>46231</v>
      </c>
      <c r="B348" s="10" t="s">
        <v>12</v>
      </c>
      <c r="C348" s="121" t="s">
        <v>106</v>
      </c>
      <c r="D348" s="121" t="s">
        <v>108</v>
      </c>
      <c r="E348" s="10">
        <v>3.99668</v>
      </c>
      <c r="F348" s="10">
        <v>13.308000000000009</v>
      </c>
      <c r="G348" s="10">
        <v>26.548000000000016</v>
      </c>
      <c r="H348" s="10">
        <v>1.0619200000000006</v>
      </c>
      <c r="I348" s="10">
        <v>-2.6859999999999662</v>
      </c>
      <c r="J348" s="10">
        <v>-3.5579999999999945</v>
      </c>
      <c r="K348" s="11">
        <v>9.2719999999999914</v>
      </c>
    </row>
    <row r="349" spans="1:11" x14ac:dyDescent="0.3">
      <c r="A349" s="9">
        <v>46231</v>
      </c>
      <c r="B349" s="10" t="s">
        <v>13</v>
      </c>
      <c r="C349" s="121" t="s">
        <v>108</v>
      </c>
      <c r="D349" s="121" t="s">
        <v>121</v>
      </c>
      <c r="E349" s="10">
        <v>4.1002999999999998</v>
      </c>
      <c r="F349" s="10">
        <v>10.361999999999982</v>
      </c>
      <c r="G349" s="10">
        <v>36.909999999999997</v>
      </c>
      <c r="H349" s="10">
        <v>1.4763999999999999</v>
      </c>
      <c r="I349" s="10">
        <v>-3.1749999999999723</v>
      </c>
      <c r="J349" s="10">
        <v>-4.8189999999999955</v>
      </c>
      <c r="K349" s="11">
        <v>14.144999999999985</v>
      </c>
    </row>
    <row r="350" spans="1:11" x14ac:dyDescent="0.3">
      <c r="A350" s="9">
        <v>46231</v>
      </c>
      <c r="B350" s="10" t="s">
        <v>14</v>
      </c>
      <c r="C350" s="121" t="s">
        <v>121</v>
      </c>
      <c r="D350" s="121" t="s">
        <v>123</v>
      </c>
      <c r="E350" s="10">
        <v>4.1760000000000002</v>
      </c>
      <c r="F350" s="10">
        <v>7.5700000000000323</v>
      </c>
      <c r="G350" s="10">
        <v>44.480000000000032</v>
      </c>
      <c r="H350" s="10">
        <v>1.7792000000000012</v>
      </c>
      <c r="I350" s="10">
        <v>-3.4499999999999531</v>
      </c>
      <c r="J350" s="10">
        <v>-5.0209999999999866</v>
      </c>
      <c r="K350" s="11">
        <v>19.201000000000022</v>
      </c>
    </row>
    <row r="351" spans="1:11" x14ac:dyDescent="0.3">
      <c r="A351" s="9">
        <v>46231</v>
      </c>
      <c r="B351" s="10" t="s">
        <v>15</v>
      </c>
      <c r="C351" s="121" t="s">
        <v>123</v>
      </c>
      <c r="D351" s="121" t="s">
        <v>127</v>
      </c>
      <c r="E351" s="10">
        <v>4.24</v>
      </c>
      <c r="F351" s="10">
        <v>6.4000000000000057</v>
      </c>
      <c r="G351" s="10">
        <v>50.880000000000038</v>
      </c>
      <c r="H351" s="10">
        <v>2.0352000000000015</v>
      </c>
      <c r="I351" s="10">
        <v>-4.1349999999999554</v>
      </c>
      <c r="J351" s="10">
        <v>-5.7259999999999422</v>
      </c>
      <c r="K351" s="11">
        <v>23.317000000000032</v>
      </c>
    </row>
    <row r="352" spans="1:11" x14ac:dyDescent="0.3">
      <c r="A352" s="9">
        <v>46231</v>
      </c>
      <c r="B352" s="10" t="s">
        <v>16</v>
      </c>
      <c r="C352" s="121" t="s">
        <v>127</v>
      </c>
      <c r="D352" s="121" t="s">
        <v>146</v>
      </c>
      <c r="E352" s="10">
        <v>4.2789999999999999</v>
      </c>
      <c r="F352" s="10">
        <v>3.8999999999999702</v>
      </c>
      <c r="G352" s="10">
        <v>54.780000000000008</v>
      </c>
      <c r="H352" s="10">
        <v>2.1912000000000003</v>
      </c>
      <c r="I352" s="10">
        <v>-4.7450000000000436</v>
      </c>
      <c r="J352" s="10">
        <v>-6.2249999999999694</v>
      </c>
      <c r="K352" s="11">
        <v>26.330000000000009</v>
      </c>
    </row>
    <row r="353" spans="1:11" x14ac:dyDescent="0.3">
      <c r="A353" s="9">
        <v>46231</v>
      </c>
      <c r="B353" s="10" t="s">
        <v>18</v>
      </c>
      <c r="C353" s="121" t="s">
        <v>146</v>
      </c>
      <c r="D353" s="121" t="s">
        <v>151</v>
      </c>
      <c r="E353" s="10">
        <v>4.2988</v>
      </c>
      <c r="F353" s="10">
        <v>1.980000000000004</v>
      </c>
      <c r="G353" s="10">
        <v>56.760000000000012</v>
      </c>
      <c r="H353" s="10">
        <v>2.2704000000000004</v>
      </c>
      <c r="I353" s="10">
        <v>-5.1700000000000301</v>
      </c>
      <c r="J353" s="10">
        <v>-6.590000000000007</v>
      </c>
      <c r="K353" s="11">
        <v>28.924000000000039</v>
      </c>
    </row>
    <row r="354" spans="1:11" x14ac:dyDescent="0.3">
      <c r="A354" s="9">
        <v>46231</v>
      </c>
      <c r="B354" s="10" t="s">
        <v>19</v>
      </c>
      <c r="C354" s="121" t="s">
        <v>151</v>
      </c>
      <c r="D354" s="121"/>
      <c r="E354" s="10"/>
      <c r="F354" s="10"/>
      <c r="G354" s="10"/>
      <c r="H354" s="10"/>
      <c r="I354" s="10">
        <v>0</v>
      </c>
      <c r="J354" s="10">
        <v>0</v>
      </c>
      <c r="K354" s="11">
        <v>0</v>
      </c>
    </row>
    <row r="355" spans="1:11" x14ac:dyDescent="0.3">
      <c r="A355" s="9">
        <v>46231</v>
      </c>
      <c r="B355" s="10"/>
      <c r="C355" s="121"/>
      <c r="D355" s="121"/>
      <c r="E355" s="10"/>
      <c r="F355" s="10"/>
      <c r="G355" s="10"/>
      <c r="H355" s="10"/>
      <c r="I355" s="10">
        <v>0</v>
      </c>
      <c r="J355" s="10">
        <v>0</v>
      </c>
      <c r="K355" s="11">
        <v>0</v>
      </c>
    </row>
    <row r="356" spans="1:11" x14ac:dyDescent="0.3">
      <c r="A356" s="9">
        <v>46231</v>
      </c>
      <c r="B356" s="10"/>
      <c r="C356" s="121"/>
      <c r="D356" s="121"/>
      <c r="E356" s="10"/>
      <c r="F356" s="10"/>
      <c r="G356" s="10"/>
      <c r="H356" s="10"/>
      <c r="I356" s="10">
        <v>0</v>
      </c>
      <c r="J356" s="10">
        <v>0</v>
      </c>
      <c r="K356" s="11">
        <v>0</v>
      </c>
    </row>
    <row r="357" spans="1:11" x14ac:dyDescent="0.3">
      <c r="A357" s="9">
        <v>46231</v>
      </c>
      <c r="B357" s="10"/>
      <c r="C357" s="121"/>
      <c r="D357" s="121"/>
      <c r="E357" s="10"/>
      <c r="F357" s="10"/>
      <c r="G357" s="10"/>
      <c r="H357" s="10"/>
      <c r="I357" s="10">
        <v>0</v>
      </c>
      <c r="J357" s="10">
        <v>0</v>
      </c>
      <c r="K357" s="11">
        <v>0</v>
      </c>
    </row>
    <row r="358" spans="1:11" x14ac:dyDescent="0.3">
      <c r="A358" s="9">
        <v>46232</v>
      </c>
      <c r="B358" s="10" t="s">
        <v>19</v>
      </c>
      <c r="C358" s="121" t="s">
        <v>104</v>
      </c>
      <c r="D358" s="121" t="s">
        <v>105</v>
      </c>
      <c r="E358" s="10">
        <v>3.7486999999999999</v>
      </c>
      <c r="F358" s="10">
        <v>1.7100000000000115</v>
      </c>
      <c r="G358" s="10">
        <v>1.7100000000000115</v>
      </c>
      <c r="H358" s="10">
        <v>6.840000000000046E-2</v>
      </c>
      <c r="I358" s="10">
        <v>0.26999999999999247</v>
      </c>
      <c r="J358" s="10">
        <v>-0.85299999999999265</v>
      </c>
      <c r="K358" s="11">
        <v>-1.3479999999999936</v>
      </c>
    </row>
    <row r="359" spans="1:11" x14ac:dyDescent="0.3">
      <c r="A359" s="9">
        <v>46232</v>
      </c>
      <c r="B359" s="10" t="s">
        <v>10</v>
      </c>
      <c r="C359" s="121" t="s">
        <v>105</v>
      </c>
      <c r="D359" s="121" t="s">
        <v>106</v>
      </c>
      <c r="E359" s="10">
        <v>3.88889</v>
      </c>
      <c r="F359" s="10">
        <v>14.019000000000004</v>
      </c>
      <c r="G359" s="10">
        <v>15.729000000000015</v>
      </c>
      <c r="H359" s="10">
        <v>0.62916000000000061</v>
      </c>
      <c r="I359" s="10">
        <v>2.5290000000000035</v>
      </c>
      <c r="J359" s="10">
        <v>-1.5210000000000168</v>
      </c>
      <c r="K359" s="11">
        <v>6.4000000000000057</v>
      </c>
    </row>
    <row r="360" spans="1:11" x14ac:dyDescent="0.3">
      <c r="A360" s="9">
        <v>46232</v>
      </c>
      <c r="B360" s="10" t="s">
        <v>12</v>
      </c>
      <c r="C360" s="121" t="s">
        <v>106</v>
      </c>
      <c r="D360" s="121" t="s">
        <v>108</v>
      </c>
      <c r="E360" s="10">
        <v>4.0369999999999999</v>
      </c>
      <c r="F360" s="10">
        <v>14.810999999999996</v>
      </c>
      <c r="G360" s="10">
        <v>30.540000000000013</v>
      </c>
      <c r="H360" s="10">
        <v>1.2216000000000005</v>
      </c>
      <c r="I360" s="10">
        <v>4.0319999999999911</v>
      </c>
      <c r="J360" s="10">
        <v>-2.0459999999999923</v>
      </c>
      <c r="K360" s="11">
        <v>13.45799999999997</v>
      </c>
    </row>
    <row r="361" spans="1:11" x14ac:dyDescent="0.3">
      <c r="A361" s="9">
        <v>46232</v>
      </c>
      <c r="B361" s="10" t="s">
        <v>13</v>
      </c>
      <c r="C361" s="121" t="s">
        <v>108</v>
      </c>
      <c r="D361" s="121" t="s">
        <v>121</v>
      </c>
      <c r="E361" s="10">
        <v>4.1515500000000003</v>
      </c>
      <c r="F361" s="10">
        <v>11.455000000000037</v>
      </c>
      <c r="G361" s="10">
        <v>41.995000000000047</v>
      </c>
      <c r="H361" s="10">
        <v>1.679800000000002</v>
      </c>
      <c r="I361" s="10">
        <v>5.1250000000000462</v>
      </c>
      <c r="J361" s="10">
        <v>-3.3599999999999852</v>
      </c>
      <c r="K361" s="11">
        <v>18.785000000000053</v>
      </c>
    </row>
    <row r="362" spans="1:11" x14ac:dyDescent="0.3">
      <c r="A362" s="9">
        <v>46232</v>
      </c>
      <c r="B362" s="10" t="s">
        <v>14</v>
      </c>
      <c r="C362" s="121" t="s">
        <v>121</v>
      </c>
      <c r="D362" s="121" t="s">
        <v>123</v>
      </c>
      <c r="E362" s="10">
        <v>4.2413999999999996</v>
      </c>
      <c r="F362" s="10">
        <v>8.9849999999999319</v>
      </c>
      <c r="G362" s="10">
        <v>50.979999999999983</v>
      </c>
      <c r="H362" s="10">
        <v>2.0391999999999992</v>
      </c>
      <c r="I362" s="10">
        <v>6.5399999999999459</v>
      </c>
      <c r="J362" s="10">
        <v>-3.0050000000000132</v>
      </c>
      <c r="K362" s="11">
        <v>24.632999999999949</v>
      </c>
    </row>
    <row r="363" spans="1:11" x14ac:dyDescent="0.3">
      <c r="A363" s="9">
        <v>46232</v>
      </c>
      <c r="B363" s="10" t="s">
        <v>15</v>
      </c>
      <c r="C363" s="121" t="s">
        <v>123</v>
      </c>
      <c r="D363" s="121" t="s">
        <v>127</v>
      </c>
      <c r="E363" s="10">
        <v>4.3209999999999997</v>
      </c>
      <c r="F363" s="10">
        <v>7.9600000000000115</v>
      </c>
      <c r="G363" s="10">
        <v>58.939999999999991</v>
      </c>
      <c r="H363" s="10">
        <v>2.3575999999999997</v>
      </c>
      <c r="I363" s="10">
        <v>8.0999999999999517</v>
      </c>
      <c r="J363" s="10">
        <v>-2.7169999999999916</v>
      </c>
      <c r="K363" s="11">
        <v>29.750999999999994</v>
      </c>
    </row>
    <row r="364" spans="1:11" x14ac:dyDescent="0.3">
      <c r="A364" s="9">
        <v>46232</v>
      </c>
      <c r="B364" s="10" t="s">
        <v>16</v>
      </c>
      <c r="C364" s="121" t="s">
        <v>127</v>
      </c>
      <c r="D364" s="121" t="s">
        <v>146</v>
      </c>
      <c r="E364" s="10">
        <v>4.37446</v>
      </c>
      <c r="F364" s="10">
        <v>5.3460000000000285</v>
      </c>
      <c r="G364" s="10">
        <v>64.286000000000016</v>
      </c>
      <c r="H364" s="10">
        <v>2.5714400000000008</v>
      </c>
      <c r="I364" s="10">
        <v>9.54600000000001</v>
      </c>
      <c r="J364" s="10">
        <v>-2.2990000000000066</v>
      </c>
      <c r="K364" s="11">
        <v>34.095999999999989</v>
      </c>
    </row>
    <row r="365" spans="1:11" x14ac:dyDescent="0.3">
      <c r="A365" s="9">
        <v>46232</v>
      </c>
      <c r="B365" s="10" t="s">
        <v>18</v>
      </c>
      <c r="C365" s="121" t="s">
        <v>146</v>
      </c>
      <c r="D365" s="121" t="s">
        <v>151</v>
      </c>
      <c r="E365" s="10">
        <v>4.4029999999999996</v>
      </c>
      <c r="F365" s="10">
        <v>2.8539999999999566</v>
      </c>
      <c r="G365" s="10">
        <v>67.139999999999972</v>
      </c>
      <c r="H365" s="10">
        <v>2.6855999999999991</v>
      </c>
      <c r="I365" s="10">
        <v>10.419999999999963</v>
      </c>
      <c r="J365" s="10">
        <v>-2.0000000000000462</v>
      </c>
      <c r="K365" s="11">
        <v>37.64999999999992</v>
      </c>
    </row>
    <row r="366" spans="1:11" x14ac:dyDescent="0.3">
      <c r="A366" s="9">
        <v>46232</v>
      </c>
      <c r="B366" s="10" t="s">
        <v>19</v>
      </c>
      <c r="C366" s="121" t="s">
        <v>151</v>
      </c>
      <c r="D366" s="121"/>
      <c r="E366" s="10"/>
      <c r="F366" s="10"/>
      <c r="G366" s="10"/>
      <c r="H366" s="10"/>
      <c r="I366" s="10">
        <v>0</v>
      </c>
      <c r="J366" s="10">
        <v>0</v>
      </c>
      <c r="K366" s="11">
        <v>0</v>
      </c>
    </row>
    <row r="367" spans="1:11" x14ac:dyDescent="0.3">
      <c r="A367" s="9">
        <v>46232</v>
      </c>
      <c r="B367" s="10"/>
      <c r="C367" s="121"/>
      <c r="D367" s="121"/>
      <c r="E367" s="10"/>
      <c r="F367" s="10"/>
      <c r="G367" s="10"/>
      <c r="H367" s="10"/>
      <c r="I367" s="10">
        <v>0</v>
      </c>
      <c r="J367" s="10">
        <v>0</v>
      </c>
      <c r="K367" s="11">
        <v>0</v>
      </c>
    </row>
    <row r="368" spans="1:11" x14ac:dyDescent="0.3">
      <c r="A368" s="9">
        <v>46232</v>
      </c>
      <c r="B368" s="10"/>
      <c r="C368" s="121"/>
      <c r="D368" s="121"/>
      <c r="E368" s="10"/>
      <c r="F368" s="10"/>
      <c r="G368" s="10"/>
      <c r="H368" s="10"/>
      <c r="I368" s="10">
        <v>0</v>
      </c>
      <c r="J368" s="10">
        <v>0</v>
      </c>
      <c r="K368" s="11">
        <v>0</v>
      </c>
    </row>
    <row r="369" spans="1:11" x14ac:dyDescent="0.3">
      <c r="A369" s="9">
        <v>46232</v>
      </c>
      <c r="B369" s="10"/>
      <c r="C369" s="121"/>
      <c r="D369" s="121"/>
      <c r="E369" s="10"/>
      <c r="F369" s="10"/>
      <c r="G369" s="10"/>
      <c r="H369" s="10"/>
      <c r="I369" s="10">
        <v>0</v>
      </c>
      <c r="J369" s="10">
        <v>0</v>
      </c>
      <c r="K369" s="11">
        <v>0</v>
      </c>
    </row>
    <row r="370" spans="1:11" x14ac:dyDescent="0.3">
      <c r="A370" s="9">
        <v>46233</v>
      </c>
      <c r="B370" s="10" t="s">
        <v>19</v>
      </c>
      <c r="C370" s="121" t="s">
        <v>104</v>
      </c>
      <c r="D370" s="121" t="s">
        <v>105</v>
      </c>
      <c r="E370" s="10">
        <v>3.82544</v>
      </c>
      <c r="F370" s="10">
        <v>9.413999999999989</v>
      </c>
      <c r="G370" s="10">
        <v>9.413999999999989</v>
      </c>
      <c r="H370" s="10">
        <v>0.37655999999999956</v>
      </c>
      <c r="I370" s="10">
        <v>7.674000000000003</v>
      </c>
      <c r="J370" s="10">
        <v>5.8529999999999749</v>
      </c>
      <c r="K370" s="11">
        <v>6.3860000000000028</v>
      </c>
    </row>
    <row r="371" spans="1:11" x14ac:dyDescent="0.3">
      <c r="A371" s="9">
        <v>46233</v>
      </c>
      <c r="B371" s="10" t="s">
        <v>10</v>
      </c>
      <c r="C371" s="121" t="s">
        <v>105</v>
      </c>
      <c r="D371" s="121" t="s">
        <v>106</v>
      </c>
      <c r="E371" s="10">
        <v>3.8254100000000002</v>
      </c>
      <c r="F371" s="10">
        <v>-2.9999999999752447E-3</v>
      </c>
      <c r="G371" s="10">
        <v>9.4110000000000138</v>
      </c>
      <c r="H371" s="10">
        <v>0.37644000000000055</v>
      </c>
      <c r="I371" s="10">
        <v>-6.3479999999999759</v>
      </c>
      <c r="J371" s="10">
        <v>-11.309999999999976</v>
      </c>
      <c r="K371" s="11">
        <v>-0.22099999999998232</v>
      </c>
    </row>
    <row r="372" spans="1:11" x14ac:dyDescent="0.3">
      <c r="A372" s="9">
        <v>46233</v>
      </c>
      <c r="B372" s="10" t="s">
        <v>12</v>
      </c>
      <c r="C372" s="121" t="s">
        <v>106</v>
      </c>
      <c r="D372" s="121" t="s">
        <v>108</v>
      </c>
      <c r="E372" s="10">
        <v>3.9606699999999999</v>
      </c>
      <c r="F372" s="10">
        <v>13.525999999999971</v>
      </c>
      <c r="G372" s="10">
        <v>22.936999999999983</v>
      </c>
      <c r="H372" s="10">
        <v>0.9174799999999993</v>
      </c>
      <c r="I372" s="10">
        <v>-7.6330000000000009</v>
      </c>
      <c r="J372" s="10">
        <v>-14.612999999999987</v>
      </c>
      <c r="K372" s="11">
        <v>5.8669999999999778</v>
      </c>
    </row>
    <row r="373" spans="1:11" x14ac:dyDescent="0.3">
      <c r="A373" s="9">
        <v>46233</v>
      </c>
      <c r="B373" s="10" t="s">
        <v>13</v>
      </c>
      <c r="C373" s="121" t="s">
        <v>108</v>
      </c>
      <c r="D373" s="121" t="s">
        <v>121</v>
      </c>
      <c r="E373" s="10">
        <v>4.0674999999999999</v>
      </c>
      <c r="F373" s="10">
        <v>10.682999999999998</v>
      </c>
      <c r="G373" s="10">
        <v>33.619999999999983</v>
      </c>
      <c r="H373" s="10">
        <v>1.3447999999999993</v>
      </c>
      <c r="I373" s="10">
        <v>-8.4050000000000402</v>
      </c>
      <c r="J373" s="10">
        <v>-17.339000000000038</v>
      </c>
      <c r="K373" s="11">
        <v>10.584999999999978</v>
      </c>
    </row>
    <row r="374" spans="1:11" x14ac:dyDescent="0.3">
      <c r="A374" s="9">
        <v>46233</v>
      </c>
      <c r="B374" s="10" t="s">
        <v>14</v>
      </c>
      <c r="C374" s="121" t="s">
        <v>121</v>
      </c>
      <c r="D374" s="121" t="s">
        <v>123</v>
      </c>
      <c r="E374" s="10">
        <v>4.1559999999999997</v>
      </c>
      <c r="F374" s="10">
        <v>8.8499999999999801</v>
      </c>
      <c r="G374" s="10">
        <v>42.469999999999963</v>
      </c>
      <c r="H374" s="10">
        <v>1.6987999999999985</v>
      </c>
      <c r="I374" s="10">
        <v>-8.539999999999992</v>
      </c>
      <c r="J374" s="10">
        <v>-18.30500000000006</v>
      </c>
      <c r="K374" s="11">
        <v>15.799999999999947</v>
      </c>
    </row>
    <row r="375" spans="1:11" x14ac:dyDescent="0.3">
      <c r="A375" s="9">
        <v>46233</v>
      </c>
      <c r="B375" s="10" t="s">
        <v>15</v>
      </c>
      <c r="C375" s="121" t="s">
        <v>123</v>
      </c>
      <c r="D375" s="121" t="s">
        <v>127</v>
      </c>
      <c r="E375" s="10">
        <v>4.2272499999999997</v>
      </c>
      <c r="F375" s="10">
        <v>7.1250000000000036</v>
      </c>
      <c r="G375" s="10">
        <v>49.59499999999997</v>
      </c>
      <c r="H375" s="10">
        <v>1.9837999999999989</v>
      </c>
      <c r="I375" s="10">
        <v>-9.375</v>
      </c>
      <c r="J375" s="10">
        <v>-20.274999999999999</v>
      </c>
      <c r="K375" s="11">
        <v>19.489999999999963</v>
      </c>
    </row>
    <row r="376" spans="1:11" x14ac:dyDescent="0.3">
      <c r="A376" s="9">
        <v>46233</v>
      </c>
      <c r="B376" s="10" t="s">
        <v>16</v>
      </c>
      <c r="C376" s="121" t="s">
        <v>127</v>
      </c>
      <c r="D376" s="121" t="s">
        <v>146</v>
      </c>
      <c r="E376" s="10">
        <v>4.2771499999999998</v>
      </c>
      <c r="F376" s="10">
        <v>4.9900000000000055</v>
      </c>
      <c r="G376" s="10">
        <v>54.584999999999972</v>
      </c>
      <c r="H376" s="10">
        <v>2.1833999999999989</v>
      </c>
      <c r="I376" s="10">
        <v>-9.731000000000023</v>
      </c>
      <c r="J376" s="10">
        <v>-21.152999999999977</v>
      </c>
      <c r="K376" s="11">
        <v>22.914999999999974</v>
      </c>
    </row>
    <row r="377" spans="1:11" x14ac:dyDescent="0.3">
      <c r="A377" s="9">
        <v>46233</v>
      </c>
      <c r="B377" s="10" t="s">
        <v>18</v>
      </c>
      <c r="C377" s="121" t="s">
        <v>146</v>
      </c>
      <c r="D377" s="121" t="s">
        <v>151</v>
      </c>
      <c r="E377" s="10">
        <v>4.3077899999999998</v>
      </c>
      <c r="F377" s="10">
        <v>3.0640000000000001</v>
      </c>
      <c r="G377" s="10">
        <v>57.648999999999972</v>
      </c>
      <c r="H377" s="10">
        <v>2.3059599999999989</v>
      </c>
      <c r="I377" s="10">
        <v>-9.5209999999999795</v>
      </c>
      <c r="J377" s="10">
        <v>-20.971000000000029</v>
      </c>
      <c r="K377" s="11">
        <v>25.978999999999974</v>
      </c>
    </row>
    <row r="378" spans="1:11" x14ac:dyDescent="0.3">
      <c r="A378" s="9">
        <v>46233</v>
      </c>
      <c r="B378" s="10" t="s">
        <v>19</v>
      </c>
      <c r="C378" s="121" t="s">
        <v>151</v>
      </c>
      <c r="D378" s="121"/>
      <c r="E378" s="10"/>
      <c r="F378" s="10"/>
      <c r="G378" s="10"/>
      <c r="H378" s="10"/>
      <c r="I378" s="10">
        <v>0</v>
      </c>
      <c r="J378" s="10">
        <v>0</v>
      </c>
      <c r="K378" s="11">
        <v>0</v>
      </c>
    </row>
    <row r="379" spans="1:11" x14ac:dyDescent="0.3">
      <c r="A379" s="9">
        <v>46233</v>
      </c>
      <c r="B379" s="10"/>
      <c r="C379" s="121"/>
      <c r="D379" s="121"/>
      <c r="E379" s="10"/>
      <c r="F379" s="10"/>
      <c r="G379" s="10"/>
      <c r="H379" s="10"/>
      <c r="I379" s="10">
        <v>0</v>
      </c>
      <c r="J379" s="10">
        <v>0</v>
      </c>
      <c r="K379" s="11">
        <v>0</v>
      </c>
    </row>
    <row r="380" spans="1:11" x14ac:dyDescent="0.3">
      <c r="A380" s="9">
        <v>46233</v>
      </c>
      <c r="B380" s="10"/>
      <c r="C380" s="121"/>
      <c r="D380" s="121"/>
      <c r="E380" s="10"/>
      <c r="F380" s="10"/>
      <c r="G380" s="10"/>
      <c r="H380" s="10"/>
      <c r="I380" s="10">
        <v>0</v>
      </c>
      <c r="J380" s="10">
        <v>0</v>
      </c>
      <c r="K380" s="11">
        <v>0</v>
      </c>
    </row>
    <row r="381" spans="1:11" x14ac:dyDescent="0.3">
      <c r="A381" s="9">
        <v>46233</v>
      </c>
      <c r="B381" s="10"/>
      <c r="C381" s="121"/>
      <c r="D381" s="121"/>
      <c r="E381" s="10"/>
      <c r="F381" s="10"/>
      <c r="G381" s="10"/>
      <c r="H381" s="10"/>
      <c r="I381" s="10">
        <v>0</v>
      </c>
      <c r="J381" s="10">
        <v>0</v>
      </c>
      <c r="K381" s="11">
        <v>0</v>
      </c>
    </row>
    <row r="382" spans="1:11" x14ac:dyDescent="0.3">
      <c r="A382" s="535">
        <v>46234</v>
      </c>
      <c r="B382" s="536" t="s">
        <v>10</v>
      </c>
      <c r="C382" s="537" t="s">
        <v>105</v>
      </c>
      <c r="D382" s="537" t="s">
        <v>106</v>
      </c>
      <c r="E382" s="536">
        <v>3.8164099999999999</v>
      </c>
      <c r="F382" s="536">
        <v>8.4409999999999652</v>
      </c>
      <c r="G382" s="536">
        <v>8.4409999999999652</v>
      </c>
      <c r="H382" s="536">
        <v>0.33763999999999861</v>
      </c>
      <c r="I382" s="536">
        <v>-0.90000000000003411</v>
      </c>
      <c r="J382" s="536">
        <v>-7.8089999999999993</v>
      </c>
      <c r="K382" s="538">
        <v>-1.1210000000000164</v>
      </c>
    </row>
    <row r="383" spans="1:11" x14ac:dyDescent="0.3">
      <c r="A383" s="535">
        <v>46234</v>
      </c>
      <c r="B383" s="536" t="s">
        <v>12</v>
      </c>
      <c r="C383" s="537" t="s">
        <v>106</v>
      </c>
      <c r="D383" s="537" t="s">
        <v>108</v>
      </c>
      <c r="E383" s="536">
        <v>3.9541900000000001</v>
      </c>
      <c r="F383" s="536">
        <v>13.778000000000024</v>
      </c>
      <c r="G383" s="536">
        <v>22.218999999999987</v>
      </c>
      <c r="H383" s="536">
        <v>0.88875999999999944</v>
      </c>
      <c r="I383" s="536">
        <v>-0.64799999999998192</v>
      </c>
      <c r="J383" s="536">
        <v>-9.3209999999999571</v>
      </c>
      <c r="K383" s="538">
        <v>5.2189999999999959</v>
      </c>
    </row>
    <row r="384" spans="1:11" x14ac:dyDescent="0.3">
      <c r="A384" s="535">
        <v>46234</v>
      </c>
      <c r="B384" s="536" t="s">
        <v>13</v>
      </c>
      <c r="C384" s="537" t="s">
        <v>108</v>
      </c>
      <c r="D384" s="537" t="s">
        <v>121</v>
      </c>
      <c r="E384" s="536">
        <v>4.0768000000000004</v>
      </c>
      <c r="F384" s="536">
        <v>12.261000000000033</v>
      </c>
      <c r="G384" s="536">
        <v>34.480000000000018</v>
      </c>
      <c r="H384" s="536">
        <v>1.3792000000000006</v>
      </c>
      <c r="I384" s="536">
        <v>0.93000000000005301</v>
      </c>
      <c r="J384" s="536">
        <v>-9.310999999999936</v>
      </c>
      <c r="K384" s="538">
        <v>11.515000000000031</v>
      </c>
    </row>
    <row r="385" spans="1:11" x14ac:dyDescent="0.3">
      <c r="A385" s="535">
        <v>46234</v>
      </c>
      <c r="B385" s="536" t="s">
        <v>14</v>
      </c>
      <c r="C385" s="537" t="s">
        <v>121</v>
      </c>
      <c r="D385" s="537" t="s">
        <v>123</v>
      </c>
      <c r="E385" s="536">
        <v>4.1778000000000004</v>
      </c>
      <c r="F385" s="536">
        <v>10.099999999999998</v>
      </c>
      <c r="G385" s="536">
        <v>44.58000000000002</v>
      </c>
      <c r="H385" s="536">
        <v>1.7832000000000008</v>
      </c>
      <c r="I385" s="536">
        <v>2.1800000000000708</v>
      </c>
      <c r="J385" s="536">
        <v>-8.1029999999999269</v>
      </c>
      <c r="K385" s="538">
        <v>17.980000000000018</v>
      </c>
    </row>
    <row r="386" spans="1:11" x14ac:dyDescent="0.3">
      <c r="A386" s="535">
        <v>46234</v>
      </c>
      <c r="B386" s="536" t="s">
        <v>15</v>
      </c>
      <c r="C386" s="537" t="s">
        <v>123</v>
      </c>
      <c r="D386" s="537" t="s">
        <v>127</v>
      </c>
      <c r="E386" s="536">
        <v>4.2590000000000003</v>
      </c>
      <c r="F386" s="536">
        <v>8.1199999999999939</v>
      </c>
      <c r="G386" s="536">
        <v>52.700000000000017</v>
      </c>
      <c r="H386" s="536">
        <v>2.1080000000000005</v>
      </c>
      <c r="I386" s="536">
        <v>3.1750000000000611</v>
      </c>
      <c r="J386" s="536">
        <v>-7.8500000000000014</v>
      </c>
      <c r="K386" s="538">
        <v>22.665000000000024</v>
      </c>
    </row>
    <row r="387" spans="1:11" x14ac:dyDescent="0.3">
      <c r="A387" s="535">
        <v>46234</v>
      </c>
      <c r="B387" s="536" t="s">
        <v>16</v>
      </c>
      <c r="C387" s="537" t="s">
        <v>127</v>
      </c>
      <c r="D387" s="537" t="s">
        <v>146</v>
      </c>
      <c r="E387" s="536">
        <v>4.3170000000000002</v>
      </c>
      <c r="F387" s="536">
        <v>5.7999999999999829</v>
      </c>
      <c r="G387" s="536">
        <v>58.5</v>
      </c>
      <c r="H387" s="536">
        <v>2.34</v>
      </c>
      <c r="I387" s="536">
        <v>3.9850000000000385</v>
      </c>
      <c r="J387" s="536">
        <v>-7.223999999999986</v>
      </c>
      <c r="K387" s="538">
        <v>26.900000000000013</v>
      </c>
    </row>
    <row r="388" spans="1:11" x14ac:dyDescent="0.3">
      <c r="A388" s="535">
        <v>46234</v>
      </c>
      <c r="B388" s="536" t="s">
        <v>18</v>
      </c>
      <c r="C388" s="537" t="s">
        <v>146</v>
      </c>
      <c r="D388" s="537" t="s">
        <v>151</v>
      </c>
      <c r="E388" s="536">
        <v>4.35365</v>
      </c>
      <c r="F388" s="536">
        <v>3.6649999999999849</v>
      </c>
      <c r="G388" s="536">
        <v>62.164999999999978</v>
      </c>
      <c r="H388" s="536">
        <v>2.4865999999999993</v>
      </c>
      <c r="I388" s="536">
        <v>4.5860000000000234</v>
      </c>
      <c r="J388" s="536">
        <v>-6.3349999999999795</v>
      </c>
      <c r="K388" s="538">
        <v>30.564999999999998</v>
      </c>
    </row>
    <row r="389" spans="1:11" x14ac:dyDescent="0.3">
      <c r="A389" s="535">
        <v>46234</v>
      </c>
      <c r="B389" s="536" t="s">
        <v>19</v>
      </c>
      <c r="C389" s="537" t="s">
        <v>151</v>
      </c>
      <c r="D389" s="537" t="s">
        <v>201</v>
      </c>
      <c r="E389" s="536">
        <v>4.3719999999999999</v>
      </c>
      <c r="F389" s="536">
        <v>1.8349999999999866</v>
      </c>
      <c r="G389" s="536">
        <v>63.999999999999972</v>
      </c>
      <c r="H389" s="536">
        <v>2.5599999999999987</v>
      </c>
      <c r="I389" s="536" t="s">
        <v>41</v>
      </c>
      <c r="J389" s="536" t="s">
        <v>41</v>
      </c>
      <c r="K389" s="538" t="s">
        <v>41</v>
      </c>
    </row>
    <row r="390" spans="1:11" x14ac:dyDescent="0.3">
      <c r="A390" s="535">
        <v>46234</v>
      </c>
      <c r="B390" s="536" t="s">
        <v>10</v>
      </c>
      <c r="C390" s="537" t="s">
        <v>201</v>
      </c>
      <c r="D390" s="537"/>
      <c r="E390" s="536"/>
      <c r="F390" s="536"/>
      <c r="G390" s="536"/>
      <c r="H390" s="536"/>
      <c r="I390" s="536" t="s">
        <v>41</v>
      </c>
      <c r="J390" s="536" t="s">
        <v>41</v>
      </c>
      <c r="K390" s="538" t="s">
        <v>41</v>
      </c>
    </row>
    <row r="391" spans="1:11" x14ac:dyDescent="0.3">
      <c r="A391" s="535">
        <v>46234</v>
      </c>
      <c r="B391" s="536"/>
      <c r="C391" s="537"/>
      <c r="D391" s="537"/>
      <c r="E391" s="536"/>
      <c r="F391" s="536"/>
      <c r="G391" s="536"/>
      <c r="H391" s="536"/>
      <c r="I391" s="536">
        <v>0</v>
      </c>
      <c r="J391" s="536">
        <v>0</v>
      </c>
      <c r="K391" s="538">
        <v>0</v>
      </c>
    </row>
    <row r="392" spans="1:11" x14ac:dyDescent="0.3">
      <c r="A392" s="535">
        <v>46234</v>
      </c>
      <c r="B392" s="536"/>
      <c r="C392" s="537"/>
      <c r="D392" s="537"/>
      <c r="E392" s="536"/>
      <c r="F392" s="536"/>
      <c r="G392" s="536"/>
      <c r="H392" s="536"/>
      <c r="I392" s="536">
        <v>0</v>
      </c>
      <c r="J392" s="536">
        <v>0</v>
      </c>
      <c r="K392" s="538">
        <v>0</v>
      </c>
    </row>
    <row r="393" spans="1:11" x14ac:dyDescent="0.3">
      <c r="A393" s="535">
        <v>46234</v>
      </c>
      <c r="B393" s="536"/>
      <c r="C393" s="537"/>
      <c r="D393" s="537"/>
      <c r="E393" s="536"/>
      <c r="F393" s="536"/>
      <c r="G393" s="536"/>
      <c r="H393" s="536"/>
      <c r="I393" s="536">
        <v>0</v>
      </c>
      <c r="J393" s="536">
        <v>0</v>
      </c>
      <c r="K393" s="538">
        <v>0</v>
      </c>
    </row>
    <row r="394" spans="1:11" x14ac:dyDescent="0.3">
      <c r="A394" s="535">
        <v>46237</v>
      </c>
      <c r="B394" s="536" t="s">
        <v>10</v>
      </c>
      <c r="C394" s="537" t="s">
        <v>105</v>
      </c>
      <c r="D394" s="537" t="s">
        <v>106</v>
      </c>
      <c r="E394" s="536">
        <v>3.80566</v>
      </c>
      <c r="F394" s="536">
        <v>7.4359999999999982</v>
      </c>
      <c r="G394" s="536">
        <v>7.4359999999999982</v>
      </c>
      <c r="H394" s="536">
        <v>0.29743999999999993</v>
      </c>
      <c r="I394" s="536">
        <v>-1.0749999999999815</v>
      </c>
      <c r="J394" s="536">
        <v>-7.6449999999999907</v>
      </c>
      <c r="K394" s="538">
        <v>1.045000000000007</v>
      </c>
    </row>
    <row r="395" spans="1:11" x14ac:dyDescent="0.3">
      <c r="A395" s="535">
        <v>46237</v>
      </c>
      <c r="B395" s="536" t="s">
        <v>12</v>
      </c>
      <c r="C395" s="537" t="s">
        <v>106</v>
      </c>
      <c r="D395" s="537" t="s">
        <v>108</v>
      </c>
      <c r="E395" s="536">
        <v>3.9249700000000001</v>
      </c>
      <c r="F395" s="536">
        <v>11.931000000000003</v>
      </c>
      <c r="G395" s="536">
        <v>19.367000000000001</v>
      </c>
      <c r="H395" s="536">
        <v>0.77468000000000004</v>
      </c>
      <c r="I395" s="536">
        <v>-2.9220000000000024</v>
      </c>
      <c r="J395" s="536">
        <v>-9.8569999999999602</v>
      </c>
      <c r="K395" s="538">
        <v>6.6510000000000069</v>
      </c>
    </row>
    <row r="396" spans="1:11" x14ac:dyDescent="0.3">
      <c r="A396" s="535">
        <v>46237</v>
      </c>
      <c r="B396" s="536" t="s">
        <v>13</v>
      </c>
      <c r="C396" s="537" t="s">
        <v>108</v>
      </c>
      <c r="D396" s="537" t="s">
        <v>121</v>
      </c>
      <c r="E396" s="536">
        <v>4.0228200000000003</v>
      </c>
      <c r="F396" s="536">
        <v>9.7850000000000215</v>
      </c>
      <c r="G396" s="536">
        <v>29.152000000000022</v>
      </c>
      <c r="H396" s="536">
        <v>1.1660800000000009</v>
      </c>
      <c r="I396" s="536">
        <v>-5.3980000000000139</v>
      </c>
      <c r="J396" s="536">
        <v>-10.922999999999927</v>
      </c>
      <c r="K396" s="538">
        <v>10.982000000000047</v>
      </c>
    </row>
    <row r="397" spans="1:11" x14ac:dyDescent="0.3">
      <c r="A397" s="535">
        <v>46237</v>
      </c>
      <c r="B397" s="536" t="s">
        <v>14</v>
      </c>
      <c r="C397" s="537" t="s">
        <v>121</v>
      </c>
      <c r="D397" s="537" t="s">
        <v>123</v>
      </c>
      <c r="E397" s="536">
        <v>4.1074000000000002</v>
      </c>
      <c r="F397" s="536">
        <v>8.4579999999999878</v>
      </c>
      <c r="G397" s="536">
        <v>37.610000000000014</v>
      </c>
      <c r="H397" s="536">
        <v>1.5044000000000006</v>
      </c>
      <c r="I397" s="536">
        <v>-7.040000000000024</v>
      </c>
      <c r="J397" s="536">
        <v>-10.309999999999953</v>
      </c>
      <c r="K397" s="538">
        <v>16.670000000000009</v>
      </c>
    </row>
    <row r="398" spans="1:11" x14ac:dyDescent="0.3">
      <c r="A398" s="535">
        <v>46237</v>
      </c>
      <c r="B398" s="536" t="s">
        <v>15</v>
      </c>
      <c r="C398" s="537" t="s">
        <v>123</v>
      </c>
      <c r="D398" s="537" t="s">
        <v>127</v>
      </c>
      <c r="E398" s="536">
        <v>4.1741200000000003</v>
      </c>
      <c r="F398" s="536">
        <v>6.6720000000000113</v>
      </c>
      <c r="G398" s="536">
        <v>44.282000000000025</v>
      </c>
      <c r="H398" s="536">
        <v>1.7712800000000011</v>
      </c>
      <c r="I398" s="536">
        <v>-8.4880000000000067</v>
      </c>
      <c r="J398" s="536">
        <v>-10.722999999999949</v>
      </c>
      <c r="K398" s="538">
        <v>20.476000000000028</v>
      </c>
    </row>
    <row r="399" spans="1:11" x14ac:dyDescent="0.3">
      <c r="A399" s="535">
        <v>46237</v>
      </c>
      <c r="B399" s="536" t="s">
        <v>16</v>
      </c>
      <c r="C399" s="537" t="s">
        <v>127</v>
      </c>
      <c r="D399" s="537" t="s">
        <v>146</v>
      </c>
      <c r="E399" s="536">
        <v>4.2227800000000002</v>
      </c>
      <c r="F399" s="536">
        <v>4.8659999999999926</v>
      </c>
      <c r="G399" s="536">
        <v>49.14800000000001</v>
      </c>
      <c r="H399" s="536">
        <v>1.9659200000000003</v>
      </c>
      <c r="I399" s="536">
        <v>-9.421999999999997</v>
      </c>
      <c r="J399" s="536">
        <v>-10.367000000000015</v>
      </c>
      <c r="K399" s="538">
        <v>23.953000000000024</v>
      </c>
    </row>
    <row r="400" spans="1:11" x14ac:dyDescent="0.3">
      <c r="A400" s="535">
        <v>46237</v>
      </c>
      <c r="B400" s="536" t="s">
        <v>18</v>
      </c>
      <c r="C400" s="537" t="s">
        <v>146</v>
      </c>
      <c r="D400" s="537" t="s">
        <v>151</v>
      </c>
      <c r="E400" s="536">
        <v>4.2504999999999997</v>
      </c>
      <c r="F400" s="536">
        <v>2.7719999999999523</v>
      </c>
      <c r="G400" s="536">
        <v>51.919999999999966</v>
      </c>
      <c r="H400" s="536">
        <v>2.0767999999999986</v>
      </c>
      <c r="I400" s="536">
        <v>-10.31500000000003</v>
      </c>
      <c r="J400" s="536">
        <v>-10.000000000000053</v>
      </c>
      <c r="K400" s="538">
        <v>26.149999999999984</v>
      </c>
    </row>
    <row r="401" spans="1:11" x14ac:dyDescent="0.3">
      <c r="A401" s="535">
        <v>46237</v>
      </c>
      <c r="B401" s="536" t="s">
        <v>19</v>
      </c>
      <c r="C401" s="537" t="s">
        <v>151</v>
      </c>
      <c r="D401" s="537" t="s">
        <v>201</v>
      </c>
      <c r="E401" s="536">
        <v>4.2625799999999998</v>
      </c>
      <c r="F401" s="536">
        <v>1.2080000000000091</v>
      </c>
      <c r="G401" s="536">
        <v>53.127999999999972</v>
      </c>
      <c r="H401" s="536">
        <v>2.125119999999999</v>
      </c>
      <c r="I401" s="536">
        <v>-10.942000000000007</v>
      </c>
      <c r="J401" s="536" t="s">
        <v>41</v>
      </c>
      <c r="K401" s="538" t="s">
        <v>41</v>
      </c>
    </row>
    <row r="402" spans="1:11" x14ac:dyDescent="0.3">
      <c r="A402" s="535">
        <v>46237</v>
      </c>
      <c r="B402" s="536" t="s">
        <v>10</v>
      </c>
      <c r="C402" s="537" t="s">
        <v>201</v>
      </c>
      <c r="D402" s="537"/>
      <c r="E402" s="536"/>
      <c r="F402" s="536"/>
      <c r="G402" s="536"/>
      <c r="H402" s="536"/>
      <c r="I402" s="536">
        <v>0</v>
      </c>
      <c r="J402" s="536" t="s">
        <v>41</v>
      </c>
      <c r="K402" s="538" t="s">
        <v>41</v>
      </c>
    </row>
    <row r="403" spans="1:11" x14ac:dyDescent="0.3">
      <c r="A403" s="535">
        <v>46237</v>
      </c>
      <c r="B403" s="536"/>
      <c r="C403" s="537"/>
      <c r="D403" s="537"/>
      <c r="E403" s="536"/>
      <c r="F403" s="536"/>
      <c r="G403" s="536"/>
      <c r="H403" s="536"/>
      <c r="I403" s="536">
        <v>0</v>
      </c>
      <c r="J403" s="536">
        <v>0</v>
      </c>
      <c r="K403" s="538">
        <v>0</v>
      </c>
    </row>
    <row r="404" spans="1:11" x14ac:dyDescent="0.3">
      <c r="A404" s="535">
        <v>46237</v>
      </c>
      <c r="B404" s="536"/>
      <c r="C404" s="537"/>
      <c r="D404" s="537"/>
      <c r="E404" s="536"/>
      <c r="F404" s="536"/>
      <c r="G404" s="536"/>
      <c r="H404" s="536"/>
      <c r="I404" s="536">
        <v>0</v>
      </c>
      <c r="J404" s="536">
        <v>0</v>
      </c>
      <c r="K404" s="538">
        <v>0</v>
      </c>
    </row>
    <row r="405" spans="1:11" x14ac:dyDescent="0.3">
      <c r="A405" s="535">
        <v>46237</v>
      </c>
      <c r="B405" s="536"/>
      <c r="C405" s="537"/>
      <c r="D405" s="537"/>
      <c r="E405" s="536"/>
      <c r="F405" s="536"/>
      <c r="G405" s="536"/>
      <c r="H405" s="536"/>
      <c r="I405" s="536">
        <v>0</v>
      </c>
      <c r="J405" s="536">
        <v>0</v>
      </c>
      <c r="K405" s="538">
        <v>0</v>
      </c>
    </row>
    <row r="406" spans="1:11" x14ac:dyDescent="0.3">
      <c r="A406" s="9">
        <v>46238</v>
      </c>
      <c r="B406" s="10" t="s">
        <v>10</v>
      </c>
      <c r="C406" s="121" t="s">
        <v>105</v>
      </c>
      <c r="D406" s="121" t="s">
        <v>106</v>
      </c>
      <c r="E406" s="10">
        <v>3.78959</v>
      </c>
      <c r="F406" s="10">
        <v>5.7490000000000041</v>
      </c>
      <c r="G406" s="10">
        <v>5.7490000000000041</v>
      </c>
      <c r="H406" s="10">
        <v>0.22996000000000016</v>
      </c>
      <c r="I406" s="10">
        <v>-1.6070000000000029</v>
      </c>
      <c r="J406" s="10">
        <v>-7.4009999999999909</v>
      </c>
      <c r="K406" s="11">
        <v>-1.3929999999999776</v>
      </c>
    </row>
    <row r="407" spans="1:11" x14ac:dyDescent="0.3">
      <c r="A407" s="9">
        <v>46238</v>
      </c>
      <c r="B407" s="10" t="s">
        <v>12</v>
      </c>
      <c r="C407" s="121" t="s">
        <v>106</v>
      </c>
      <c r="D407" s="121" t="s">
        <v>108</v>
      </c>
      <c r="E407" s="10">
        <v>3.8971</v>
      </c>
      <c r="F407" s="10">
        <v>10.750999999999999</v>
      </c>
      <c r="G407" s="10">
        <v>16.500000000000004</v>
      </c>
      <c r="H407" s="10">
        <v>0.66000000000000014</v>
      </c>
      <c r="I407" s="10">
        <v>-2.7870000000000061</v>
      </c>
      <c r="J407" s="10">
        <v>-9.9580000000000002</v>
      </c>
      <c r="K407" s="11">
        <v>2.6409999999999823</v>
      </c>
    </row>
    <row r="408" spans="1:11" x14ac:dyDescent="0.3">
      <c r="A408" s="9">
        <v>46238</v>
      </c>
      <c r="B408" s="10" t="s">
        <v>13</v>
      </c>
      <c r="C408" s="121" t="s">
        <v>108</v>
      </c>
      <c r="D408" s="121" t="s">
        <v>121</v>
      </c>
      <c r="E408" s="10">
        <v>3.9895</v>
      </c>
      <c r="F408" s="10">
        <v>9.2400000000000038</v>
      </c>
      <c r="G408" s="10">
        <v>25.740000000000009</v>
      </c>
      <c r="H408" s="10">
        <v>1.0296000000000003</v>
      </c>
      <c r="I408" s="10">
        <v>-3.3320000000000238</v>
      </c>
      <c r="J408" s="10">
        <v>-11.079999999999979</v>
      </c>
      <c r="K408" s="11">
        <v>6.1100000000000154</v>
      </c>
    </row>
    <row r="409" spans="1:11" x14ac:dyDescent="0.3">
      <c r="A409" s="9">
        <v>46238</v>
      </c>
      <c r="B409" s="10" t="s">
        <v>14</v>
      </c>
      <c r="C409" s="121" t="s">
        <v>121</v>
      </c>
      <c r="D409" s="121" t="s">
        <v>123</v>
      </c>
      <c r="E409" s="10">
        <v>4.0639000000000003</v>
      </c>
      <c r="F409" s="10">
        <v>7.4400000000000244</v>
      </c>
      <c r="G409" s="10">
        <v>33.180000000000035</v>
      </c>
      <c r="H409" s="10">
        <v>1.3272000000000015</v>
      </c>
      <c r="I409" s="10">
        <v>-4.3499999999999872</v>
      </c>
      <c r="J409" s="10">
        <v>-11.209999999999987</v>
      </c>
      <c r="K409" s="11">
        <v>10.258000000000012</v>
      </c>
    </row>
    <row r="410" spans="1:11" x14ac:dyDescent="0.3">
      <c r="A410" s="9">
        <v>46238</v>
      </c>
      <c r="B410" s="10" t="s">
        <v>15</v>
      </c>
      <c r="C410" s="121" t="s">
        <v>123</v>
      </c>
      <c r="D410" s="121" t="s">
        <v>127</v>
      </c>
      <c r="E410" s="10">
        <v>4.1236800000000002</v>
      </c>
      <c r="F410" s="10">
        <v>5.9779999999999944</v>
      </c>
      <c r="G410" s="10">
        <v>39.15800000000003</v>
      </c>
      <c r="H410" s="10">
        <v>1.5663200000000013</v>
      </c>
      <c r="I410" s="10">
        <v>-5.044000000000004</v>
      </c>
      <c r="J410" s="10">
        <v>-11.631999999999998</v>
      </c>
      <c r="K410" s="11">
        <v>12.841000000000014</v>
      </c>
    </row>
    <row r="411" spans="1:11" x14ac:dyDescent="0.3">
      <c r="A411" s="9">
        <v>46238</v>
      </c>
      <c r="B411" s="10" t="s">
        <v>16</v>
      </c>
      <c r="C411" s="121" t="s">
        <v>127</v>
      </c>
      <c r="D411" s="121" t="s">
        <v>146</v>
      </c>
      <c r="E411" s="10">
        <v>4.1633500000000003</v>
      </c>
      <c r="F411" s="10">
        <v>3.9670000000000094</v>
      </c>
      <c r="G411" s="10">
        <v>43.125000000000036</v>
      </c>
      <c r="H411" s="10">
        <v>1.7250000000000014</v>
      </c>
      <c r="I411" s="10">
        <v>-5.9429999999999872</v>
      </c>
      <c r="J411" s="10">
        <v>-11.564999999999959</v>
      </c>
      <c r="K411" s="11">
        <v>15.015000000000001</v>
      </c>
    </row>
    <row r="412" spans="1:11" x14ac:dyDescent="0.3">
      <c r="A412" s="9">
        <v>46238</v>
      </c>
      <c r="B412" s="10" t="s">
        <v>18</v>
      </c>
      <c r="C412" s="121" t="s">
        <v>146</v>
      </c>
      <c r="D412" s="121" t="s">
        <v>151</v>
      </c>
      <c r="E412" s="10">
        <v>4.1840000000000002</v>
      </c>
      <c r="F412" s="10">
        <v>2.0649999999999835</v>
      </c>
      <c r="G412" s="10">
        <v>45.190000000000019</v>
      </c>
      <c r="H412" s="10">
        <v>1.8076000000000008</v>
      </c>
      <c r="I412" s="10">
        <v>-6.6499999999999559</v>
      </c>
      <c r="J412" s="10">
        <v>-11.479999999999979</v>
      </c>
      <c r="K412" s="11">
        <v>16.600000000000037</v>
      </c>
    </row>
    <row r="413" spans="1:11" x14ac:dyDescent="0.3">
      <c r="A413" s="9">
        <v>46238</v>
      </c>
      <c r="B413" s="10" t="s">
        <v>19</v>
      </c>
      <c r="C413" s="121" t="s">
        <v>151</v>
      </c>
      <c r="D413" s="121" t="s">
        <v>201</v>
      </c>
      <c r="E413" s="10">
        <v>4.1912200000000004</v>
      </c>
      <c r="F413" s="10">
        <v>0.72200000000002262</v>
      </c>
      <c r="G413" s="10">
        <v>45.912000000000042</v>
      </c>
      <c r="H413" s="10">
        <v>1.8364800000000017</v>
      </c>
      <c r="I413" s="10">
        <v>-7.1359999999999424</v>
      </c>
      <c r="J413" s="10" t="s">
        <v>41</v>
      </c>
      <c r="K413" s="11" t="s">
        <v>41</v>
      </c>
    </row>
    <row r="414" spans="1:11" x14ac:dyDescent="0.3">
      <c r="A414" s="9">
        <v>46238</v>
      </c>
      <c r="B414" s="10" t="s">
        <v>10</v>
      </c>
      <c r="C414" s="121" t="s">
        <v>201</v>
      </c>
      <c r="D414" s="121"/>
      <c r="E414" s="10"/>
      <c r="F414" s="10"/>
      <c r="G414" s="10"/>
      <c r="H414" s="10"/>
      <c r="I414" s="10">
        <v>0</v>
      </c>
      <c r="J414" s="10" t="s">
        <v>41</v>
      </c>
      <c r="K414" s="11" t="s">
        <v>41</v>
      </c>
    </row>
    <row r="415" spans="1:11" x14ac:dyDescent="0.3">
      <c r="A415" s="9">
        <v>46238</v>
      </c>
      <c r="B415" s="10"/>
      <c r="C415" s="121"/>
      <c r="D415" s="121"/>
      <c r="E415" s="10"/>
      <c r="F415" s="10"/>
      <c r="G415" s="10"/>
      <c r="H415" s="10"/>
      <c r="I415" s="10">
        <v>0</v>
      </c>
      <c r="J415" s="10">
        <v>0</v>
      </c>
      <c r="K415" s="11">
        <v>0</v>
      </c>
    </row>
    <row r="416" spans="1:11" x14ac:dyDescent="0.3">
      <c r="A416" s="9">
        <v>46238</v>
      </c>
      <c r="B416" s="10"/>
      <c r="C416" s="121"/>
      <c r="D416" s="121"/>
      <c r="E416" s="10"/>
      <c r="F416" s="10"/>
      <c r="G416" s="10"/>
      <c r="H416" s="10"/>
      <c r="I416" s="10">
        <v>0</v>
      </c>
      <c r="J416" s="10">
        <v>0</v>
      </c>
      <c r="K416" s="11">
        <v>0</v>
      </c>
    </row>
    <row r="417" spans="1:11" x14ac:dyDescent="0.3">
      <c r="A417" s="9">
        <v>46238</v>
      </c>
      <c r="B417" s="10"/>
      <c r="C417" s="121"/>
      <c r="D417" s="121"/>
      <c r="E417" s="10"/>
      <c r="F417" s="10"/>
      <c r="G417" s="10"/>
      <c r="H417" s="10"/>
      <c r="I417" s="10">
        <v>0</v>
      </c>
      <c r="J417" s="10">
        <v>0</v>
      </c>
      <c r="K417" s="11">
        <v>0</v>
      </c>
    </row>
    <row r="418" spans="1:11" x14ac:dyDescent="0.3">
      <c r="A418" s="546">
        <v>46239</v>
      </c>
      <c r="B418" s="547" t="s">
        <v>10</v>
      </c>
      <c r="C418" s="548" t="s">
        <v>105</v>
      </c>
      <c r="D418" s="548" t="s">
        <v>106</v>
      </c>
      <c r="E418" s="547">
        <v>3.7906900000000001</v>
      </c>
      <c r="F418" s="547">
        <v>5.8890000000000331</v>
      </c>
      <c r="G418" s="547">
        <v>5.8890000000000331</v>
      </c>
      <c r="H418" s="547">
        <v>0.23556000000000132</v>
      </c>
      <c r="I418" s="547">
        <v>0.11000000000001009</v>
      </c>
      <c r="J418" s="547">
        <v>-9.8199999999999843</v>
      </c>
      <c r="K418" s="549">
        <v>-0.45199999999998575</v>
      </c>
    </row>
    <row r="419" spans="1:11" x14ac:dyDescent="0.3">
      <c r="A419" s="546">
        <v>46239</v>
      </c>
      <c r="B419" s="547" t="s">
        <v>12</v>
      </c>
      <c r="C419" s="548" t="s">
        <v>106</v>
      </c>
      <c r="D419" s="548" t="s">
        <v>108</v>
      </c>
      <c r="E419" s="547">
        <v>3.8856999999999999</v>
      </c>
      <c r="F419" s="547">
        <v>9.5009999999999817</v>
      </c>
      <c r="G419" s="547">
        <v>15.390000000000015</v>
      </c>
      <c r="H419" s="547">
        <v>0.61560000000000059</v>
      </c>
      <c r="I419" s="547">
        <v>-1.1400000000000077</v>
      </c>
      <c r="J419" s="547">
        <v>-15.129999999999999</v>
      </c>
      <c r="K419" s="549">
        <v>2.7239999999999931</v>
      </c>
    </row>
    <row r="420" spans="1:11" x14ac:dyDescent="0.3">
      <c r="A420" s="546">
        <v>46239</v>
      </c>
      <c r="B420" s="547" t="s">
        <v>13</v>
      </c>
      <c r="C420" s="548" t="s">
        <v>108</v>
      </c>
      <c r="D420" s="548" t="s">
        <v>121</v>
      </c>
      <c r="E420" s="547">
        <v>3.97167</v>
      </c>
      <c r="F420" s="547">
        <v>8.5970000000000102</v>
      </c>
      <c r="G420" s="547">
        <v>23.987000000000023</v>
      </c>
      <c r="H420" s="547">
        <v>0.95948000000000089</v>
      </c>
      <c r="I420" s="547">
        <v>-1.7830000000000013</v>
      </c>
      <c r="J420" s="547">
        <v>-17.988000000000028</v>
      </c>
      <c r="K420" s="549">
        <v>5.8670000000000222</v>
      </c>
    </row>
    <row r="421" spans="1:11" x14ac:dyDescent="0.3">
      <c r="A421" s="546">
        <v>46239</v>
      </c>
      <c r="B421" s="547" t="s">
        <v>14</v>
      </c>
      <c r="C421" s="548" t="s">
        <v>121</v>
      </c>
      <c r="D421" s="548" t="s">
        <v>123</v>
      </c>
      <c r="E421" s="547">
        <v>4.0477999999999996</v>
      </c>
      <c r="F421" s="547">
        <v>7.6129999999999587</v>
      </c>
      <c r="G421" s="547">
        <v>31.599999999999984</v>
      </c>
      <c r="H421" s="547">
        <v>1.2639999999999993</v>
      </c>
      <c r="I421" s="547">
        <v>-1.6100000000000669</v>
      </c>
      <c r="J421" s="547">
        <v>-19.36</v>
      </c>
      <c r="K421" s="549">
        <v>10.709999999999953</v>
      </c>
    </row>
    <row r="422" spans="1:11" x14ac:dyDescent="0.3">
      <c r="A422" s="546">
        <v>46239</v>
      </c>
      <c r="B422" s="547" t="s">
        <v>15</v>
      </c>
      <c r="C422" s="548" t="s">
        <v>123</v>
      </c>
      <c r="D422" s="548" t="s">
        <v>127</v>
      </c>
      <c r="E422" s="547">
        <v>4.1043500000000002</v>
      </c>
      <c r="F422" s="547">
        <v>5.6550000000000544</v>
      </c>
      <c r="G422" s="547">
        <v>37.255000000000038</v>
      </c>
      <c r="H422" s="547">
        <v>1.4902000000000015</v>
      </c>
      <c r="I422" s="547">
        <v>-1.9330000000000069</v>
      </c>
      <c r="J422" s="547">
        <v>-21.664999999999957</v>
      </c>
      <c r="K422" s="549">
        <v>13.499000000000017</v>
      </c>
    </row>
    <row r="423" spans="1:11" x14ac:dyDescent="0.3">
      <c r="A423" s="546">
        <v>46239</v>
      </c>
      <c r="B423" s="547" t="s">
        <v>16</v>
      </c>
      <c r="C423" s="548" t="s">
        <v>127</v>
      </c>
      <c r="D423" s="548" t="s">
        <v>146</v>
      </c>
      <c r="E423" s="547">
        <v>4.1431399999999998</v>
      </c>
      <c r="F423" s="547">
        <v>3.8789999999999658</v>
      </c>
      <c r="G423" s="547">
        <v>41.134</v>
      </c>
      <c r="H423" s="547">
        <v>1.6453599999999999</v>
      </c>
      <c r="I423" s="547">
        <v>-2.0210000000000505</v>
      </c>
      <c r="J423" s="547">
        <v>-23.132000000000019</v>
      </c>
      <c r="K423" s="549">
        <v>15.988999999999987</v>
      </c>
    </row>
    <row r="424" spans="1:11" x14ac:dyDescent="0.3">
      <c r="A424" s="546">
        <v>46239</v>
      </c>
      <c r="B424" s="547" t="s">
        <v>18</v>
      </c>
      <c r="C424" s="548" t="s">
        <v>146</v>
      </c>
      <c r="D424" s="548" t="s">
        <v>151</v>
      </c>
      <c r="E424" s="547">
        <v>4.1654499999999999</v>
      </c>
      <c r="F424" s="547">
        <v>2.2310000000000052</v>
      </c>
      <c r="G424" s="547">
        <v>43.365000000000009</v>
      </c>
      <c r="H424" s="547">
        <v>1.7346000000000004</v>
      </c>
      <c r="I424" s="547">
        <v>-1.8550000000000288</v>
      </c>
      <c r="J424" s="547">
        <v>-23.754999999999971</v>
      </c>
      <c r="K424" s="549">
        <v>17.645</v>
      </c>
    </row>
    <row r="425" spans="1:11" x14ac:dyDescent="0.3">
      <c r="A425" s="546">
        <v>46239</v>
      </c>
      <c r="B425" s="547" t="s">
        <v>19</v>
      </c>
      <c r="C425" s="548" t="s">
        <v>151</v>
      </c>
      <c r="D425" s="548" t="s">
        <v>201</v>
      </c>
      <c r="E425" s="547">
        <v>4.1741000000000001</v>
      </c>
      <c r="F425" s="547">
        <v>0.86500000000002686</v>
      </c>
      <c r="G425" s="547">
        <v>44.230000000000032</v>
      </c>
      <c r="H425" s="547">
        <v>1.7692000000000012</v>
      </c>
      <c r="I425" s="547">
        <v>-1.7120000000000246</v>
      </c>
      <c r="J425" s="547" t="s">
        <v>41</v>
      </c>
      <c r="K425" s="549" t="s">
        <v>41</v>
      </c>
    </row>
    <row r="426" spans="1:11" x14ac:dyDescent="0.3">
      <c r="A426" s="546">
        <v>46239</v>
      </c>
      <c r="B426" s="547" t="s">
        <v>10</v>
      </c>
      <c r="C426" s="548" t="s">
        <v>201</v>
      </c>
      <c r="D426" s="548"/>
      <c r="E426" s="547"/>
      <c r="F426" s="547"/>
      <c r="G426" s="547"/>
      <c r="H426" s="547"/>
      <c r="I426" s="547">
        <v>0</v>
      </c>
      <c r="J426" s="547" t="s">
        <v>41</v>
      </c>
      <c r="K426" s="549" t="s">
        <v>41</v>
      </c>
    </row>
    <row r="427" spans="1:11" x14ac:dyDescent="0.3">
      <c r="A427" s="546">
        <v>46239</v>
      </c>
      <c r="B427" s="547"/>
      <c r="C427" s="548"/>
      <c r="D427" s="548"/>
      <c r="E427" s="547"/>
      <c r="F427" s="547"/>
      <c r="G427" s="547"/>
      <c r="H427" s="547"/>
      <c r="I427" s="547">
        <v>0</v>
      </c>
      <c r="J427" s="547">
        <v>0</v>
      </c>
      <c r="K427" s="549">
        <v>0</v>
      </c>
    </row>
    <row r="428" spans="1:11" x14ac:dyDescent="0.3">
      <c r="A428" s="546">
        <v>46239</v>
      </c>
      <c r="B428" s="547"/>
      <c r="C428" s="548"/>
      <c r="D428" s="548"/>
      <c r="E428" s="547"/>
      <c r="F428" s="547"/>
      <c r="G428" s="547"/>
      <c r="H428" s="547"/>
      <c r="I428" s="547">
        <v>0</v>
      </c>
      <c r="J428" s="547">
        <v>0</v>
      </c>
      <c r="K428" s="549">
        <v>0</v>
      </c>
    </row>
    <row r="429" spans="1:11" x14ac:dyDescent="0.3">
      <c r="A429" s="546">
        <v>46239</v>
      </c>
      <c r="B429" s="547"/>
      <c r="C429" s="548"/>
      <c r="D429" s="548"/>
      <c r="E429" s="547"/>
      <c r="F429" s="547"/>
      <c r="G429" s="547"/>
      <c r="H429" s="547"/>
      <c r="I429" s="547">
        <v>0</v>
      </c>
      <c r="J429" s="547">
        <v>0</v>
      </c>
      <c r="K429" s="549">
        <v>0</v>
      </c>
    </row>
    <row r="430" spans="1:11" x14ac:dyDescent="0.3">
      <c r="A430" s="546">
        <v>46240</v>
      </c>
      <c r="B430" s="547" t="s">
        <v>10</v>
      </c>
      <c r="C430" s="548" t="s">
        <v>105</v>
      </c>
      <c r="D430" s="548" t="s">
        <v>106</v>
      </c>
      <c r="E430" s="547">
        <v>3.7942900000000002</v>
      </c>
      <c r="F430" s="547">
        <v>6.2990000000000101</v>
      </c>
      <c r="G430" s="547">
        <v>6.2990000000000101</v>
      </c>
      <c r="H430" s="547">
        <v>0.25196000000000041</v>
      </c>
      <c r="I430" s="547">
        <v>0.36000000000000476</v>
      </c>
      <c r="J430" s="547">
        <v>-3.1120000000000037</v>
      </c>
      <c r="K430" s="549">
        <v>-0.12299999999996203</v>
      </c>
    </row>
    <row r="431" spans="1:11" x14ac:dyDescent="0.3">
      <c r="A431" s="546">
        <v>46240</v>
      </c>
      <c r="B431" s="547" t="s">
        <v>12</v>
      </c>
      <c r="C431" s="548" t="s">
        <v>106</v>
      </c>
      <c r="D431" s="548" t="s">
        <v>108</v>
      </c>
      <c r="E431" s="547">
        <v>3.8993699999999998</v>
      </c>
      <c r="F431" s="547">
        <v>10.507999999999962</v>
      </c>
      <c r="G431" s="547">
        <v>16.806999999999974</v>
      </c>
      <c r="H431" s="547">
        <v>0.67227999999999899</v>
      </c>
      <c r="I431" s="547">
        <v>1.3669999999999849</v>
      </c>
      <c r="J431" s="547">
        <v>-6.1300000000000132</v>
      </c>
      <c r="K431" s="549">
        <v>4.0669999999999984</v>
      </c>
    </row>
    <row r="432" spans="1:11" x14ac:dyDescent="0.3">
      <c r="A432" s="546">
        <v>46240</v>
      </c>
      <c r="B432" s="547" t="s">
        <v>13</v>
      </c>
      <c r="C432" s="548" t="s">
        <v>108</v>
      </c>
      <c r="D432" s="548" t="s">
        <v>121</v>
      </c>
      <c r="E432" s="547">
        <v>3.9910199999999998</v>
      </c>
      <c r="F432" s="547">
        <v>9.1650000000000009</v>
      </c>
      <c r="G432" s="547">
        <v>25.971999999999973</v>
      </c>
      <c r="H432" s="547">
        <v>1.0388799999999989</v>
      </c>
      <c r="I432" s="547">
        <v>1.9349999999999756</v>
      </c>
      <c r="J432" s="547">
        <v>-7.6480000000000103</v>
      </c>
      <c r="K432" s="549">
        <v>7.7259999999999884</v>
      </c>
    </row>
    <row r="433" spans="1:11" x14ac:dyDescent="0.3">
      <c r="A433" s="546">
        <v>46240</v>
      </c>
      <c r="B433" s="547" t="s">
        <v>14</v>
      </c>
      <c r="C433" s="548" t="s">
        <v>121</v>
      </c>
      <c r="D433" s="548" t="s">
        <v>123</v>
      </c>
      <c r="E433" s="547">
        <v>4.0714800000000002</v>
      </c>
      <c r="F433" s="547">
        <v>8.046000000000042</v>
      </c>
      <c r="G433" s="547">
        <v>34.018000000000015</v>
      </c>
      <c r="H433" s="547">
        <v>1.3607200000000006</v>
      </c>
      <c r="I433" s="547">
        <v>2.3680000000000589</v>
      </c>
      <c r="J433" s="547">
        <v>-8.4519999999999484</v>
      </c>
      <c r="K433" s="549">
        <v>13.096000000000041</v>
      </c>
    </row>
    <row r="434" spans="1:11" x14ac:dyDescent="0.3">
      <c r="A434" s="546">
        <v>46240</v>
      </c>
      <c r="B434" s="547" t="s">
        <v>15</v>
      </c>
      <c r="C434" s="548" t="s">
        <v>123</v>
      </c>
      <c r="D434" s="548" t="s">
        <v>127</v>
      </c>
      <c r="E434" s="547">
        <v>4.1367099999999999</v>
      </c>
      <c r="F434" s="547">
        <v>6.5229999999999677</v>
      </c>
      <c r="G434" s="547">
        <v>40.540999999999983</v>
      </c>
      <c r="H434" s="547">
        <v>1.6216399999999993</v>
      </c>
      <c r="I434" s="547">
        <v>3.2359999999999722</v>
      </c>
      <c r="J434" s="547">
        <v>-9.0539999999999843</v>
      </c>
      <c r="K434" s="549">
        <v>17.171000000000003</v>
      </c>
    </row>
    <row r="435" spans="1:11" x14ac:dyDescent="0.3">
      <c r="A435" s="546">
        <v>46240</v>
      </c>
      <c r="B435" s="547" t="s">
        <v>16</v>
      </c>
      <c r="C435" s="548" t="s">
        <v>127</v>
      </c>
      <c r="D435" s="548" t="s">
        <v>146</v>
      </c>
      <c r="E435" s="547">
        <v>4.1789100000000001</v>
      </c>
      <c r="F435" s="547">
        <v>4.2200000000000237</v>
      </c>
      <c r="G435" s="547">
        <v>44.76100000000001</v>
      </c>
      <c r="H435" s="547">
        <v>1.7904400000000005</v>
      </c>
      <c r="I435" s="547">
        <v>3.5770000000000302</v>
      </c>
      <c r="J435" s="547">
        <v>-9.8239999999999661</v>
      </c>
      <c r="K435" s="549">
        <v>20.171000000000028</v>
      </c>
    </row>
    <row r="436" spans="1:11" x14ac:dyDescent="0.3">
      <c r="A436" s="546">
        <v>46240</v>
      </c>
      <c r="B436" s="547" t="s">
        <v>18</v>
      </c>
      <c r="C436" s="548" t="s">
        <v>146</v>
      </c>
      <c r="D436" s="548" t="s">
        <v>151</v>
      </c>
      <c r="E436" s="547">
        <v>4.2061000000000002</v>
      </c>
      <c r="F436" s="547">
        <v>2.7190000000000047</v>
      </c>
      <c r="G436" s="547">
        <v>47.480000000000011</v>
      </c>
      <c r="H436" s="547">
        <v>1.8992000000000004</v>
      </c>
      <c r="I436" s="547">
        <v>4.0650000000000297</v>
      </c>
      <c r="J436" s="547">
        <v>-10.168999999999961</v>
      </c>
      <c r="K436" s="549">
        <v>22.135000000000016</v>
      </c>
    </row>
    <row r="437" spans="1:11" x14ac:dyDescent="0.3">
      <c r="A437" s="546">
        <v>46240</v>
      </c>
      <c r="B437" s="547" t="s">
        <v>19</v>
      </c>
      <c r="C437" s="548" t="s">
        <v>151</v>
      </c>
      <c r="D437" s="548" t="s">
        <v>201</v>
      </c>
      <c r="E437" s="547">
        <v>4.2190000000000003</v>
      </c>
      <c r="F437" s="547">
        <v>1.2900000000000134</v>
      </c>
      <c r="G437" s="547">
        <v>48.770000000000024</v>
      </c>
      <c r="H437" s="547">
        <v>1.950800000000001</v>
      </c>
      <c r="I437" s="547">
        <v>4.4900000000000162</v>
      </c>
      <c r="J437" s="547" t="s">
        <v>41</v>
      </c>
      <c r="K437" s="549" t="s">
        <v>41</v>
      </c>
    </row>
    <row r="438" spans="1:11" x14ac:dyDescent="0.3">
      <c r="A438" s="546">
        <v>46240</v>
      </c>
      <c r="B438" s="547" t="s">
        <v>10</v>
      </c>
      <c r="C438" s="548" t="s">
        <v>201</v>
      </c>
      <c r="D438" s="548"/>
      <c r="E438" s="547"/>
      <c r="F438" s="547"/>
      <c r="G438" s="547"/>
      <c r="H438" s="547"/>
      <c r="I438" s="547">
        <v>0</v>
      </c>
      <c r="J438" s="547" t="s">
        <v>41</v>
      </c>
      <c r="K438" s="549" t="s">
        <v>41</v>
      </c>
    </row>
    <row r="439" spans="1:11" x14ac:dyDescent="0.3">
      <c r="A439" s="546">
        <v>46240</v>
      </c>
      <c r="B439" s="547"/>
      <c r="C439" s="548"/>
      <c r="D439" s="548"/>
      <c r="E439" s="547"/>
      <c r="F439" s="547"/>
      <c r="G439" s="547"/>
      <c r="H439" s="547"/>
      <c r="I439" s="547">
        <v>0</v>
      </c>
      <c r="J439" s="547">
        <v>0</v>
      </c>
      <c r="K439" s="549">
        <v>0</v>
      </c>
    </row>
    <row r="440" spans="1:11" x14ac:dyDescent="0.3">
      <c r="A440" s="546">
        <v>46240</v>
      </c>
      <c r="B440" s="547"/>
      <c r="C440" s="548"/>
      <c r="D440" s="548"/>
      <c r="E440" s="547"/>
      <c r="F440" s="547"/>
      <c r="G440" s="547"/>
      <c r="H440" s="547"/>
      <c r="I440" s="547">
        <v>0</v>
      </c>
      <c r="J440" s="547">
        <v>0</v>
      </c>
      <c r="K440" s="549">
        <v>0</v>
      </c>
    </row>
    <row r="441" spans="1:11" x14ac:dyDescent="0.3">
      <c r="A441" s="546">
        <v>46240</v>
      </c>
      <c r="B441" s="547"/>
      <c r="C441" s="548"/>
      <c r="D441" s="548"/>
      <c r="E441" s="547"/>
      <c r="F441" s="547"/>
      <c r="G441" s="547"/>
      <c r="H441" s="547"/>
      <c r="I441" s="547">
        <v>0</v>
      </c>
      <c r="J441" s="547">
        <v>0</v>
      </c>
      <c r="K441" s="549">
        <v>0</v>
      </c>
    </row>
    <row r="442" spans="1:11" x14ac:dyDescent="0.3">
      <c r="A442" s="9">
        <v>46241</v>
      </c>
      <c r="B442" s="10" t="s">
        <v>10</v>
      </c>
      <c r="C442" s="121" t="s">
        <v>105</v>
      </c>
      <c r="D442" s="121" t="s">
        <v>106</v>
      </c>
      <c r="E442" s="10">
        <v>3.7902499999999999</v>
      </c>
      <c r="F442" s="10">
        <v>5.7949999999999946</v>
      </c>
      <c r="G442" s="10">
        <v>5.7949999999999946</v>
      </c>
      <c r="H442" s="10">
        <v>0.23179999999999978</v>
      </c>
      <c r="I442" s="10">
        <v>-0.40400000000002656</v>
      </c>
      <c r="J442" s="10">
        <v>-2.6159999999999961</v>
      </c>
      <c r="K442" s="11">
        <v>-1.9480000000000164</v>
      </c>
    </row>
    <row r="443" spans="1:11" x14ac:dyDescent="0.3">
      <c r="A443" s="9">
        <v>46241</v>
      </c>
      <c r="B443" s="10" t="s">
        <v>12</v>
      </c>
      <c r="C443" s="121" t="s">
        <v>106</v>
      </c>
      <c r="D443" s="121" t="s">
        <v>108</v>
      </c>
      <c r="E443" s="10">
        <v>3.8926400000000001</v>
      </c>
      <c r="F443" s="10">
        <v>10.23900000000002</v>
      </c>
      <c r="G443" s="10">
        <v>16.034000000000013</v>
      </c>
      <c r="H443" s="10">
        <v>0.64136000000000049</v>
      </c>
      <c r="I443" s="10">
        <v>-0.67299999999996807</v>
      </c>
      <c r="J443" s="10">
        <v>-6.1549999999999994</v>
      </c>
      <c r="K443" s="11">
        <v>0.96400000000000929</v>
      </c>
    </row>
    <row r="444" spans="1:11" x14ac:dyDescent="0.3">
      <c r="A444" s="9">
        <v>46241</v>
      </c>
      <c r="B444" s="10" t="s">
        <v>13</v>
      </c>
      <c r="C444" s="121" t="s">
        <v>108</v>
      </c>
      <c r="D444" s="121" t="s">
        <v>121</v>
      </c>
      <c r="E444" s="10">
        <v>3.9859800000000001</v>
      </c>
      <c r="F444" s="10">
        <v>9.3339999999999979</v>
      </c>
      <c r="G444" s="10">
        <v>25.368000000000013</v>
      </c>
      <c r="H444" s="10">
        <v>1.0147200000000005</v>
      </c>
      <c r="I444" s="10">
        <v>-0.50399999999997114</v>
      </c>
      <c r="J444" s="10">
        <v>-9.0820000000000345</v>
      </c>
      <c r="K444" s="11">
        <v>3.7959999999999994</v>
      </c>
    </row>
    <row r="445" spans="1:11" x14ac:dyDescent="0.3">
      <c r="A445" s="9">
        <v>46241</v>
      </c>
      <c r="B445" s="10" t="s">
        <v>14</v>
      </c>
      <c r="C445" s="121" t="s">
        <v>121</v>
      </c>
      <c r="D445" s="121" t="s">
        <v>123</v>
      </c>
      <c r="E445" s="10">
        <v>4.0669000000000004</v>
      </c>
      <c r="F445" s="10">
        <v>8.0920000000000325</v>
      </c>
      <c r="G445" s="10">
        <v>33.460000000000043</v>
      </c>
      <c r="H445" s="10">
        <v>1.3384000000000018</v>
      </c>
      <c r="I445" s="10">
        <v>-0.45799999999998064</v>
      </c>
      <c r="J445" s="10">
        <v>-11.09</v>
      </c>
      <c r="K445" s="11">
        <v>8.4650000000000336</v>
      </c>
    </row>
    <row r="446" spans="1:11" x14ac:dyDescent="0.3">
      <c r="A446" s="9">
        <v>46241</v>
      </c>
      <c r="B446" s="10" t="s">
        <v>15</v>
      </c>
      <c r="C446" s="121" t="s">
        <v>123</v>
      </c>
      <c r="D446" s="121" t="s">
        <v>127</v>
      </c>
      <c r="E446" s="10">
        <v>4.1310399999999996</v>
      </c>
      <c r="F446" s="10">
        <v>6.4139999999999198</v>
      </c>
      <c r="G446" s="10">
        <v>39.873999999999967</v>
      </c>
      <c r="H446" s="10">
        <v>1.5949599999999986</v>
      </c>
      <c r="I446" s="10">
        <v>-0.56700000000002859</v>
      </c>
      <c r="J446" s="10">
        <v>-12.796000000000074</v>
      </c>
      <c r="K446" s="11">
        <v>11.938999999999922</v>
      </c>
    </row>
    <row r="447" spans="1:11" x14ac:dyDescent="0.3">
      <c r="A447" s="9">
        <v>46241</v>
      </c>
      <c r="B447" s="10" t="s">
        <v>16</v>
      </c>
      <c r="C447" s="121" t="s">
        <v>127</v>
      </c>
      <c r="D447" s="121" t="s">
        <v>146</v>
      </c>
      <c r="E447" s="10">
        <v>4.1736199999999997</v>
      </c>
      <c r="F447" s="10">
        <v>4.2580000000000062</v>
      </c>
      <c r="G447" s="10">
        <v>44.131999999999969</v>
      </c>
      <c r="H447" s="10">
        <v>1.7652799999999989</v>
      </c>
      <c r="I447" s="10">
        <v>-0.5290000000000461</v>
      </c>
      <c r="J447" s="10">
        <v>-14.338000000000051</v>
      </c>
      <c r="K447" s="11">
        <v>14.535999999999927</v>
      </c>
    </row>
    <row r="448" spans="1:11" x14ac:dyDescent="0.3">
      <c r="A448" s="9">
        <v>46241</v>
      </c>
      <c r="B448" s="10" t="s">
        <v>18</v>
      </c>
      <c r="C448" s="121" t="s">
        <v>146</v>
      </c>
      <c r="D448" s="121" t="s">
        <v>151</v>
      </c>
      <c r="E448" s="10">
        <v>4.2031999999999998</v>
      </c>
      <c r="F448" s="10">
        <v>2.9580000000000162</v>
      </c>
      <c r="G448" s="10">
        <v>47.089999999999989</v>
      </c>
      <c r="H448" s="10">
        <v>1.8835999999999995</v>
      </c>
      <c r="I448" s="10">
        <v>-0.29000000000003467</v>
      </c>
      <c r="J448" s="10">
        <v>-15.045000000000019</v>
      </c>
      <c r="K448" s="11">
        <v>17.119000000000018</v>
      </c>
    </row>
    <row r="449" spans="1:11" x14ac:dyDescent="0.3">
      <c r="A449" s="9">
        <v>46241</v>
      </c>
      <c r="B449" s="10" t="s">
        <v>19</v>
      </c>
      <c r="C449" s="121" t="s">
        <v>151</v>
      </c>
      <c r="D449" s="121" t="s">
        <v>201</v>
      </c>
      <c r="E449" s="10">
        <v>4.2160000000000002</v>
      </c>
      <c r="F449" s="10">
        <v>1.2800000000000367</v>
      </c>
      <c r="G449" s="10">
        <v>48.370000000000026</v>
      </c>
      <c r="H449" s="10">
        <v>1.934800000000001</v>
      </c>
      <c r="I449" s="10">
        <v>-0.30000000000001137</v>
      </c>
      <c r="J449" s="10">
        <v>-15.599999999999969</v>
      </c>
      <c r="K449" s="11" t="s">
        <v>41</v>
      </c>
    </row>
    <row r="450" spans="1:11" x14ac:dyDescent="0.3">
      <c r="A450" s="9">
        <v>46241</v>
      </c>
      <c r="B450" s="10" t="s">
        <v>10</v>
      </c>
      <c r="C450" s="121" t="s">
        <v>201</v>
      </c>
      <c r="D450" s="121"/>
      <c r="E450" s="10"/>
      <c r="F450" s="10"/>
      <c r="G450" s="10"/>
      <c r="H450" s="10"/>
      <c r="I450" s="10">
        <v>0</v>
      </c>
      <c r="J450" s="10">
        <v>0</v>
      </c>
      <c r="K450" s="11" t="s">
        <v>41</v>
      </c>
    </row>
    <row r="451" spans="1:11" x14ac:dyDescent="0.3">
      <c r="A451" s="9">
        <v>46241</v>
      </c>
      <c r="B451" s="10"/>
      <c r="C451" s="121"/>
      <c r="D451" s="121"/>
      <c r="E451" s="10"/>
      <c r="F451" s="10"/>
      <c r="G451" s="10"/>
      <c r="H451" s="10"/>
      <c r="I451" s="10">
        <v>0</v>
      </c>
      <c r="J451" s="10">
        <v>0</v>
      </c>
      <c r="K451" s="11">
        <v>0</v>
      </c>
    </row>
    <row r="452" spans="1:11" x14ac:dyDescent="0.3">
      <c r="A452" s="9">
        <v>46241</v>
      </c>
      <c r="B452" s="10"/>
      <c r="C452" s="121"/>
      <c r="D452" s="121"/>
      <c r="E452" s="10"/>
      <c r="F452" s="10"/>
      <c r="G452" s="10"/>
      <c r="H452" s="10"/>
      <c r="I452" s="10">
        <v>0</v>
      </c>
      <c r="J452" s="10">
        <v>0</v>
      </c>
      <c r="K452" s="11">
        <v>0</v>
      </c>
    </row>
    <row r="453" spans="1:11" x14ac:dyDescent="0.3">
      <c r="A453" s="9">
        <v>46241</v>
      </c>
      <c r="B453" s="10"/>
      <c r="C453" s="121"/>
      <c r="D453" s="121"/>
      <c r="E453" s="10"/>
      <c r="F453" s="10"/>
      <c r="G453" s="10"/>
      <c r="H453" s="10"/>
      <c r="I453" s="10">
        <v>0</v>
      </c>
      <c r="J453" s="10">
        <v>0</v>
      </c>
      <c r="K453" s="11">
        <v>0</v>
      </c>
    </row>
    <row r="454" spans="1:11" x14ac:dyDescent="0.3">
      <c r="A454" s="9">
        <v>46244</v>
      </c>
      <c r="B454" s="10" t="s">
        <v>10</v>
      </c>
      <c r="C454" s="121" t="s">
        <v>105</v>
      </c>
      <c r="D454" s="121" t="s">
        <v>106</v>
      </c>
      <c r="E454" s="10">
        <v>3.7987799999999998</v>
      </c>
      <c r="F454" s="10">
        <v>6.698000000000004</v>
      </c>
      <c r="G454" s="10">
        <v>6.698000000000004</v>
      </c>
      <c r="H454" s="10">
        <v>0.26792000000000016</v>
      </c>
      <c r="I454" s="10">
        <v>0.85299999999999265</v>
      </c>
      <c r="J454" s="10">
        <v>-0.68800000000002193</v>
      </c>
      <c r="K454" s="11">
        <v>-6.0520000000000351</v>
      </c>
    </row>
    <row r="455" spans="1:11" x14ac:dyDescent="0.3">
      <c r="A455" s="9">
        <v>46244</v>
      </c>
      <c r="B455" s="10" t="s">
        <v>12</v>
      </c>
      <c r="C455" s="121" t="s">
        <v>106</v>
      </c>
      <c r="D455" s="121" t="s">
        <v>108</v>
      </c>
      <c r="E455" s="10">
        <v>3.9112</v>
      </c>
      <c r="F455" s="10">
        <v>11.242000000000019</v>
      </c>
      <c r="G455" s="10">
        <v>17.940000000000023</v>
      </c>
      <c r="H455" s="10">
        <v>0.7176000000000009</v>
      </c>
      <c r="I455" s="10">
        <v>1.855999999999991</v>
      </c>
      <c r="J455" s="10">
        <v>-1.377000000000006</v>
      </c>
      <c r="K455" s="11">
        <v>-4.4109999999999872</v>
      </c>
    </row>
    <row r="456" spans="1:11" x14ac:dyDescent="0.3">
      <c r="A456" s="9">
        <v>46244</v>
      </c>
      <c r="B456" s="10" t="s">
        <v>13</v>
      </c>
      <c r="C456" s="121" t="s">
        <v>108</v>
      </c>
      <c r="D456" s="121" t="s">
        <v>121</v>
      </c>
      <c r="E456" s="10">
        <v>4.0137799999999997</v>
      </c>
      <c r="F456" s="10">
        <v>10.257999999999967</v>
      </c>
      <c r="G456" s="10">
        <v>28.19799999999999</v>
      </c>
      <c r="H456" s="10">
        <v>1.1279199999999996</v>
      </c>
      <c r="I456" s="10">
        <v>2.7799999999999603</v>
      </c>
      <c r="J456" s="10">
        <v>-0.90400000000006031</v>
      </c>
      <c r="K456" s="11">
        <v>-1.3250000000000206</v>
      </c>
    </row>
    <row r="457" spans="1:11" x14ac:dyDescent="0.3">
      <c r="A457" s="9">
        <v>46244</v>
      </c>
      <c r="B457" s="10" t="s">
        <v>14</v>
      </c>
      <c r="C457" s="121" t="s">
        <v>121</v>
      </c>
      <c r="D457" s="121" t="s">
        <v>123</v>
      </c>
      <c r="E457" s="10">
        <v>4.1046399999999998</v>
      </c>
      <c r="F457" s="10">
        <v>9.0860000000000163</v>
      </c>
      <c r="G457" s="10">
        <v>37.284000000000006</v>
      </c>
      <c r="H457" s="10">
        <v>1.4913600000000002</v>
      </c>
      <c r="I457" s="10">
        <v>3.7739999999999441</v>
      </c>
      <c r="J457" s="10">
        <v>-0.27600000000003178</v>
      </c>
      <c r="K457" s="11">
        <v>3.8109999999999644</v>
      </c>
    </row>
    <row r="458" spans="1:11" x14ac:dyDescent="0.3">
      <c r="A458" s="9">
        <v>46244</v>
      </c>
      <c r="B458" s="10" t="s">
        <v>15</v>
      </c>
      <c r="C458" s="121" t="s">
        <v>123</v>
      </c>
      <c r="D458" s="121" t="s">
        <v>127</v>
      </c>
      <c r="E458" s="10">
        <v>4.1782500000000002</v>
      </c>
      <c r="F458" s="10">
        <v>7.3610000000000397</v>
      </c>
      <c r="G458" s="10">
        <v>44.645000000000046</v>
      </c>
      <c r="H458" s="10">
        <v>1.7858000000000018</v>
      </c>
      <c r="I458" s="10">
        <v>4.721000000000064</v>
      </c>
      <c r="J458" s="10">
        <v>0.4129999999999967</v>
      </c>
      <c r="K458" s="11">
        <v>6.7309999999999981</v>
      </c>
    </row>
    <row r="459" spans="1:11" x14ac:dyDescent="0.3">
      <c r="A459" s="9">
        <v>46244</v>
      </c>
      <c r="B459" s="10" t="s">
        <v>16</v>
      </c>
      <c r="C459" s="121" t="s">
        <v>127</v>
      </c>
      <c r="D459" s="121" t="s">
        <v>146</v>
      </c>
      <c r="E459" s="10">
        <v>4.2301000000000002</v>
      </c>
      <c r="F459" s="10">
        <v>5.1849999999999952</v>
      </c>
      <c r="G459" s="10">
        <v>49.830000000000041</v>
      </c>
      <c r="H459" s="10">
        <v>1.9932000000000016</v>
      </c>
      <c r="I459" s="10">
        <v>5.648000000000053</v>
      </c>
      <c r="J459" s="10">
        <v>0.73199999999999932</v>
      </c>
      <c r="K459" s="11">
        <v>9.9099999999999966</v>
      </c>
    </row>
    <row r="460" spans="1:11" x14ac:dyDescent="0.3">
      <c r="A460" s="9">
        <v>46244</v>
      </c>
      <c r="B460" s="10" t="s">
        <v>18</v>
      </c>
      <c r="C460" s="121" t="s">
        <v>146</v>
      </c>
      <c r="D460" s="121" t="s">
        <v>151</v>
      </c>
      <c r="E460" s="10">
        <v>4.2660900000000002</v>
      </c>
      <c r="F460" s="10">
        <v>3.5989999999999966</v>
      </c>
      <c r="G460" s="10">
        <v>53.429000000000038</v>
      </c>
      <c r="H460" s="10">
        <v>2.1371600000000015</v>
      </c>
      <c r="I460" s="10">
        <v>6.2890000000000335</v>
      </c>
      <c r="J460" s="10">
        <v>1.5590000000000437</v>
      </c>
      <c r="K460" s="11">
        <v>12.929000000000013</v>
      </c>
    </row>
    <row r="461" spans="1:11" x14ac:dyDescent="0.3">
      <c r="A461" s="9">
        <v>46244</v>
      </c>
      <c r="B461" s="10" t="s">
        <v>19</v>
      </c>
      <c r="C461" s="121" t="s">
        <v>151</v>
      </c>
      <c r="D461" s="121" t="s">
        <v>201</v>
      </c>
      <c r="E461" s="10">
        <v>4.2865000000000002</v>
      </c>
      <c r="F461" s="10">
        <v>2.0410000000000039</v>
      </c>
      <c r="G461" s="10">
        <v>55.470000000000041</v>
      </c>
      <c r="H461" s="10">
        <v>2.2188000000000017</v>
      </c>
      <c r="I461" s="10">
        <v>7.0500000000000007</v>
      </c>
      <c r="J461" s="10">
        <v>2.3920000000000385</v>
      </c>
      <c r="K461" s="11" t="s">
        <v>41</v>
      </c>
    </row>
    <row r="462" spans="1:11" x14ac:dyDescent="0.3">
      <c r="A462" s="9">
        <v>46244</v>
      </c>
      <c r="B462" s="10" t="s">
        <v>10</v>
      </c>
      <c r="C462" s="121" t="s">
        <v>201</v>
      </c>
      <c r="D462" s="121"/>
      <c r="E462" s="10"/>
      <c r="F462" s="10"/>
      <c r="G462" s="10"/>
      <c r="H462" s="10"/>
      <c r="I462" s="10">
        <v>0</v>
      </c>
      <c r="J462" s="10">
        <v>0</v>
      </c>
      <c r="K462" s="11" t="s">
        <v>41</v>
      </c>
    </row>
    <row r="463" spans="1:11" x14ac:dyDescent="0.3">
      <c r="A463" s="9">
        <v>46244</v>
      </c>
      <c r="B463" s="10"/>
      <c r="C463" s="121"/>
      <c r="D463" s="121"/>
      <c r="E463" s="10"/>
      <c r="F463" s="10"/>
      <c r="G463" s="10"/>
      <c r="H463" s="10"/>
      <c r="I463" s="10">
        <v>0</v>
      </c>
      <c r="J463" s="10">
        <v>0</v>
      </c>
      <c r="K463" s="11">
        <v>0</v>
      </c>
    </row>
    <row r="464" spans="1:11" x14ac:dyDescent="0.3">
      <c r="A464" s="9">
        <v>46244</v>
      </c>
      <c r="B464" s="10"/>
      <c r="C464" s="121"/>
      <c r="D464" s="121"/>
      <c r="E464" s="10"/>
      <c r="F464" s="10"/>
      <c r="G464" s="10"/>
      <c r="H464" s="10"/>
      <c r="I464" s="10">
        <v>0</v>
      </c>
      <c r="J464" s="10">
        <v>0</v>
      </c>
      <c r="K464" s="11">
        <v>0</v>
      </c>
    </row>
    <row r="465" spans="1:11" x14ac:dyDescent="0.3">
      <c r="A465" s="9">
        <v>46244</v>
      </c>
      <c r="B465" s="10"/>
      <c r="C465" s="121"/>
      <c r="D465" s="121"/>
      <c r="E465" s="10"/>
      <c r="F465" s="10"/>
      <c r="G465" s="10"/>
      <c r="H465" s="10"/>
      <c r="I465" s="10">
        <v>0</v>
      </c>
      <c r="J465" s="10">
        <v>0</v>
      </c>
      <c r="K465" s="11">
        <v>0</v>
      </c>
    </row>
    <row r="466" spans="1:11" x14ac:dyDescent="0.3">
      <c r="A466" s="9">
        <v>46245</v>
      </c>
      <c r="B466" s="10" t="s">
        <v>10</v>
      </c>
      <c r="C466" s="121" t="s">
        <v>105</v>
      </c>
      <c r="D466" s="121" t="s">
        <v>106</v>
      </c>
      <c r="E466" s="10">
        <v>3.7858999999999998</v>
      </c>
      <c r="F466" s="10">
        <v>5.4399999999999782</v>
      </c>
      <c r="G466" s="10">
        <v>5.4399999999999782</v>
      </c>
      <c r="H466" s="10">
        <v>0.21759999999999913</v>
      </c>
      <c r="I466" s="10">
        <v>-1.2880000000000003</v>
      </c>
      <c r="J466" s="10">
        <v>-0.36900000000001931</v>
      </c>
      <c r="K466" s="11">
        <v>-12.346000000000013</v>
      </c>
    </row>
    <row r="467" spans="1:11" x14ac:dyDescent="0.3">
      <c r="A467" s="9">
        <v>46245</v>
      </c>
      <c r="B467" s="10" t="s">
        <v>12</v>
      </c>
      <c r="C467" s="121" t="s">
        <v>106</v>
      </c>
      <c r="D467" s="121" t="s">
        <v>108</v>
      </c>
      <c r="E467" s="10">
        <v>3.89995</v>
      </c>
      <c r="F467" s="10">
        <v>11.405000000000021</v>
      </c>
      <c r="G467" s="10">
        <v>16.844999999999999</v>
      </c>
      <c r="H467" s="10">
        <v>0.67379999999999995</v>
      </c>
      <c r="I467" s="10">
        <v>-1.1249999999999982</v>
      </c>
      <c r="J467" s="10">
        <v>0.28500000000000192</v>
      </c>
      <c r="K467" s="11">
        <v>-12.23500000000004</v>
      </c>
    </row>
    <row r="468" spans="1:11" x14ac:dyDescent="0.3">
      <c r="A468" s="9">
        <v>46245</v>
      </c>
      <c r="B468" s="10" t="s">
        <v>13</v>
      </c>
      <c r="C468" s="121" t="s">
        <v>108</v>
      </c>
      <c r="D468" s="121" t="s">
        <v>121</v>
      </c>
      <c r="E468" s="10">
        <v>3.9958100000000001</v>
      </c>
      <c r="F468" s="10">
        <v>9.5860000000000056</v>
      </c>
      <c r="G468" s="10">
        <v>26.431000000000004</v>
      </c>
      <c r="H468" s="10">
        <v>1.0572400000000002</v>
      </c>
      <c r="I468" s="10">
        <v>-1.7969999999999597</v>
      </c>
      <c r="J468" s="10">
        <v>0.63100000000000378</v>
      </c>
      <c r="K468" s="11">
        <v>-10.725999999999969</v>
      </c>
    </row>
    <row r="469" spans="1:11" x14ac:dyDescent="0.3">
      <c r="A469" s="9">
        <v>46245</v>
      </c>
      <c r="B469" s="10" t="s">
        <v>14</v>
      </c>
      <c r="C469" s="121" t="s">
        <v>121</v>
      </c>
      <c r="D469" s="121" t="s">
        <v>123</v>
      </c>
      <c r="E469" s="10">
        <v>4.0839100000000004</v>
      </c>
      <c r="F469" s="10">
        <v>8.8100000000000289</v>
      </c>
      <c r="G469" s="10">
        <v>35.241000000000035</v>
      </c>
      <c r="H469" s="10">
        <v>1.4096400000000013</v>
      </c>
      <c r="I469" s="10">
        <v>-2.0729999999999471</v>
      </c>
      <c r="J469" s="10">
        <v>2.0010000000000083</v>
      </c>
      <c r="K469" s="11">
        <v>-6.9249999999999368</v>
      </c>
    </row>
    <row r="470" spans="1:11" x14ac:dyDescent="0.3">
      <c r="A470" s="9">
        <v>46245</v>
      </c>
      <c r="B470" s="10" t="s">
        <v>15</v>
      </c>
      <c r="C470" s="121" t="s">
        <v>123</v>
      </c>
      <c r="D470" s="121" t="s">
        <v>127</v>
      </c>
      <c r="E470" s="10">
        <v>4.1527900000000004</v>
      </c>
      <c r="F470" s="10">
        <v>6.8880000000000052</v>
      </c>
      <c r="G470" s="10">
        <v>42.12900000000004</v>
      </c>
      <c r="H470" s="10">
        <v>1.6851600000000015</v>
      </c>
      <c r="I470" s="10">
        <v>-2.5459999999999816</v>
      </c>
      <c r="J470" s="10">
        <v>2.9110000000000191</v>
      </c>
      <c r="K470" s="11">
        <v>-4.745999999999917</v>
      </c>
    </row>
    <row r="471" spans="1:11" x14ac:dyDescent="0.3">
      <c r="A471" s="9">
        <v>46245</v>
      </c>
      <c r="B471" s="10" t="s">
        <v>16</v>
      </c>
      <c r="C471" s="121" t="s">
        <v>127</v>
      </c>
      <c r="D471" s="121" t="s">
        <v>146</v>
      </c>
      <c r="E471" s="10">
        <v>4.2008900000000002</v>
      </c>
      <c r="F471" s="10">
        <v>4.809999999999981</v>
      </c>
      <c r="G471" s="10">
        <v>46.939000000000021</v>
      </c>
      <c r="H471" s="10">
        <v>1.8775600000000008</v>
      </c>
      <c r="I471" s="10">
        <v>-2.9209999999999958</v>
      </c>
      <c r="J471" s="10">
        <v>3.7539999999999907</v>
      </c>
      <c r="K471" s="11">
        <v>-2.4459999999999482</v>
      </c>
    </row>
    <row r="472" spans="1:11" x14ac:dyDescent="0.3">
      <c r="A472" s="9">
        <v>46245</v>
      </c>
      <c r="B472" s="10" t="s">
        <v>18</v>
      </c>
      <c r="C472" s="121" t="s">
        <v>146</v>
      </c>
      <c r="D472" s="121" t="s">
        <v>151</v>
      </c>
      <c r="E472" s="10">
        <v>4.23428</v>
      </c>
      <c r="F472" s="10">
        <v>3.3389999999999809</v>
      </c>
      <c r="G472" s="10">
        <v>50.277999999999999</v>
      </c>
      <c r="H472" s="10">
        <v>2.01112</v>
      </c>
      <c r="I472" s="10">
        <v>-3.1810000000000116</v>
      </c>
      <c r="J472" s="10">
        <v>5.027999999999988</v>
      </c>
      <c r="K472" s="11">
        <v>0.4550000000000054</v>
      </c>
    </row>
    <row r="473" spans="1:11" x14ac:dyDescent="0.3">
      <c r="A473" s="9">
        <v>46245</v>
      </c>
      <c r="B473" s="10" t="s">
        <v>19</v>
      </c>
      <c r="C473" s="121" t="s">
        <v>151</v>
      </c>
      <c r="D473" s="121" t="s">
        <v>201</v>
      </c>
      <c r="E473" s="10">
        <v>4.2529599999999999</v>
      </c>
      <c r="F473" s="10">
        <v>1.8679999999999808</v>
      </c>
      <c r="G473" s="10">
        <v>52.145999999999979</v>
      </c>
      <c r="H473" s="10">
        <v>2.0858399999999993</v>
      </c>
      <c r="I473" s="10">
        <v>-3.3540000000000347</v>
      </c>
      <c r="J473" s="10">
        <v>6.1739999999999462</v>
      </c>
      <c r="K473" s="11" t="s">
        <v>41</v>
      </c>
    </row>
    <row r="474" spans="1:11" x14ac:dyDescent="0.3">
      <c r="A474" s="9">
        <v>46245</v>
      </c>
      <c r="B474" s="10" t="s">
        <v>10</v>
      </c>
      <c r="C474" s="121" t="s">
        <v>201</v>
      </c>
      <c r="D474" s="121"/>
      <c r="E474" s="10"/>
      <c r="F474" s="10"/>
      <c r="G474" s="10"/>
      <c r="H474" s="10"/>
      <c r="I474" s="10">
        <v>0</v>
      </c>
      <c r="J474" s="10">
        <v>0</v>
      </c>
      <c r="K474" s="11" t="s">
        <v>41</v>
      </c>
    </row>
    <row r="475" spans="1:11" x14ac:dyDescent="0.3">
      <c r="A475" s="9">
        <v>46245</v>
      </c>
      <c r="B475" s="10"/>
      <c r="C475" s="121"/>
      <c r="D475" s="121"/>
      <c r="E475" s="10"/>
      <c r="F475" s="10"/>
      <c r="G475" s="10"/>
      <c r="H475" s="10"/>
      <c r="I475" s="10">
        <v>0</v>
      </c>
      <c r="J475" s="10">
        <v>0</v>
      </c>
      <c r="K475" s="11">
        <v>0</v>
      </c>
    </row>
    <row r="476" spans="1:11" x14ac:dyDescent="0.3">
      <c r="A476" s="9">
        <v>46245</v>
      </c>
      <c r="B476" s="10"/>
      <c r="C476" s="121"/>
      <c r="D476" s="121"/>
      <c r="E476" s="10"/>
      <c r="F476" s="10"/>
      <c r="G476" s="10"/>
      <c r="H476" s="10"/>
      <c r="I476" s="10">
        <v>0</v>
      </c>
      <c r="J476" s="10">
        <v>0</v>
      </c>
      <c r="K476" s="11">
        <v>0</v>
      </c>
    </row>
    <row r="477" spans="1:11" x14ac:dyDescent="0.3">
      <c r="A477" s="9">
        <v>46245</v>
      </c>
      <c r="B477" s="10"/>
      <c r="C477" s="121"/>
      <c r="D477" s="121"/>
      <c r="E477" s="10"/>
      <c r="F477" s="10"/>
      <c r="G477" s="10"/>
      <c r="H477" s="10"/>
      <c r="I477" s="10">
        <v>0</v>
      </c>
      <c r="J477" s="10">
        <v>0</v>
      </c>
      <c r="K477" s="11">
        <v>0</v>
      </c>
    </row>
    <row r="478" spans="1:11" x14ac:dyDescent="0.3">
      <c r="A478" s="9">
        <v>46246</v>
      </c>
      <c r="B478" s="10" t="s">
        <v>10</v>
      </c>
      <c r="C478" s="121" t="s">
        <v>105</v>
      </c>
      <c r="D478" s="121" t="s">
        <v>106</v>
      </c>
      <c r="E478" s="10">
        <v>3.7901400000000001</v>
      </c>
      <c r="F478" s="10">
        <v>5.8640000000000025</v>
      </c>
      <c r="G478" s="10">
        <v>5.8640000000000025</v>
      </c>
      <c r="H478" s="10">
        <v>0.2345600000000001</v>
      </c>
      <c r="I478" s="10">
        <v>0.42400000000002436</v>
      </c>
      <c r="J478" s="10">
        <v>-5.5000000000005045E-2</v>
      </c>
      <c r="K478" s="11">
        <v>-6.916000000000011</v>
      </c>
    </row>
    <row r="479" spans="1:11" x14ac:dyDescent="0.3">
      <c r="A479" s="9">
        <v>46246</v>
      </c>
      <c r="B479" s="10" t="s">
        <v>12</v>
      </c>
      <c r="C479" s="121" t="s">
        <v>106</v>
      </c>
      <c r="D479" s="121" t="s">
        <v>108</v>
      </c>
      <c r="E479" s="10">
        <v>3.90516</v>
      </c>
      <c r="F479" s="10">
        <v>11.50199999999999</v>
      </c>
      <c r="G479" s="10">
        <v>17.365999999999993</v>
      </c>
      <c r="H479" s="10">
        <v>0.6946399999999997</v>
      </c>
      <c r="I479" s="10">
        <v>0.52099999999999369</v>
      </c>
      <c r="J479" s="10">
        <v>1.9460000000000033</v>
      </c>
      <c r="K479" s="11">
        <v>-5.0149999999999917</v>
      </c>
    </row>
    <row r="480" spans="1:11" x14ac:dyDescent="0.3">
      <c r="A480" s="9">
        <v>46246</v>
      </c>
      <c r="B480" s="10" t="s">
        <v>13</v>
      </c>
      <c r="C480" s="121" t="s">
        <v>108</v>
      </c>
      <c r="D480" s="121" t="s">
        <v>121</v>
      </c>
      <c r="E480" s="10">
        <v>4.0060000000000002</v>
      </c>
      <c r="F480" s="10">
        <v>10.084000000000026</v>
      </c>
      <c r="G480" s="10">
        <v>27.450000000000017</v>
      </c>
      <c r="H480" s="10">
        <v>1.0980000000000008</v>
      </c>
      <c r="I480" s="10">
        <v>1.0190000000000143</v>
      </c>
      <c r="J480" s="10">
        <v>3.4330000000000194</v>
      </c>
      <c r="K480" s="11">
        <v>-2.102999999999966</v>
      </c>
    </row>
    <row r="481" spans="1:11" x14ac:dyDescent="0.3">
      <c r="A481" s="9">
        <v>46246</v>
      </c>
      <c r="B481" s="10" t="s">
        <v>14</v>
      </c>
      <c r="C481" s="121" t="s">
        <v>121</v>
      </c>
      <c r="D481" s="121" t="s">
        <v>123</v>
      </c>
      <c r="E481" s="10">
        <v>4.0949999999999998</v>
      </c>
      <c r="F481" s="10">
        <v>8.8999999999999524</v>
      </c>
      <c r="G481" s="10">
        <v>36.349999999999973</v>
      </c>
      <c r="H481" s="10">
        <v>1.4539999999999988</v>
      </c>
      <c r="I481" s="10">
        <v>1.1089999999999378</v>
      </c>
      <c r="J481" s="10">
        <v>4.7200000000000131</v>
      </c>
      <c r="K481" s="11">
        <v>2.8469999999999551</v>
      </c>
    </row>
    <row r="482" spans="1:11" x14ac:dyDescent="0.3">
      <c r="A482" s="9">
        <v>46246</v>
      </c>
      <c r="B482" s="10" t="s">
        <v>15</v>
      </c>
      <c r="C482" s="121" t="s">
        <v>123</v>
      </c>
      <c r="D482" s="121" t="s">
        <v>127</v>
      </c>
      <c r="E482" s="10">
        <v>4.1650200000000002</v>
      </c>
      <c r="F482" s="10">
        <v>7.0020000000000415</v>
      </c>
      <c r="G482" s="10">
        <v>43.352000000000011</v>
      </c>
      <c r="H482" s="10">
        <v>1.7340800000000005</v>
      </c>
      <c r="I482" s="10">
        <v>1.2229999999999741</v>
      </c>
      <c r="J482" s="10">
        <v>6.0670000000000002</v>
      </c>
      <c r="K482" s="11">
        <v>5.4079999999999906</v>
      </c>
    </row>
    <row r="483" spans="1:11" x14ac:dyDescent="0.3">
      <c r="A483" s="9">
        <v>46246</v>
      </c>
      <c r="B483" s="10" t="s">
        <v>16</v>
      </c>
      <c r="C483" s="121" t="s">
        <v>127</v>
      </c>
      <c r="D483" s="121" t="s">
        <v>146</v>
      </c>
      <c r="E483" s="10">
        <v>4.2128399999999999</v>
      </c>
      <c r="F483" s="10">
        <v>4.7819999999999752</v>
      </c>
      <c r="G483" s="10">
        <v>48.133999999999986</v>
      </c>
      <c r="H483" s="10">
        <v>1.9253599999999995</v>
      </c>
      <c r="I483" s="10">
        <v>1.1949999999999683</v>
      </c>
      <c r="J483" s="10">
        <v>6.9700000000000095</v>
      </c>
      <c r="K483" s="11">
        <v>8.1839999999999691</v>
      </c>
    </row>
    <row r="484" spans="1:11" x14ac:dyDescent="0.3">
      <c r="A484" s="9">
        <v>46246</v>
      </c>
      <c r="B484" s="10" t="s">
        <v>18</v>
      </c>
      <c r="C484" s="121" t="s">
        <v>146</v>
      </c>
      <c r="D484" s="121" t="s">
        <v>151</v>
      </c>
      <c r="E484" s="10">
        <v>4.2450000000000001</v>
      </c>
      <c r="F484" s="10">
        <v>3.2160000000000188</v>
      </c>
      <c r="G484" s="10">
        <v>51.350000000000009</v>
      </c>
      <c r="H484" s="10">
        <v>2.0540000000000003</v>
      </c>
      <c r="I484" s="10">
        <v>1.0720000000000063</v>
      </c>
      <c r="J484" s="10">
        <v>7.9550000000000232</v>
      </c>
      <c r="K484" s="11">
        <v>10.820000000000007</v>
      </c>
    </row>
    <row r="485" spans="1:11" x14ac:dyDescent="0.3">
      <c r="A485" s="9">
        <v>46246</v>
      </c>
      <c r="B485" s="10" t="s">
        <v>19</v>
      </c>
      <c r="C485" s="121" t="s">
        <v>151</v>
      </c>
      <c r="D485" s="121" t="s">
        <v>201</v>
      </c>
      <c r="E485" s="10">
        <v>4.2610999999999999</v>
      </c>
      <c r="F485" s="10">
        <v>1.6099999999999781</v>
      </c>
      <c r="G485" s="10">
        <v>52.959999999999987</v>
      </c>
      <c r="H485" s="10">
        <v>2.1183999999999994</v>
      </c>
      <c r="I485" s="10">
        <v>0.81400000000000361</v>
      </c>
      <c r="J485" s="10">
        <v>8.6999999999999744</v>
      </c>
      <c r="K485" s="11" t="s">
        <v>41</v>
      </c>
    </row>
    <row r="486" spans="1:11" x14ac:dyDescent="0.3">
      <c r="A486" s="9">
        <v>46246</v>
      </c>
      <c r="B486" s="10" t="s">
        <v>10</v>
      </c>
      <c r="C486" s="121" t="s">
        <v>201</v>
      </c>
      <c r="D486" s="121"/>
      <c r="E486" s="10"/>
      <c r="F486" s="10"/>
      <c r="G486" s="10"/>
      <c r="H486" s="10"/>
      <c r="I486" s="10">
        <v>0</v>
      </c>
      <c r="J486" s="10">
        <v>0</v>
      </c>
      <c r="K486" s="11" t="s">
        <v>41</v>
      </c>
    </row>
    <row r="487" spans="1:11" x14ac:dyDescent="0.3">
      <c r="A487" s="9">
        <v>46246</v>
      </c>
      <c r="B487" s="10"/>
      <c r="C487" s="121"/>
      <c r="D487" s="121"/>
      <c r="E487" s="10"/>
      <c r="F487" s="10"/>
      <c r="G487" s="10"/>
      <c r="H487" s="10"/>
      <c r="I487" s="10">
        <v>0</v>
      </c>
      <c r="J487" s="10">
        <v>0</v>
      </c>
      <c r="K487" s="11">
        <v>0</v>
      </c>
    </row>
    <row r="488" spans="1:11" x14ac:dyDescent="0.3">
      <c r="A488" s="9">
        <v>46246</v>
      </c>
      <c r="B488" s="10"/>
      <c r="C488" s="121"/>
      <c r="D488" s="121"/>
      <c r="E488" s="10"/>
      <c r="F488" s="10"/>
      <c r="G488" s="10"/>
      <c r="H488" s="10"/>
      <c r="I488" s="10">
        <v>0</v>
      </c>
      <c r="J488" s="10">
        <v>0</v>
      </c>
      <c r="K488" s="11">
        <v>0</v>
      </c>
    </row>
    <row r="489" spans="1:11" x14ac:dyDescent="0.3">
      <c r="A489" s="9">
        <v>46246</v>
      </c>
      <c r="B489" s="10"/>
      <c r="C489" s="121"/>
      <c r="D489" s="121"/>
      <c r="E489" s="10"/>
      <c r="F489" s="10"/>
      <c r="G489" s="10"/>
      <c r="H489" s="10"/>
      <c r="I489" s="10">
        <v>0</v>
      </c>
      <c r="J489" s="10">
        <v>0</v>
      </c>
      <c r="K489" s="11">
        <v>0</v>
      </c>
    </row>
    <row r="490" spans="1:11" x14ac:dyDescent="0.3">
      <c r="A490" s="9">
        <v>46247</v>
      </c>
      <c r="B490" s="10" t="s">
        <v>10</v>
      </c>
      <c r="C490" s="121" t="s">
        <v>105</v>
      </c>
      <c r="D490" s="121" t="s">
        <v>106</v>
      </c>
      <c r="E490" s="10">
        <v>3.7842699999999998</v>
      </c>
      <c r="F490" s="10">
        <v>5.3269999999999929</v>
      </c>
      <c r="G490" s="10">
        <v>5.3269999999999929</v>
      </c>
      <c r="H490" s="10">
        <v>0.21307999999999971</v>
      </c>
      <c r="I490" s="10">
        <v>-0.58700000000002639</v>
      </c>
      <c r="J490" s="10">
        <v>-1.0020000000000362</v>
      </c>
      <c r="K490" s="11">
        <v>-13.417000000000012</v>
      </c>
    </row>
    <row r="491" spans="1:11" x14ac:dyDescent="0.3">
      <c r="A491" s="9">
        <v>46247</v>
      </c>
      <c r="B491" s="10" t="s">
        <v>12</v>
      </c>
      <c r="C491" s="121" t="s">
        <v>106</v>
      </c>
      <c r="D491" s="121" t="s">
        <v>108</v>
      </c>
      <c r="E491" s="10">
        <v>3.89716</v>
      </c>
      <c r="F491" s="10">
        <v>11.289000000000016</v>
      </c>
      <c r="G491" s="10">
        <v>16.616000000000007</v>
      </c>
      <c r="H491" s="10">
        <v>0.66464000000000023</v>
      </c>
      <c r="I491" s="10">
        <v>-0.80000000000000071</v>
      </c>
      <c r="J491" s="10">
        <v>-0.22099999999998232</v>
      </c>
      <c r="K491" s="11">
        <v>-15.084000000000009</v>
      </c>
    </row>
    <row r="492" spans="1:11" x14ac:dyDescent="0.3">
      <c r="A492" s="9">
        <v>46247</v>
      </c>
      <c r="B492" s="10" t="s">
        <v>13</v>
      </c>
      <c r="C492" s="121" t="s">
        <v>108</v>
      </c>
      <c r="D492" s="121" t="s">
        <v>121</v>
      </c>
      <c r="E492" s="10">
        <v>3.9981</v>
      </c>
      <c r="F492" s="10">
        <v>10.094000000000003</v>
      </c>
      <c r="G492" s="10">
        <v>26.710000000000012</v>
      </c>
      <c r="H492" s="10">
        <v>1.0684000000000005</v>
      </c>
      <c r="I492" s="10">
        <v>-0.79000000000002402</v>
      </c>
      <c r="J492" s="10">
        <v>0.70800000000001972</v>
      </c>
      <c r="K492" s="11">
        <v>-13.590000000000035</v>
      </c>
    </row>
    <row r="493" spans="1:11" x14ac:dyDescent="0.3">
      <c r="A493" s="9">
        <v>46247</v>
      </c>
      <c r="B493" s="10" t="s">
        <v>14</v>
      </c>
      <c r="C493" s="121" t="s">
        <v>121</v>
      </c>
      <c r="D493" s="121" t="s">
        <v>123</v>
      </c>
      <c r="E493" s="10">
        <v>4.0869200000000001</v>
      </c>
      <c r="F493" s="10">
        <v>8.8820000000000121</v>
      </c>
      <c r="G493" s="10">
        <v>35.592000000000027</v>
      </c>
      <c r="H493" s="10">
        <v>1.4236800000000012</v>
      </c>
      <c r="I493" s="10">
        <v>-0.8079999999999643</v>
      </c>
      <c r="J493" s="10">
        <v>1.5439999999999898</v>
      </c>
      <c r="K493" s="11">
        <v>-10.114999999999963</v>
      </c>
    </row>
    <row r="494" spans="1:11" x14ac:dyDescent="0.3">
      <c r="A494" s="9">
        <v>46247</v>
      </c>
      <c r="B494" s="10" t="s">
        <v>15</v>
      </c>
      <c r="C494" s="121" t="s">
        <v>123</v>
      </c>
      <c r="D494" s="121" t="s">
        <v>127</v>
      </c>
      <c r="E494" s="10">
        <v>4.1567299999999996</v>
      </c>
      <c r="F494" s="10">
        <v>6.9809999999999484</v>
      </c>
      <c r="G494" s="10">
        <v>42.572999999999972</v>
      </c>
      <c r="H494" s="10">
        <v>1.7029199999999989</v>
      </c>
      <c r="I494" s="10">
        <v>-0.82900000000005747</v>
      </c>
      <c r="J494" s="10">
        <v>2.0019999999999705</v>
      </c>
      <c r="K494" s="11">
        <v>-8.5770000000000124</v>
      </c>
    </row>
    <row r="495" spans="1:11" x14ac:dyDescent="0.3">
      <c r="A495" s="9">
        <v>46247</v>
      </c>
      <c r="B495" s="10" t="s">
        <v>16</v>
      </c>
      <c r="C495" s="121" t="s">
        <v>127</v>
      </c>
      <c r="D495" s="121" t="s">
        <v>146</v>
      </c>
      <c r="E495" s="10">
        <v>4.2051600000000002</v>
      </c>
      <c r="F495" s="10">
        <v>4.8430000000000639</v>
      </c>
      <c r="G495" s="10">
        <v>47.416000000000039</v>
      </c>
      <c r="H495" s="10">
        <v>1.8966400000000017</v>
      </c>
      <c r="I495" s="10">
        <v>-0.76799999999996871</v>
      </c>
      <c r="J495" s="10">
        <v>2.6250000000000107</v>
      </c>
      <c r="K495" s="11">
        <v>-6.1539999999999928</v>
      </c>
    </row>
    <row r="496" spans="1:11" x14ac:dyDescent="0.3">
      <c r="A496" s="9">
        <v>46247</v>
      </c>
      <c r="B496" s="10" t="s">
        <v>18</v>
      </c>
      <c r="C496" s="121" t="s">
        <v>146</v>
      </c>
      <c r="D496" s="121" t="s">
        <v>151</v>
      </c>
      <c r="E496" s="10">
        <v>4.24</v>
      </c>
      <c r="F496" s="10">
        <v>3.4839999999999982</v>
      </c>
      <c r="G496" s="10">
        <v>50.900000000000034</v>
      </c>
      <c r="H496" s="10">
        <v>2.0360000000000014</v>
      </c>
      <c r="I496" s="10">
        <v>-0.49999999999998934</v>
      </c>
      <c r="J496" s="10">
        <v>3.3900000000000041</v>
      </c>
      <c r="K496" s="11">
        <v>-3.4899999999999487</v>
      </c>
    </row>
    <row r="497" spans="1:11" x14ac:dyDescent="0.3">
      <c r="A497" s="9">
        <v>46247</v>
      </c>
      <c r="B497" s="10" t="s">
        <v>19</v>
      </c>
      <c r="C497" s="121" t="s">
        <v>151</v>
      </c>
      <c r="D497" s="121" t="s">
        <v>201</v>
      </c>
      <c r="E497" s="10">
        <v>4.2557</v>
      </c>
      <c r="F497" s="10">
        <v>1.5699999999999825</v>
      </c>
      <c r="G497" s="10">
        <v>52.470000000000013</v>
      </c>
      <c r="H497" s="10">
        <v>2.0988000000000007</v>
      </c>
      <c r="I497" s="10">
        <v>-0.53999999999998494</v>
      </c>
      <c r="J497" s="10">
        <v>3.6699999999999733</v>
      </c>
      <c r="K497" s="11" t="s">
        <v>41</v>
      </c>
    </row>
    <row r="498" spans="1:11" x14ac:dyDescent="0.3">
      <c r="A498" s="9">
        <v>46247</v>
      </c>
      <c r="B498" s="10" t="s">
        <v>10</v>
      </c>
      <c r="C498" s="121" t="s">
        <v>201</v>
      </c>
      <c r="D498" s="121"/>
      <c r="E498" s="10"/>
      <c r="F498" s="10"/>
      <c r="G498" s="10"/>
      <c r="H498" s="10"/>
      <c r="I498" s="10">
        <v>0</v>
      </c>
      <c r="J498" s="10">
        <v>0</v>
      </c>
      <c r="K498" s="11" t="s">
        <v>41</v>
      </c>
    </row>
    <row r="499" spans="1:11" x14ac:dyDescent="0.3">
      <c r="A499" s="9">
        <v>46247</v>
      </c>
      <c r="B499" s="10"/>
      <c r="C499" s="121"/>
      <c r="D499" s="121"/>
      <c r="E499" s="10"/>
      <c r="F499" s="10"/>
      <c r="G499" s="10"/>
      <c r="H499" s="10"/>
      <c r="I499" s="10">
        <v>0</v>
      </c>
      <c r="J499" s="10">
        <v>0</v>
      </c>
      <c r="K499" s="11">
        <v>0</v>
      </c>
    </row>
    <row r="500" spans="1:11" x14ac:dyDescent="0.3">
      <c r="A500" s="9">
        <v>46247</v>
      </c>
      <c r="B500" s="10"/>
      <c r="C500" s="121"/>
      <c r="D500" s="121"/>
      <c r="E500" s="10"/>
      <c r="F500" s="10"/>
      <c r="G500" s="10"/>
      <c r="H500" s="10"/>
      <c r="I500" s="10">
        <v>0</v>
      </c>
      <c r="J500" s="10">
        <v>0</v>
      </c>
      <c r="K500" s="11">
        <v>0</v>
      </c>
    </row>
    <row r="501" spans="1:11" x14ac:dyDescent="0.3">
      <c r="A501" s="9">
        <v>46247</v>
      </c>
      <c r="B501" s="10"/>
      <c r="C501" s="121"/>
      <c r="D501" s="121"/>
      <c r="E501" s="10"/>
      <c r="F501" s="10"/>
      <c r="G501" s="10"/>
      <c r="H501" s="10"/>
      <c r="I501" s="10">
        <v>0</v>
      </c>
      <c r="J501" s="10">
        <v>0</v>
      </c>
      <c r="K501" s="11">
        <v>0</v>
      </c>
    </row>
    <row r="502" spans="1:11" x14ac:dyDescent="0.3">
      <c r="A502" s="9">
        <v>46248</v>
      </c>
      <c r="B502" s="10" t="s">
        <v>10</v>
      </c>
      <c r="C502" s="121" t="s">
        <v>105</v>
      </c>
      <c r="D502" s="121" t="s">
        <v>106</v>
      </c>
      <c r="E502" s="10">
        <v>3.7850999999999999</v>
      </c>
      <c r="F502" s="10">
        <v>5.4300000000000015</v>
      </c>
      <c r="G502" s="10">
        <v>5.4300000000000015</v>
      </c>
      <c r="H502" s="10">
        <v>0.21720000000000006</v>
      </c>
      <c r="I502" s="10">
        <v>8.3000000000010843E-2</v>
      </c>
      <c r="J502" s="10">
        <v>-0.51499999999999879</v>
      </c>
      <c r="K502" s="11">
        <v>-12.690000000000001</v>
      </c>
    </row>
    <row r="503" spans="1:11" x14ac:dyDescent="0.3">
      <c r="A503" s="9">
        <v>46248</v>
      </c>
      <c r="B503" s="10" t="s">
        <v>12</v>
      </c>
      <c r="C503" s="121" t="s">
        <v>106</v>
      </c>
      <c r="D503" s="121" t="s">
        <v>108</v>
      </c>
      <c r="E503" s="10">
        <v>3.8997000000000002</v>
      </c>
      <c r="F503" s="10">
        <v>11.460000000000026</v>
      </c>
      <c r="G503" s="10">
        <v>16.890000000000029</v>
      </c>
      <c r="H503" s="10">
        <v>0.6756000000000012</v>
      </c>
      <c r="I503" s="10">
        <v>0.25400000000002088</v>
      </c>
      <c r="J503" s="10">
        <v>0.70600000000000662</v>
      </c>
      <c r="K503" s="11">
        <v>-14.402000000000026</v>
      </c>
    </row>
    <row r="504" spans="1:11" x14ac:dyDescent="0.3">
      <c r="A504" s="9">
        <v>46248</v>
      </c>
      <c r="B504" s="10" t="s">
        <v>13</v>
      </c>
      <c r="C504" s="121" t="s">
        <v>108</v>
      </c>
      <c r="D504" s="121" t="s">
        <v>121</v>
      </c>
      <c r="E504" s="10">
        <v>4.0074500000000004</v>
      </c>
      <c r="F504" s="10">
        <v>10.775000000000023</v>
      </c>
      <c r="G504" s="10">
        <v>27.665000000000049</v>
      </c>
      <c r="H504" s="10">
        <v>1.106600000000002</v>
      </c>
      <c r="I504" s="10">
        <v>0.93500000000004135</v>
      </c>
      <c r="J504" s="10">
        <v>2.1470000000000322</v>
      </c>
      <c r="K504" s="11">
        <v>-11.853999999999942</v>
      </c>
    </row>
    <row r="505" spans="1:11" x14ac:dyDescent="0.3">
      <c r="A505" s="9">
        <v>46248</v>
      </c>
      <c r="B505" s="10" t="s">
        <v>14</v>
      </c>
      <c r="C505" s="121" t="s">
        <v>121</v>
      </c>
      <c r="D505" s="121" t="s">
        <v>123</v>
      </c>
      <c r="E505" s="10">
        <v>4.1007400000000001</v>
      </c>
      <c r="F505" s="10">
        <v>9.3289999999999651</v>
      </c>
      <c r="G505" s="10">
        <v>36.994000000000014</v>
      </c>
      <c r="H505" s="10">
        <v>1.4797600000000006</v>
      </c>
      <c r="I505" s="10">
        <v>1.3819999999999943</v>
      </c>
      <c r="J505" s="10">
        <v>3.3839999999999648</v>
      </c>
      <c r="K505" s="11">
        <v>-7.843</v>
      </c>
    </row>
    <row r="506" spans="1:11" x14ac:dyDescent="0.3">
      <c r="A506" s="9">
        <v>46248</v>
      </c>
      <c r="B506" s="10" t="s">
        <v>15</v>
      </c>
      <c r="C506" s="121" t="s">
        <v>123</v>
      </c>
      <c r="D506" s="121" t="s">
        <v>127</v>
      </c>
      <c r="E506" s="10">
        <v>4.1740000000000004</v>
      </c>
      <c r="F506" s="10">
        <v>7.3260000000000325</v>
      </c>
      <c r="G506" s="10">
        <v>44.32000000000005</v>
      </c>
      <c r="H506" s="10">
        <v>1.7728000000000019</v>
      </c>
      <c r="I506" s="10">
        <v>1.7270000000000785</v>
      </c>
      <c r="J506" s="10">
        <v>4.2960000000000775</v>
      </c>
      <c r="K506" s="11">
        <v>-6.0499999999999332</v>
      </c>
    </row>
    <row r="507" spans="1:11" x14ac:dyDescent="0.3">
      <c r="A507" s="9">
        <v>46248</v>
      </c>
      <c r="B507" s="10" t="s">
        <v>16</v>
      </c>
      <c r="C507" s="121" t="s">
        <v>127</v>
      </c>
      <c r="D507" s="121" t="s">
        <v>146</v>
      </c>
      <c r="E507" s="10">
        <v>4.2260799999999996</v>
      </c>
      <c r="F507" s="10">
        <v>5.2079999999999238</v>
      </c>
      <c r="G507" s="10">
        <v>49.52799999999997</v>
      </c>
      <c r="H507" s="10">
        <v>1.9811199999999989</v>
      </c>
      <c r="I507" s="10">
        <v>2.0919999999999384</v>
      </c>
      <c r="J507" s="10">
        <v>5.2459999999999951</v>
      </c>
      <c r="K507" s="11">
        <v>-3.5640000000000782</v>
      </c>
    </row>
    <row r="508" spans="1:11" x14ac:dyDescent="0.3">
      <c r="A508" s="9">
        <v>46248</v>
      </c>
      <c r="B508" s="10" t="s">
        <v>18</v>
      </c>
      <c r="C508" s="121" t="s">
        <v>146</v>
      </c>
      <c r="D508" s="121" t="s">
        <v>151</v>
      </c>
      <c r="E508" s="10">
        <v>4.2657999999999996</v>
      </c>
      <c r="F508" s="10">
        <v>3.9719999999999978</v>
      </c>
      <c r="G508" s="10">
        <v>53.499999999999972</v>
      </c>
      <c r="H508" s="10">
        <v>2.1399999999999988</v>
      </c>
      <c r="I508" s="10">
        <v>2.5799999999999379</v>
      </c>
      <c r="J508" s="10">
        <v>6.2599999999999767</v>
      </c>
      <c r="K508" s="11">
        <v>6.6999999999950433E-2</v>
      </c>
    </row>
    <row r="509" spans="1:11" x14ac:dyDescent="0.3">
      <c r="A509" s="9">
        <v>46248</v>
      </c>
      <c r="B509" s="10" t="s">
        <v>19</v>
      </c>
      <c r="C509" s="121" t="s">
        <v>151</v>
      </c>
      <c r="D509" s="121" t="s">
        <v>201</v>
      </c>
      <c r="E509" s="10">
        <v>4.2869999999999999</v>
      </c>
      <c r="F509" s="10">
        <v>2.120000000000033</v>
      </c>
      <c r="G509" s="10">
        <v>55.620000000000005</v>
      </c>
      <c r="H509" s="10">
        <v>2.2248000000000001</v>
      </c>
      <c r="I509" s="10">
        <v>3.1299999999999883</v>
      </c>
      <c r="J509" s="10">
        <v>7.099999999999973</v>
      </c>
      <c r="K509" s="11" t="s">
        <v>41</v>
      </c>
    </row>
    <row r="510" spans="1:11" x14ac:dyDescent="0.3">
      <c r="A510" s="9">
        <v>46248</v>
      </c>
      <c r="B510" s="10" t="s">
        <v>10</v>
      </c>
      <c r="C510" s="121" t="s">
        <v>201</v>
      </c>
      <c r="D510" s="121"/>
      <c r="E510" s="10"/>
      <c r="F510" s="10"/>
      <c r="G510" s="10"/>
      <c r="H510" s="10"/>
      <c r="I510" s="10">
        <v>0</v>
      </c>
      <c r="J510" s="10">
        <v>0</v>
      </c>
      <c r="K510" s="11" t="s">
        <v>41</v>
      </c>
    </row>
    <row r="511" spans="1:11" x14ac:dyDescent="0.3">
      <c r="A511" s="9">
        <v>46248</v>
      </c>
      <c r="B511" s="10"/>
      <c r="C511" s="121"/>
      <c r="D511" s="121"/>
      <c r="E511" s="10"/>
      <c r="F511" s="10"/>
      <c r="G511" s="10"/>
      <c r="H511" s="10"/>
      <c r="I511" s="10">
        <v>0</v>
      </c>
      <c r="J511" s="10">
        <v>0</v>
      </c>
      <c r="K511" s="11">
        <v>0</v>
      </c>
    </row>
    <row r="512" spans="1:11" x14ac:dyDescent="0.3">
      <c r="A512" s="9">
        <v>46248</v>
      </c>
      <c r="B512" s="10"/>
      <c r="C512" s="121"/>
      <c r="D512" s="121"/>
      <c r="E512" s="10"/>
      <c r="F512" s="10"/>
      <c r="G512" s="10"/>
      <c r="H512" s="10"/>
      <c r="I512" s="10">
        <v>0</v>
      </c>
      <c r="J512" s="10">
        <v>0</v>
      </c>
      <c r="K512" s="11">
        <v>0</v>
      </c>
    </row>
    <row r="513" spans="1:11" x14ac:dyDescent="0.3">
      <c r="A513" s="9">
        <v>46248</v>
      </c>
      <c r="B513" s="10"/>
      <c r="C513" s="121"/>
      <c r="D513" s="121"/>
      <c r="E513" s="10"/>
      <c r="F513" s="10"/>
      <c r="G513" s="10"/>
      <c r="H513" s="10"/>
      <c r="I513" s="10">
        <v>0</v>
      </c>
      <c r="J513" s="10">
        <v>0</v>
      </c>
      <c r="K513" s="11">
        <v>0</v>
      </c>
    </row>
    <row r="514" spans="1:11" x14ac:dyDescent="0.3">
      <c r="A514" s="561">
        <v>46251</v>
      </c>
      <c r="B514" s="562" t="s">
        <v>10</v>
      </c>
      <c r="C514" s="563" t="s">
        <v>105</v>
      </c>
      <c r="D514" s="563" t="s">
        <v>106</v>
      </c>
      <c r="E514" s="562">
        <v>3.7988499999999998</v>
      </c>
      <c r="F514" s="562">
        <v>6.8149999999999711</v>
      </c>
      <c r="G514" s="562">
        <v>6.8149999999999711</v>
      </c>
      <c r="H514" s="562">
        <v>0.27259999999999884</v>
      </c>
      <c r="I514" s="562">
        <v>1.3749999999999929</v>
      </c>
      <c r="J514" s="562">
        <v>7.0000000000014495E-3</v>
      </c>
      <c r="K514" s="564">
        <v>-9.4489999999999963</v>
      </c>
    </row>
    <row r="515" spans="1:11" x14ac:dyDescent="0.3">
      <c r="A515" s="561">
        <v>46251</v>
      </c>
      <c r="B515" s="562" t="s">
        <v>12</v>
      </c>
      <c r="C515" s="563" t="s">
        <v>106</v>
      </c>
      <c r="D515" s="563" t="s">
        <v>108</v>
      </c>
      <c r="E515" s="562">
        <v>3.9219900000000001</v>
      </c>
      <c r="F515" s="562">
        <v>12.314000000000025</v>
      </c>
      <c r="G515" s="562">
        <v>19.128999999999998</v>
      </c>
      <c r="H515" s="562">
        <v>0.76515999999999995</v>
      </c>
      <c r="I515" s="562">
        <v>2.2289999999999921</v>
      </c>
      <c r="J515" s="562">
        <v>1.0790000000000077</v>
      </c>
      <c r="K515" s="564">
        <v>-10.545000000000027</v>
      </c>
    </row>
    <row r="516" spans="1:11" x14ac:dyDescent="0.3">
      <c r="A516" s="561">
        <v>46251</v>
      </c>
      <c r="B516" s="562" t="s">
        <v>13</v>
      </c>
      <c r="C516" s="563" t="s">
        <v>108</v>
      </c>
      <c r="D516" s="563" t="s">
        <v>121</v>
      </c>
      <c r="E516" s="562">
        <v>4.0290699999999999</v>
      </c>
      <c r="F516" s="562">
        <v>10.707999999999984</v>
      </c>
      <c r="G516" s="562">
        <v>29.836999999999982</v>
      </c>
      <c r="H516" s="562">
        <v>1.1934799999999992</v>
      </c>
      <c r="I516" s="562">
        <v>2.1619999999999528</v>
      </c>
      <c r="J516" s="562">
        <v>1.5290000000000248</v>
      </c>
      <c r="K516" s="564">
        <v>-10.156999999999972</v>
      </c>
    </row>
    <row r="517" spans="1:11" x14ac:dyDescent="0.3">
      <c r="A517" s="561">
        <v>46251</v>
      </c>
      <c r="B517" s="562" t="s">
        <v>14</v>
      </c>
      <c r="C517" s="563" t="s">
        <v>121</v>
      </c>
      <c r="D517" s="563" t="s">
        <v>123</v>
      </c>
      <c r="E517" s="562">
        <v>4.1243100000000004</v>
      </c>
      <c r="F517" s="562">
        <v>9.5240000000000435</v>
      </c>
      <c r="G517" s="562">
        <v>39.361000000000026</v>
      </c>
      <c r="H517" s="562">
        <v>1.5744400000000009</v>
      </c>
      <c r="I517" s="562">
        <v>2.3570000000000313</v>
      </c>
      <c r="J517" s="562">
        <v>1.967000000000052</v>
      </c>
      <c r="K517" s="564">
        <v>-7.3279999999999568</v>
      </c>
    </row>
    <row r="518" spans="1:11" x14ac:dyDescent="0.3">
      <c r="A518" s="561">
        <v>46251</v>
      </c>
      <c r="B518" s="562" t="s">
        <v>15</v>
      </c>
      <c r="C518" s="563" t="s">
        <v>123</v>
      </c>
      <c r="D518" s="563" t="s">
        <v>127</v>
      </c>
      <c r="E518" s="562">
        <v>4.2011700000000003</v>
      </c>
      <c r="F518" s="562">
        <v>7.6859999999999928</v>
      </c>
      <c r="G518" s="562">
        <v>47.047000000000018</v>
      </c>
      <c r="H518" s="562">
        <v>1.8818800000000007</v>
      </c>
      <c r="I518" s="562">
        <v>2.7169999999999916</v>
      </c>
      <c r="J518" s="562">
        <v>2.2920000000000051</v>
      </c>
      <c r="K518" s="564">
        <v>-6.0329999999999551</v>
      </c>
    </row>
    <row r="519" spans="1:11" x14ac:dyDescent="0.3">
      <c r="A519" s="561">
        <v>46251</v>
      </c>
      <c r="B519" s="562" t="s">
        <v>16</v>
      </c>
      <c r="C519" s="563" t="s">
        <v>127</v>
      </c>
      <c r="D519" s="563" t="s">
        <v>146</v>
      </c>
      <c r="E519" s="562">
        <v>4.2560900000000004</v>
      </c>
      <c r="F519" s="562">
        <v>5.492000000000008</v>
      </c>
      <c r="G519" s="562">
        <v>52.539000000000023</v>
      </c>
      <c r="H519" s="562">
        <v>2.101560000000001</v>
      </c>
      <c r="I519" s="562">
        <v>3.0010000000000758</v>
      </c>
      <c r="J519" s="562">
        <v>2.599000000000018</v>
      </c>
      <c r="K519" s="564">
        <v>-4.0209999999999191</v>
      </c>
    </row>
    <row r="520" spans="1:11" x14ac:dyDescent="0.3">
      <c r="A520" s="561">
        <v>46251</v>
      </c>
      <c r="B520" s="562" t="s">
        <v>18</v>
      </c>
      <c r="C520" s="563" t="s">
        <v>146</v>
      </c>
      <c r="D520" s="563" t="s">
        <v>151</v>
      </c>
      <c r="E520" s="562">
        <v>4.2941700000000003</v>
      </c>
      <c r="F520" s="562">
        <v>3.8079999999999892</v>
      </c>
      <c r="G520" s="562">
        <v>56.347000000000016</v>
      </c>
      <c r="H520" s="562">
        <v>2.2538800000000005</v>
      </c>
      <c r="I520" s="562">
        <v>2.8370000000000672</v>
      </c>
      <c r="J520" s="562">
        <v>2.8080000000000105</v>
      </c>
      <c r="K520" s="564">
        <v>-1.6929999999999445</v>
      </c>
    </row>
    <row r="521" spans="1:11" x14ac:dyDescent="0.3">
      <c r="A521" s="561">
        <v>46251</v>
      </c>
      <c r="B521" s="562" t="s">
        <v>19</v>
      </c>
      <c r="C521" s="563" t="s">
        <v>151</v>
      </c>
      <c r="D521" s="563" t="s">
        <v>201</v>
      </c>
      <c r="E521" s="562">
        <v>4.3162000000000003</v>
      </c>
      <c r="F521" s="562">
        <v>2.2029999999999994</v>
      </c>
      <c r="G521" s="562">
        <v>58.550000000000011</v>
      </c>
      <c r="H521" s="562">
        <v>2.3420000000000005</v>
      </c>
      <c r="I521" s="562">
        <v>2.9200000000000337</v>
      </c>
      <c r="J521" s="562">
        <v>2.970000000000006</v>
      </c>
      <c r="K521" s="564" t="s">
        <v>41</v>
      </c>
    </row>
    <row r="522" spans="1:11" x14ac:dyDescent="0.3">
      <c r="A522" s="561">
        <v>46251</v>
      </c>
      <c r="B522" s="562" t="s">
        <v>10</v>
      </c>
      <c r="C522" s="563" t="s">
        <v>201</v>
      </c>
      <c r="D522" s="563"/>
      <c r="E522" s="562"/>
      <c r="F522" s="562"/>
      <c r="G522" s="562"/>
      <c r="H522" s="562"/>
      <c r="I522" s="562">
        <v>0</v>
      </c>
      <c r="J522" s="562">
        <v>0</v>
      </c>
      <c r="K522" s="564" t="s">
        <v>41</v>
      </c>
    </row>
    <row r="523" spans="1:11" x14ac:dyDescent="0.3">
      <c r="A523" s="561">
        <v>46251</v>
      </c>
      <c r="B523" s="562"/>
      <c r="C523" s="563"/>
      <c r="D523" s="563"/>
      <c r="E523" s="562"/>
      <c r="F523" s="562"/>
      <c r="G523" s="562"/>
      <c r="H523" s="562"/>
      <c r="I523" s="562">
        <v>0</v>
      </c>
      <c r="J523" s="562">
        <v>0</v>
      </c>
      <c r="K523" s="564">
        <v>0</v>
      </c>
    </row>
    <row r="524" spans="1:11" x14ac:dyDescent="0.3">
      <c r="A524" s="561">
        <v>46251</v>
      </c>
      <c r="B524" s="562"/>
      <c r="C524" s="563"/>
      <c r="D524" s="563"/>
      <c r="E524" s="562"/>
      <c r="F524" s="562"/>
      <c r="G524" s="562"/>
      <c r="H524" s="562"/>
      <c r="I524" s="562">
        <v>0</v>
      </c>
      <c r="J524" s="562">
        <v>0</v>
      </c>
      <c r="K524" s="564">
        <v>0</v>
      </c>
    </row>
    <row r="525" spans="1:11" x14ac:dyDescent="0.3">
      <c r="A525" s="561">
        <v>46251</v>
      </c>
      <c r="B525" s="562"/>
      <c r="C525" s="563"/>
      <c r="D525" s="563"/>
      <c r="E525" s="562"/>
      <c r="F525" s="562"/>
      <c r="G525" s="562"/>
      <c r="H525" s="562"/>
      <c r="I525" s="562">
        <v>0</v>
      </c>
      <c r="J525" s="562">
        <v>0</v>
      </c>
      <c r="K525" s="564">
        <v>0</v>
      </c>
    </row>
    <row r="526" spans="1:11" x14ac:dyDescent="0.3">
      <c r="A526" s="561">
        <v>46252</v>
      </c>
      <c r="B526" s="562" t="s">
        <v>10</v>
      </c>
      <c r="C526" s="563" t="s">
        <v>105</v>
      </c>
      <c r="D526" s="563" t="s">
        <v>106</v>
      </c>
      <c r="E526" s="562">
        <v>3.7913999999999999</v>
      </c>
      <c r="F526" s="562">
        <v>6.0200000000000031</v>
      </c>
      <c r="G526" s="562">
        <v>6.0200000000000031</v>
      </c>
      <c r="H526" s="562">
        <v>0.24080000000000013</v>
      </c>
      <c r="I526" s="562">
        <v>-0.74499999999999567</v>
      </c>
      <c r="J526" s="562">
        <v>0.55000000000000604</v>
      </c>
      <c r="K526" s="564">
        <v>-10.311000000000003</v>
      </c>
    </row>
    <row r="527" spans="1:11" x14ac:dyDescent="0.3">
      <c r="A527" s="561">
        <v>46252</v>
      </c>
      <c r="B527" s="562" t="s">
        <v>12</v>
      </c>
      <c r="C527" s="563" t="s">
        <v>106</v>
      </c>
      <c r="D527" s="563" t="s">
        <v>108</v>
      </c>
      <c r="E527" s="562">
        <v>3.91655</v>
      </c>
      <c r="F527" s="562">
        <v>12.515000000000009</v>
      </c>
      <c r="G527" s="562">
        <v>18.535000000000011</v>
      </c>
      <c r="H527" s="562">
        <v>0.74140000000000039</v>
      </c>
      <c r="I527" s="562">
        <v>-0.54400000000001114</v>
      </c>
      <c r="J527" s="562">
        <v>1.6599999999999948</v>
      </c>
      <c r="K527" s="564">
        <v>-10.86999999999998</v>
      </c>
    </row>
    <row r="528" spans="1:11" x14ac:dyDescent="0.3">
      <c r="A528" s="561">
        <v>46252</v>
      </c>
      <c r="B528" s="562" t="s">
        <v>13</v>
      </c>
      <c r="C528" s="563" t="s">
        <v>108</v>
      </c>
      <c r="D528" s="563" t="s">
        <v>121</v>
      </c>
      <c r="E528" s="562">
        <v>4.0306199999999999</v>
      </c>
      <c r="F528" s="562">
        <v>11.406999999999989</v>
      </c>
      <c r="G528" s="562">
        <v>29.942</v>
      </c>
      <c r="H528" s="562">
        <v>1.1976800000000001</v>
      </c>
      <c r="I528" s="562">
        <v>0.15499999999999403</v>
      </c>
      <c r="J528" s="562">
        <v>3.4809999999999786</v>
      </c>
      <c r="K528" s="564">
        <v>-7.643000000000022</v>
      </c>
    </row>
    <row r="529" spans="1:11" x14ac:dyDescent="0.3">
      <c r="A529" s="561">
        <v>46252</v>
      </c>
      <c r="B529" s="562" t="s">
        <v>14</v>
      </c>
      <c r="C529" s="563" t="s">
        <v>121</v>
      </c>
      <c r="D529" s="563" t="s">
        <v>123</v>
      </c>
      <c r="E529" s="562">
        <v>4.1325799999999999</v>
      </c>
      <c r="F529" s="562">
        <v>10.196000000000005</v>
      </c>
      <c r="G529" s="562">
        <v>40.138000000000005</v>
      </c>
      <c r="H529" s="562">
        <v>1.6055200000000003</v>
      </c>
      <c r="I529" s="562">
        <v>0.82699999999995555</v>
      </c>
      <c r="J529" s="562">
        <v>4.8669999999999547</v>
      </c>
      <c r="K529" s="564">
        <v>-2.8509999999999813</v>
      </c>
    </row>
    <row r="530" spans="1:11" x14ac:dyDescent="0.3">
      <c r="A530" s="561">
        <v>46252</v>
      </c>
      <c r="B530" s="562" t="s">
        <v>15</v>
      </c>
      <c r="C530" s="563" t="s">
        <v>123</v>
      </c>
      <c r="D530" s="563" t="s">
        <v>127</v>
      </c>
      <c r="E530" s="562">
        <v>4.2147500000000004</v>
      </c>
      <c r="F530" s="562">
        <v>8.217000000000052</v>
      </c>
      <c r="G530" s="562">
        <v>48.355000000000061</v>
      </c>
      <c r="H530" s="562">
        <v>1.9342000000000024</v>
      </c>
      <c r="I530" s="562">
        <v>1.3580000000000148</v>
      </c>
      <c r="J530" s="562">
        <v>6.1960000000000015</v>
      </c>
      <c r="K530" s="564">
        <v>-0.13299999999993872</v>
      </c>
    </row>
    <row r="531" spans="1:11" x14ac:dyDescent="0.3">
      <c r="A531" s="561">
        <v>46252</v>
      </c>
      <c r="B531" s="562" t="s">
        <v>16</v>
      </c>
      <c r="C531" s="563" t="s">
        <v>127</v>
      </c>
      <c r="D531" s="563" t="s">
        <v>146</v>
      </c>
      <c r="E531" s="562">
        <v>4.2739900000000004</v>
      </c>
      <c r="F531" s="562">
        <v>5.9239999999999959</v>
      </c>
      <c r="G531" s="562">
        <v>54.279000000000053</v>
      </c>
      <c r="H531" s="562">
        <v>2.1711600000000022</v>
      </c>
      <c r="I531" s="562">
        <v>1.7900000000000027</v>
      </c>
      <c r="J531" s="562">
        <v>7.3100000000000165</v>
      </c>
      <c r="K531" s="564">
        <v>2.6490000000000791</v>
      </c>
    </row>
    <row r="532" spans="1:11" x14ac:dyDescent="0.3">
      <c r="A532" s="561">
        <v>46252</v>
      </c>
      <c r="B532" s="562" t="s">
        <v>18</v>
      </c>
      <c r="C532" s="563" t="s">
        <v>146</v>
      </c>
      <c r="D532" s="563" t="s">
        <v>151</v>
      </c>
      <c r="E532" s="562">
        <v>4.3146599999999999</v>
      </c>
      <c r="F532" s="562">
        <v>4.066999999999954</v>
      </c>
      <c r="G532" s="562">
        <v>58.346000000000011</v>
      </c>
      <c r="H532" s="562">
        <v>2.3338400000000004</v>
      </c>
      <c r="I532" s="562">
        <v>2.0489999999999675</v>
      </c>
      <c r="J532" s="562">
        <v>8.0379999999999896</v>
      </c>
      <c r="K532" s="564">
        <v>5.9660000000000046</v>
      </c>
    </row>
    <row r="533" spans="1:11" x14ac:dyDescent="0.3">
      <c r="A533" s="561">
        <v>46252</v>
      </c>
      <c r="B533" s="562" t="s">
        <v>19</v>
      </c>
      <c r="C533" s="563" t="s">
        <v>151</v>
      </c>
      <c r="D533" s="563" t="s">
        <v>201</v>
      </c>
      <c r="E533" s="562">
        <v>4.3385499999999997</v>
      </c>
      <c r="F533" s="562">
        <v>2.3889999999999745</v>
      </c>
      <c r="G533" s="562">
        <v>60.734999999999985</v>
      </c>
      <c r="H533" s="562">
        <v>2.4293999999999993</v>
      </c>
      <c r="I533" s="562">
        <v>2.2349999999999426</v>
      </c>
      <c r="J533" s="562">
        <v>8.5589999999999833</v>
      </c>
      <c r="K533" s="564" t="s">
        <v>41</v>
      </c>
    </row>
    <row r="534" spans="1:11" x14ac:dyDescent="0.3">
      <c r="A534" s="561">
        <v>46252</v>
      </c>
      <c r="B534" s="562" t="s">
        <v>10</v>
      </c>
      <c r="C534" s="563" t="s">
        <v>201</v>
      </c>
      <c r="D534" s="563"/>
      <c r="E534" s="562"/>
      <c r="F534" s="562"/>
      <c r="G534" s="562"/>
      <c r="H534" s="562"/>
      <c r="I534" s="562">
        <v>0</v>
      </c>
      <c r="J534" s="562">
        <v>0</v>
      </c>
      <c r="K534" s="564" t="s">
        <v>41</v>
      </c>
    </row>
    <row r="535" spans="1:11" x14ac:dyDescent="0.3">
      <c r="A535" s="561">
        <v>46252</v>
      </c>
      <c r="B535" s="562"/>
      <c r="C535" s="563"/>
      <c r="D535" s="563"/>
      <c r="E535" s="562"/>
      <c r="F535" s="562"/>
      <c r="G535" s="562"/>
      <c r="H535" s="562"/>
      <c r="I535" s="562">
        <v>0</v>
      </c>
      <c r="J535" s="562">
        <v>0</v>
      </c>
      <c r="K535" s="564">
        <v>0</v>
      </c>
    </row>
    <row r="536" spans="1:11" x14ac:dyDescent="0.3">
      <c r="A536" s="561">
        <v>46252</v>
      </c>
      <c r="B536" s="562"/>
      <c r="C536" s="563"/>
      <c r="D536" s="563"/>
      <c r="E536" s="562"/>
      <c r="F536" s="562"/>
      <c r="G536" s="562"/>
      <c r="H536" s="562"/>
      <c r="I536" s="562">
        <v>0</v>
      </c>
      <c r="J536" s="562">
        <v>0</v>
      </c>
      <c r="K536" s="564">
        <v>0</v>
      </c>
    </row>
    <row r="537" spans="1:11" x14ac:dyDescent="0.3">
      <c r="A537" s="561">
        <v>46252</v>
      </c>
      <c r="B537" s="562"/>
      <c r="C537" s="563"/>
      <c r="D537" s="563"/>
      <c r="E537" s="562"/>
      <c r="F537" s="562"/>
      <c r="G537" s="562"/>
      <c r="H537" s="562"/>
      <c r="I537" s="562">
        <v>0</v>
      </c>
      <c r="J537" s="562">
        <v>0</v>
      </c>
      <c r="K537" s="564">
        <v>0</v>
      </c>
    </row>
    <row r="538" spans="1:11" x14ac:dyDescent="0.3">
      <c r="A538" s="9">
        <v>46253</v>
      </c>
      <c r="B538" s="10" t="s">
        <v>10</v>
      </c>
      <c r="C538" s="121" t="s">
        <v>105</v>
      </c>
      <c r="D538" s="121" t="s">
        <v>106</v>
      </c>
      <c r="E538" s="10">
        <v>3.7749600000000001</v>
      </c>
      <c r="F538" s="10">
        <v>4.386000000000001</v>
      </c>
      <c r="G538" s="10">
        <v>4.386000000000001</v>
      </c>
      <c r="H538" s="10">
        <v>0.17544000000000004</v>
      </c>
      <c r="I538" s="10">
        <v>-1.6439999999999788</v>
      </c>
      <c r="J538" s="10">
        <v>-1.5179999999999971</v>
      </c>
      <c r="K538" s="11">
        <v>-11.837999999999971</v>
      </c>
    </row>
    <row r="539" spans="1:11" x14ac:dyDescent="0.3">
      <c r="A539" s="9">
        <v>46253</v>
      </c>
      <c r="B539" s="10" t="s">
        <v>12</v>
      </c>
      <c r="C539" s="121" t="s">
        <v>106</v>
      </c>
      <c r="D539" s="121" t="s">
        <v>108</v>
      </c>
      <c r="E539" s="10">
        <v>3.8954599999999999</v>
      </c>
      <c r="F539" s="10">
        <v>12.049999999999983</v>
      </c>
      <c r="G539" s="10">
        <v>16.435999999999986</v>
      </c>
      <c r="H539" s="10">
        <v>0.65743999999999947</v>
      </c>
      <c r="I539" s="10">
        <v>-2.1090000000000053</v>
      </c>
      <c r="J539" s="10">
        <v>-0.97000000000000419</v>
      </c>
      <c r="K539" s="11">
        <v>-13.198000000000043</v>
      </c>
    </row>
    <row r="540" spans="1:11" x14ac:dyDescent="0.3">
      <c r="A540" s="9">
        <v>46253</v>
      </c>
      <c r="B540" s="10" t="s">
        <v>13</v>
      </c>
      <c r="C540" s="121" t="s">
        <v>108</v>
      </c>
      <c r="D540" s="121" t="s">
        <v>121</v>
      </c>
      <c r="E540" s="10">
        <v>4.0110000000000001</v>
      </c>
      <c r="F540" s="10">
        <v>11.55400000000002</v>
      </c>
      <c r="G540" s="10">
        <v>27.990000000000002</v>
      </c>
      <c r="H540" s="10">
        <v>1.1196000000000002</v>
      </c>
      <c r="I540" s="10">
        <v>-1.9619999999999749</v>
      </c>
      <c r="J540" s="10">
        <v>0.49999999999998934</v>
      </c>
      <c r="K540" s="11">
        <v>-11.963999999999952</v>
      </c>
    </row>
    <row r="541" spans="1:11" x14ac:dyDescent="0.3">
      <c r="A541" s="9">
        <v>46253</v>
      </c>
      <c r="B541" s="10" t="s">
        <v>14</v>
      </c>
      <c r="C541" s="121" t="s">
        <v>121</v>
      </c>
      <c r="D541" s="121" t="s">
        <v>123</v>
      </c>
      <c r="E541" s="10">
        <v>4.1192399999999996</v>
      </c>
      <c r="F541" s="10">
        <v>10.823999999999945</v>
      </c>
      <c r="G541" s="10">
        <v>38.81399999999995</v>
      </c>
      <c r="H541" s="10">
        <v>1.5525599999999979</v>
      </c>
      <c r="I541" s="10">
        <v>-1.3340000000000352</v>
      </c>
      <c r="J541" s="10">
        <v>2.4239999999999817</v>
      </c>
      <c r="K541" s="11">
        <v>-7.8350000000000364</v>
      </c>
    </row>
    <row r="542" spans="1:11" x14ac:dyDescent="0.3">
      <c r="A542" s="9">
        <v>46253</v>
      </c>
      <c r="B542" s="10" t="s">
        <v>15</v>
      </c>
      <c r="C542" s="121" t="s">
        <v>123</v>
      </c>
      <c r="D542" s="121" t="s">
        <v>127</v>
      </c>
      <c r="E542" s="10">
        <v>4.2020799999999996</v>
      </c>
      <c r="F542" s="10">
        <v>8.2840000000000025</v>
      </c>
      <c r="G542" s="10">
        <v>47.097999999999949</v>
      </c>
      <c r="H542" s="10">
        <v>1.883919999999998</v>
      </c>
      <c r="I542" s="10">
        <v>-1.2670000000000847</v>
      </c>
      <c r="J542" s="10">
        <v>3.7059999999999427</v>
      </c>
      <c r="K542" s="11">
        <v>-5.942000000000025</v>
      </c>
    </row>
    <row r="543" spans="1:11" x14ac:dyDescent="0.3">
      <c r="A543" s="9">
        <v>46253</v>
      </c>
      <c r="B543" s="10" t="s">
        <v>16</v>
      </c>
      <c r="C543" s="121" t="s">
        <v>127</v>
      </c>
      <c r="D543" s="121" t="s">
        <v>146</v>
      </c>
      <c r="E543" s="10">
        <v>4.2641200000000001</v>
      </c>
      <c r="F543" s="10">
        <v>6.2040000000000539</v>
      </c>
      <c r="G543" s="10">
        <v>53.302000000000007</v>
      </c>
      <c r="H543" s="10">
        <v>2.1320800000000002</v>
      </c>
      <c r="I543" s="10">
        <v>-0.98700000000002674</v>
      </c>
      <c r="J543" s="10">
        <v>5.1280000000000214</v>
      </c>
      <c r="K543" s="11">
        <v>-3.2179999999999431</v>
      </c>
    </row>
    <row r="544" spans="1:11" x14ac:dyDescent="0.3">
      <c r="A544" s="9">
        <v>46253</v>
      </c>
      <c r="B544" s="10" t="s">
        <v>18</v>
      </c>
      <c r="C544" s="121" t="s">
        <v>146</v>
      </c>
      <c r="D544" s="121" t="s">
        <v>151</v>
      </c>
      <c r="E544" s="10">
        <v>4.3071000000000002</v>
      </c>
      <c r="F544" s="10">
        <v>4.2980000000000018</v>
      </c>
      <c r="G544" s="10">
        <v>57.600000000000009</v>
      </c>
      <c r="H544" s="10">
        <v>2.3040000000000003</v>
      </c>
      <c r="I544" s="10">
        <v>-0.75599999999997891</v>
      </c>
      <c r="J544" s="10">
        <v>6.2100000000000044</v>
      </c>
      <c r="K544" s="11">
        <v>-0.39999999999995595</v>
      </c>
    </row>
    <row r="545" spans="1:11" x14ac:dyDescent="0.3">
      <c r="A545" s="9">
        <v>46253</v>
      </c>
      <c r="B545" s="10" t="s">
        <v>19</v>
      </c>
      <c r="C545" s="121" t="s">
        <v>151</v>
      </c>
      <c r="D545" s="121" t="s">
        <v>201</v>
      </c>
      <c r="E545" s="10">
        <v>4.3334099999999998</v>
      </c>
      <c r="F545" s="10">
        <v>2.6309999999999611</v>
      </c>
      <c r="G545" s="10">
        <v>60.230999999999966</v>
      </c>
      <c r="H545" s="10">
        <v>2.4092399999999987</v>
      </c>
      <c r="I545" s="10">
        <v>-0.51399999999999224</v>
      </c>
      <c r="J545" s="10">
        <v>7.2309999999999874</v>
      </c>
      <c r="K545" s="11" t="s">
        <v>41</v>
      </c>
    </row>
    <row r="546" spans="1:11" x14ac:dyDescent="0.3">
      <c r="A546" s="9">
        <v>46253</v>
      </c>
      <c r="B546" s="10" t="s">
        <v>10</v>
      </c>
      <c r="C546" s="121" t="s">
        <v>201</v>
      </c>
      <c r="D546" s="121"/>
      <c r="E546" s="10"/>
      <c r="F546" s="10"/>
      <c r="G546" s="10"/>
      <c r="H546" s="10"/>
      <c r="I546" s="10">
        <v>0</v>
      </c>
      <c r="J546" s="10">
        <v>0</v>
      </c>
      <c r="K546" s="11" t="s">
        <v>41</v>
      </c>
    </row>
    <row r="547" spans="1:11" x14ac:dyDescent="0.3">
      <c r="A547" s="9">
        <v>46253</v>
      </c>
      <c r="B547" s="10"/>
      <c r="C547" s="121"/>
      <c r="D547" s="121"/>
      <c r="E547" s="10"/>
      <c r="F547" s="10"/>
      <c r="G547" s="10"/>
      <c r="H547" s="10"/>
      <c r="I547" s="10">
        <v>0</v>
      </c>
      <c r="J547" s="10">
        <v>0</v>
      </c>
      <c r="K547" s="11">
        <v>0</v>
      </c>
    </row>
    <row r="548" spans="1:11" x14ac:dyDescent="0.3">
      <c r="A548" s="9">
        <v>46253</v>
      </c>
      <c r="B548" s="10"/>
      <c r="C548" s="121"/>
      <c r="D548" s="121"/>
      <c r="E548" s="10"/>
      <c r="F548" s="10"/>
      <c r="G548" s="10"/>
      <c r="H548" s="10"/>
      <c r="I548" s="10">
        <v>0</v>
      </c>
      <c r="J548" s="10">
        <v>0</v>
      </c>
      <c r="K548" s="11">
        <v>0</v>
      </c>
    </row>
    <row r="549" spans="1:11" x14ac:dyDescent="0.3">
      <c r="A549" s="9">
        <v>46253</v>
      </c>
      <c r="B549" s="10"/>
      <c r="C549" s="121"/>
      <c r="D549" s="121"/>
      <c r="E549" s="10"/>
      <c r="F549" s="10"/>
      <c r="G549" s="10"/>
      <c r="H549" s="10"/>
      <c r="I549" s="10">
        <v>0</v>
      </c>
      <c r="J549" s="10">
        <v>0</v>
      </c>
      <c r="K549" s="11">
        <v>0</v>
      </c>
    </row>
  </sheetData>
  <hyperlinks>
    <hyperlink ref="I1" r:id="rId1" display="https://www.worldsport.ge/ge/page/186696_realma-pogbas-damatebistvis-fexburteli-unda-gayidos?fbclid=IwAR1Q8_AuVjfuFyEqRQbAPIWQl1LwCJxT8yrAB4_5wAq_JUjGwmGboJ4jIZo" xr:uid="{00000000-0004-0000-0400-000000000000}"/>
  </hyperlinks>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549"/>
  <sheetViews>
    <sheetView topLeftCell="A523" zoomScale="85" zoomScaleNormal="85" workbookViewId="0">
      <selection activeCell="A538" sqref="A538:K549"/>
    </sheetView>
  </sheetViews>
  <sheetFormatPr defaultColWidth="8.85546875" defaultRowHeight="18.75" x14ac:dyDescent="0.3"/>
  <cols>
    <col min="1" max="1" width="17.85546875" style="12" bestFit="1" customWidth="1"/>
    <col min="2" max="2" width="13.28515625" style="5" bestFit="1" customWidth="1"/>
    <col min="3" max="4" width="14.85546875" style="5" bestFit="1" customWidth="1"/>
    <col min="5" max="5" width="9.8554687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13" t="s">
        <v>43</v>
      </c>
      <c r="B2" s="14" t="s">
        <v>16</v>
      </c>
      <c r="C2" s="123" t="s">
        <v>50</v>
      </c>
      <c r="D2" s="123">
        <v>44110</v>
      </c>
      <c r="E2" s="14">
        <v>7.2999999999999995E-2</v>
      </c>
      <c r="F2" s="14">
        <v>0</v>
      </c>
      <c r="G2" s="14">
        <v>-2.8</v>
      </c>
      <c r="H2" s="14">
        <v>-104.6</v>
      </c>
      <c r="I2" s="14" t="s">
        <v>41</v>
      </c>
      <c r="J2" s="14" t="s">
        <v>41</v>
      </c>
      <c r="K2" s="15" t="s">
        <v>41</v>
      </c>
    </row>
    <row r="3" spans="1:11" x14ac:dyDescent="0.3">
      <c r="A3" s="13" t="s">
        <v>43</v>
      </c>
      <c r="B3" s="14" t="s">
        <v>18</v>
      </c>
      <c r="C3" s="123">
        <v>44110</v>
      </c>
      <c r="D3" s="123" t="s">
        <v>51</v>
      </c>
      <c r="E3" s="14">
        <v>6.3E-2</v>
      </c>
      <c r="F3" s="14">
        <v>0</v>
      </c>
      <c r="G3" s="14">
        <v>-1.1000000000000001</v>
      </c>
      <c r="H3" s="14">
        <v>-89.5</v>
      </c>
      <c r="I3" s="14" t="s">
        <v>41</v>
      </c>
      <c r="J3" s="14" t="s">
        <v>41</v>
      </c>
      <c r="K3" s="15" t="s">
        <v>41</v>
      </c>
    </row>
    <row r="4" spans="1:11" x14ac:dyDescent="0.3">
      <c r="A4" s="13" t="s">
        <v>43</v>
      </c>
      <c r="B4" s="14" t="s">
        <v>19</v>
      </c>
      <c r="C4" s="123" t="s">
        <v>51</v>
      </c>
      <c r="D4" s="123" t="s">
        <v>45</v>
      </c>
      <c r="E4" s="14">
        <v>6.0999999999999999E-2</v>
      </c>
      <c r="F4" s="14">
        <v>0</v>
      </c>
      <c r="G4" s="14">
        <v>-0.4</v>
      </c>
      <c r="H4" s="14">
        <v>-79.3</v>
      </c>
      <c r="I4" s="14" t="s">
        <v>41</v>
      </c>
      <c r="J4" s="14" t="s">
        <v>41</v>
      </c>
      <c r="K4" s="15" t="s">
        <v>41</v>
      </c>
    </row>
    <row r="5" spans="1:11" x14ac:dyDescent="0.3">
      <c r="A5" s="13" t="s">
        <v>43</v>
      </c>
      <c r="B5" s="14" t="s">
        <v>10</v>
      </c>
      <c r="C5" s="123" t="s">
        <v>45</v>
      </c>
      <c r="D5" s="123">
        <v>43962</v>
      </c>
      <c r="E5" s="14">
        <v>6.8000000000000005E-2</v>
      </c>
      <c r="F5" s="14">
        <v>0.5</v>
      </c>
      <c r="G5" s="14">
        <v>0.4</v>
      </c>
      <c r="H5" s="14">
        <v>-69.099999999999994</v>
      </c>
      <c r="I5" s="14" t="s">
        <v>41</v>
      </c>
      <c r="J5" s="14" t="s">
        <v>41</v>
      </c>
      <c r="K5" s="15" t="s">
        <v>41</v>
      </c>
    </row>
    <row r="6" spans="1:11" x14ac:dyDescent="0.3">
      <c r="A6" s="13" t="s">
        <v>43</v>
      </c>
      <c r="B6" s="14" t="s">
        <v>12</v>
      </c>
      <c r="C6" s="123">
        <v>43962</v>
      </c>
      <c r="D6" s="123" t="s">
        <v>46</v>
      </c>
      <c r="E6" s="14">
        <v>6.8000000000000005E-2</v>
      </c>
      <c r="F6" s="14">
        <v>0.4</v>
      </c>
      <c r="G6" s="14">
        <v>0.1</v>
      </c>
      <c r="H6" s="14">
        <v>-65.5</v>
      </c>
      <c r="I6" s="14" t="s">
        <v>41</v>
      </c>
      <c r="J6" s="14" t="s">
        <v>41</v>
      </c>
      <c r="K6" s="15" t="s">
        <v>41</v>
      </c>
    </row>
    <row r="7" spans="1:11" x14ac:dyDescent="0.3">
      <c r="A7" s="13" t="s">
        <v>43</v>
      </c>
      <c r="B7" s="14" t="s">
        <v>13</v>
      </c>
      <c r="C7" s="123" t="s">
        <v>46</v>
      </c>
      <c r="D7" s="123" t="s">
        <v>52</v>
      </c>
      <c r="E7" s="14">
        <v>7.4999999999999997E-2</v>
      </c>
      <c r="F7" s="14">
        <v>0.3</v>
      </c>
      <c r="G7" s="14">
        <v>-1.1000000000000001</v>
      </c>
      <c r="H7" s="14">
        <v>-59.4</v>
      </c>
      <c r="I7" s="14" t="s">
        <v>41</v>
      </c>
      <c r="J7" s="14" t="s">
        <v>41</v>
      </c>
      <c r="K7" s="15" t="s">
        <v>41</v>
      </c>
    </row>
    <row r="8" spans="1:11" x14ac:dyDescent="0.3">
      <c r="A8" s="13" t="s">
        <v>43</v>
      </c>
      <c r="B8" s="14" t="s">
        <v>28</v>
      </c>
      <c r="C8" s="123" t="s">
        <v>52</v>
      </c>
      <c r="D8" s="123" t="s">
        <v>47</v>
      </c>
      <c r="E8" s="14">
        <v>8.3000000000000004E-2</v>
      </c>
      <c r="F8" s="14">
        <v>0.1</v>
      </c>
      <c r="G8" s="14">
        <v>-2</v>
      </c>
      <c r="H8" s="14">
        <v>-54.2</v>
      </c>
      <c r="I8" s="14" t="s">
        <v>41</v>
      </c>
      <c r="J8" s="14" t="s">
        <v>41</v>
      </c>
      <c r="K8" s="15" t="s">
        <v>41</v>
      </c>
    </row>
    <row r="9" spans="1:11" x14ac:dyDescent="0.3">
      <c r="A9" s="13" t="s">
        <v>43</v>
      </c>
      <c r="B9" s="14" t="s">
        <v>15</v>
      </c>
      <c r="C9" s="123" t="s">
        <v>47</v>
      </c>
      <c r="D9" s="123" t="s">
        <v>53</v>
      </c>
      <c r="E9" s="14">
        <v>9.4E-2</v>
      </c>
      <c r="F9" s="14">
        <v>0</v>
      </c>
      <c r="G9" s="14">
        <v>-2.1</v>
      </c>
      <c r="H9" s="14">
        <v>-52</v>
      </c>
      <c r="I9" s="14" t="s">
        <v>41</v>
      </c>
      <c r="J9" s="14" t="s">
        <v>41</v>
      </c>
      <c r="K9" s="15" t="s">
        <v>41</v>
      </c>
    </row>
    <row r="10" spans="1:11" x14ac:dyDescent="0.3">
      <c r="A10" s="13" t="s">
        <v>43</v>
      </c>
      <c r="B10" s="14" t="s">
        <v>16</v>
      </c>
      <c r="C10" s="123" t="s">
        <v>53</v>
      </c>
      <c r="D10" s="123">
        <v>44445</v>
      </c>
      <c r="E10" s="14">
        <v>0.1</v>
      </c>
      <c r="F10" s="14">
        <v>0</v>
      </c>
      <c r="G10" s="14">
        <v>-1.5</v>
      </c>
      <c r="H10" s="14">
        <v>-50</v>
      </c>
      <c r="I10" s="14" t="s">
        <v>41</v>
      </c>
      <c r="J10" s="14" t="s">
        <v>41</v>
      </c>
      <c r="K10" s="15" t="s">
        <v>41</v>
      </c>
    </row>
    <row r="11" spans="1:11" x14ac:dyDescent="0.3">
      <c r="A11" s="13" t="s">
        <v>43</v>
      </c>
      <c r="B11" s="14" t="s">
        <v>18</v>
      </c>
      <c r="C11" s="123">
        <v>44445</v>
      </c>
      <c r="D11" s="123" t="s">
        <v>54</v>
      </c>
      <c r="E11" s="14">
        <v>0.11</v>
      </c>
      <c r="F11" s="14">
        <v>0</v>
      </c>
      <c r="G11" s="14">
        <v>-0.5</v>
      </c>
      <c r="H11" s="14">
        <v>-46.6</v>
      </c>
      <c r="I11" s="14" t="s">
        <v>41</v>
      </c>
      <c r="J11" s="14" t="s">
        <v>41</v>
      </c>
      <c r="K11" s="15" t="s">
        <v>41</v>
      </c>
    </row>
    <row r="12" spans="1:11" x14ac:dyDescent="0.3">
      <c r="A12" s="13" t="s">
        <v>43</v>
      </c>
      <c r="B12" s="14" t="s">
        <v>27</v>
      </c>
      <c r="C12" s="123" t="s">
        <v>54</v>
      </c>
      <c r="D12" s="123" t="s">
        <v>49</v>
      </c>
      <c r="E12" s="14">
        <v>0.115</v>
      </c>
      <c r="F12" s="14">
        <v>0</v>
      </c>
      <c r="G12" s="14">
        <v>0</v>
      </c>
      <c r="H12" s="14">
        <v>-46.1</v>
      </c>
      <c r="I12" s="14" t="s">
        <v>41</v>
      </c>
      <c r="J12" s="14" t="s">
        <v>41</v>
      </c>
      <c r="K12" s="15" t="s">
        <v>41</v>
      </c>
    </row>
    <row r="13" spans="1:11" x14ac:dyDescent="0.3">
      <c r="A13" s="13" t="s">
        <v>43</v>
      </c>
      <c r="B13" s="14" t="s">
        <v>10</v>
      </c>
      <c r="C13" s="123" t="s">
        <v>49</v>
      </c>
      <c r="D13" s="123">
        <v>44297</v>
      </c>
      <c r="E13" s="14">
        <v>0.115</v>
      </c>
      <c r="F13" s="14">
        <v>0</v>
      </c>
      <c r="G13" s="14" t="s">
        <v>41</v>
      </c>
      <c r="H13" s="14" t="s">
        <v>41</v>
      </c>
      <c r="I13" s="14" t="s">
        <v>41</v>
      </c>
      <c r="J13" s="14" t="s">
        <v>41</v>
      </c>
      <c r="K13" s="15" t="s">
        <v>41</v>
      </c>
    </row>
    <row r="14" spans="1:11" x14ac:dyDescent="0.3">
      <c r="A14" s="13" t="s">
        <v>89</v>
      </c>
      <c r="B14" s="14" t="s">
        <v>15</v>
      </c>
      <c r="C14" s="123">
        <v>45371</v>
      </c>
      <c r="D14" s="123">
        <v>45413</v>
      </c>
      <c r="E14" s="14">
        <v>5.3310000000000004</v>
      </c>
      <c r="F14" s="14">
        <v>0.1000000000000334</v>
      </c>
      <c r="G14" s="14">
        <v>0.1000000000000334</v>
      </c>
      <c r="H14" s="14">
        <v>4.0000000000013358E-3</v>
      </c>
      <c r="I14" s="14">
        <v>-0.61170843690598886</v>
      </c>
      <c r="J14" s="14" t="s">
        <v>41</v>
      </c>
      <c r="K14" s="15" t="s">
        <v>41</v>
      </c>
    </row>
    <row r="15" spans="1:11" x14ac:dyDescent="0.3">
      <c r="A15" s="13" t="s">
        <v>89</v>
      </c>
      <c r="B15" s="14" t="s">
        <v>17</v>
      </c>
      <c r="C15" s="123">
        <v>45413</v>
      </c>
      <c r="D15" s="123">
        <v>45455</v>
      </c>
      <c r="E15" s="14">
        <v>5.3178721184932103</v>
      </c>
      <c r="F15" s="14">
        <v>-1.3127881506790118</v>
      </c>
      <c r="G15" s="14">
        <v>-1.2127881506789784</v>
      </c>
      <c r="H15" s="14">
        <v>-4.8511526027159135E-2</v>
      </c>
      <c r="I15" s="14">
        <v>2.4848675500344086E-3</v>
      </c>
      <c r="J15" s="14" t="s">
        <v>41</v>
      </c>
      <c r="K15" s="15" t="s">
        <v>41</v>
      </c>
    </row>
    <row r="16" spans="1:11" x14ac:dyDescent="0.3">
      <c r="A16" s="13" t="s">
        <v>89</v>
      </c>
      <c r="B16" s="14" t="s">
        <v>18</v>
      </c>
      <c r="C16" s="123">
        <v>45455</v>
      </c>
      <c r="D16" s="123">
        <v>45504</v>
      </c>
      <c r="E16" s="14">
        <v>5.1751256335150302</v>
      </c>
      <c r="F16" s="14">
        <v>-14.27464849781801</v>
      </c>
      <c r="G16" s="14">
        <v>-15.487436648496988</v>
      </c>
      <c r="H16" s="14">
        <v>-0.61949746593987953</v>
      </c>
      <c r="I16" s="14">
        <v>-0.35248342174796221</v>
      </c>
      <c r="J16" s="14" t="s">
        <v>41</v>
      </c>
      <c r="K16" s="15" t="s">
        <v>41</v>
      </c>
    </row>
    <row r="17" spans="1:11" x14ac:dyDescent="0.3">
      <c r="A17" s="13" t="s">
        <v>89</v>
      </c>
      <c r="B17" s="14" t="s">
        <v>19</v>
      </c>
      <c r="C17" s="123">
        <v>45504</v>
      </c>
      <c r="D17" s="123">
        <v>45553</v>
      </c>
      <c r="E17" s="14">
        <v>5.0841002787181804</v>
      </c>
      <c r="F17" s="14">
        <v>-9.1025354796849811</v>
      </c>
      <c r="G17" s="14">
        <v>-24.589972128181969</v>
      </c>
      <c r="H17" s="14">
        <v>-0.98359888512727878</v>
      </c>
      <c r="I17" s="14">
        <v>0.82630992086203392</v>
      </c>
      <c r="J17" s="14" t="s">
        <v>41</v>
      </c>
      <c r="K17" s="15" t="s">
        <v>41</v>
      </c>
    </row>
    <row r="18" spans="1:11" x14ac:dyDescent="0.3">
      <c r="A18" s="13" t="s">
        <v>89</v>
      </c>
      <c r="B18" s="14" t="s">
        <v>10</v>
      </c>
      <c r="C18" s="123">
        <v>45553</v>
      </c>
      <c r="D18" s="123">
        <v>45603</v>
      </c>
      <c r="E18" s="14">
        <v>4.9196273373208204</v>
      </c>
      <c r="F18" s="14">
        <v>-16.447294139736002</v>
      </c>
      <c r="G18" s="14">
        <v>-41.037266267917971</v>
      </c>
      <c r="H18" s="14">
        <v>-1.6414906507167188</v>
      </c>
      <c r="I18" s="14">
        <v>2.7543243449200006</v>
      </c>
      <c r="J18" s="14" t="s">
        <v>41</v>
      </c>
      <c r="K18" s="15" t="s">
        <v>41</v>
      </c>
    </row>
    <row r="19" spans="1:11" x14ac:dyDescent="0.3">
      <c r="A19" s="13" t="s">
        <v>89</v>
      </c>
      <c r="B19" s="14" t="s">
        <v>12</v>
      </c>
      <c r="C19" s="123">
        <v>45603</v>
      </c>
      <c r="D19" s="123">
        <v>45644</v>
      </c>
      <c r="E19" s="14">
        <v>4.7913464202834497</v>
      </c>
      <c r="F19" s="14">
        <v>-12.828091703737066</v>
      </c>
      <c r="G19" s="14">
        <v>-53.865357971655037</v>
      </c>
      <c r="H19" s="14">
        <v>-2.1546143188662015</v>
      </c>
      <c r="I19" s="14">
        <v>3.0722872250160016</v>
      </c>
      <c r="J19" s="14" t="s">
        <v>41</v>
      </c>
      <c r="K19" s="15" t="s">
        <v>41</v>
      </c>
    </row>
    <row r="20" spans="1:11" x14ac:dyDescent="0.3">
      <c r="A20" s="13" t="s">
        <v>89</v>
      </c>
      <c r="B20" s="14" t="s">
        <v>13</v>
      </c>
      <c r="C20" s="123">
        <v>45644</v>
      </c>
      <c r="D20" s="123">
        <v>45686</v>
      </c>
      <c r="E20" s="14">
        <v>4.6321605051835899</v>
      </c>
      <c r="F20" s="14">
        <v>-15.91859150998598</v>
      </c>
      <c r="G20" s="14">
        <v>-69.783949481641017</v>
      </c>
      <c r="H20" s="14">
        <v>-2.7913579792656407</v>
      </c>
      <c r="I20" s="14">
        <v>3.7007247168429735</v>
      </c>
      <c r="J20" s="14" t="s">
        <v>41</v>
      </c>
      <c r="K20" s="15" t="s">
        <v>41</v>
      </c>
    </row>
    <row r="21" spans="1:11" x14ac:dyDescent="0.3">
      <c r="A21" s="13" t="s">
        <v>89</v>
      </c>
      <c r="B21" s="14" t="s">
        <v>28</v>
      </c>
      <c r="C21" s="123">
        <v>45686</v>
      </c>
      <c r="D21" s="123">
        <v>45735</v>
      </c>
      <c r="E21" s="14">
        <v>4.50978656559362</v>
      </c>
      <c r="F21" s="14">
        <v>-12.237393958996989</v>
      </c>
      <c r="G21" s="14">
        <v>-82.021343440638006</v>
      </c>
      <c r="H21" s="14">
        <v>-3.2808537376255202</v>
      </c>
      <c r="I21" s="14">
        <v>4.1923368452359888</v>
      </c>
      <c r="J21" s="14" t="s">
        <v>41</v>
      </c>
      <c r="K21" s="15" t="s">
        <v>41</v>
      </c>
    </row>
    <row r="22" spans="1:11" x14ac:dyDescent="0.3">
      <c r="A22" s="13" t="s">
        <v>89</v>
      </c>
      <c r="B22" s="14"/>
      <c r="C22" s="123"/>
      <c r="D22" s="123"/>
      <c r="E22" s="14"/>
      <c r="F22" s="14"/>
      <c r="G22" s="14"/>
      <c r="H22" s="14"/>
      <c r="I22" s="14">
        <v>-450.83908487379</v>
      </c>
      <c r="J22" s="14" t="s">
        <v>41</v>
      </c>
      <c r="K22" s="15" t="s">
        <v>41</v>
      </c>
    </row>
    <row r="23" spans="1:11" x14ac:dyDescent="0.3">
      <c r="A23" s="13" t="s">
        <v>89</v>
      </c>
      <c r="B23" s="14"/>
      <c r="C23" s="123"/>
      <c r="D23" s="123"/>
      <c r="E23" s="14"/>
      <c r="F23" s="14"/>
      <c r="G23" s="14"/>
      <c r="H23" s="14"/>
      <c r="I23" s="14">
        <v>-450.83908487379</v>
      </c>
      <c r="J23" s="14" t="s">
        <v>41</v>
      </c>
      <c r="K23" s="15" t="s">
        <v>41</v>
      </c>
    </row>
    <row r="24" spans="1:11" x14ac:dyDescent="0.3">
      <c r="A24" s="13" t="s">
        <v>89</v>
      </c>
      <c r="B24" s="14"/>
      <c r="C24" s="123"/>
      <c r="D24" s="123"/>
      <c r="E24" s="14"/>
      <c r="F24" s="14"/>
      <c r="G24" s="14"/>
      <c r="H24" s="14"/>
      <c r="I24" s="14">
        <v>-450.83908487379</v>
      </c>
      <c r="J24" s="14" t="s">
        <v>41</v>
      </c>
      <c r="K24" s="15" t="s">
        <v>41</v>
      </c>
    </row>
    <row r="25" spans="1:11" x14ac:dyDescent="0.3">
      <c r="A25" s="13" t="s">
        <v>89</v>
      </c>
      <c r="B25" s="14"/>
      <c r="C25" s="123"/>
      <c r="D25" s="123"/>
      <c r="E25" s="14"/>
      <c r="F25" s="14"/>
      <c r="G25" s="14"/>
      <c r="H25" s="14"/>
      <c r="I25" s="14">
        <v>-450.83908487379</v>
      </c>
      <c r="J25" s="14" t="s">
        <v>41</v>
      </c>
      <c r="K25" s="15" t="s">
        <v>41</v>
      </c>
    </row>
    <row r="26" spans="1:11" x14ac:dyDescent="0.3">
      <c r="A26" s="13">
        <v>46192</v>
      </c>
      <c r="B26" s="14" t="s">
        <v>19</v>
      </c>
      <c r="C26" s="123" t="s">
        <v>94</v>
      </c>
      <c r="D26" s="123" t="s">
        <v>97</v>
      </c>
      <c r="E26" s="14">
        <v>3.7429000000000001</v>
      </c>
      <c r="F26" s="14">
        <v>11.290000000000022</v>
      </c>
      <c r="G26" s="14">
        <v>11.290000000000022</v>
      </c>
      <c r="H26" s="14">
        <v>0.45160000000000089</v>
      </c>
      <c r="I26" s="14">
        <v>2.7200000000000113</v>
      </c>
      <c r="J26" s="14">
        <v>9.0899999999999981</v>
      </c>
      <c r="K26" s="15">
        <v>7.4400000000000244</v>
      </c>
    </row>
    <row r="27" spans="1:11" x14ac:dyDescent="0.3">
      <c r="A27" s="13">
        <v>46192</v>
      </c>
      <c r="B27" s="14" t="s">
        <v>10</v>
      </c>
      <c r="C27" s="123" t="s">
        <v>97</v>
      </c>
      <c r="D27" s="123" t="s">
        <v>107</v>
      </c>
      <c r="E27" s="14">
        <v>3.8801000000000001</v>
      </c>
      <c r="F27" s="14">
        <v>13.719999999999999</v>
      </c>
      <c r="G27" s="14">
        <v>25.010000000000019</v>
      </c>
      <c r="H27" s="14">
        <v>1.0004000000000008</v>
      </c>
      <c r="I27" s="14">
        <v>4.0900000000000158</v>
      </c>
      <c r="J27" s="14">
        <v>17.730000000000025</v>
      </c>
      <c r="K27" s="15">
        <v>16.190000000000015</v>
      </c>
    </row>
    <row r="28" spans="1:11" x14ac:dyDescent="0.3">
      <c r="A28" s="13">
        <v>46192</v>
      </c>
      <c r="B28" s="14" t="s">
        <v>11</v>
      </c>
      <c r="C28" s="123" t="s">
        <v>107</v>
      </c>
      <c r="D28" s="123" t="s">
        <v>111</v>
      </c>
      <c r="E28" s="14">
        <v>3.9510000000000001</v>
      </c>
      <c r="F28" s="14">
        <v>7.0899999999999963</v>
      </c>
      <c r="G28" s="14">
        <v>32.100000000000016</v>
      </c>
      <c r="H28" s="14">
        <v>1.2840000000000007</v>
      </c>
      <c r="I28" s="14">
        <v>4.850000000000021</v>
      </c>
      <c r="J28" s="14">
        <v>21.430000000000014</v>
      </c>
      <c r="K28" s="15">
        <v>18.96</v>
      </c>
    </row>
    <row r="29" spans="1:11" x14ac:dyDescent="0.3">
      <c r="A29" s="13">
        <v>46192</v>
      </c>
      <c r="B29" s="14" t="s">
        <v>13</v>
      </c>
      <c r="C29" s="123" t="s">
        <v>111</v>
      </c>
      <c r="D29" s="123" t="s">
        <v>118</v>
      </c>
      <c r="E29" s="14">
        <v>4.0540000000000003</v>
      </c>
      <c r="F29" s="14">
        <v>10.30000000000002</v>
      </c>
      <c r="G29" s="14">
        <v>42.400000000000034</v>
      </c>
      <c r="H29" s="14">
        <v>1.6960000000000013</v>
      </c>
      <c r="I29" s="14">
        <v>5.500000000000016</v>
      </c>
      <c r="J29" s="14">
        <v>23.650000000000038</v>
      </c>
      <c r="K29" s="15">
        <v>21.540000000000028</v>
      </c>
    </row>
    <row r="30" spans="1:11" x14ac:dyDescent="0.3">
      <c r="A30" s="13">
        <v>46192</v>
      </c>
      <c r="B30" s="14" t="s">
        <v>28</v>
      </c>
      <c r="C30" s="123" t="s">
        <v>118</v>
      </c>
      <c r="D30" s="123" t="s">
        <v>119</v>
      </c>
      <c r="E30" s="14">
        <v>4.1009000000000002</v>
      </c>
      <c r="F30" s="14">
        <v>4.6899999999999942</v>
      </c>
      <c r="G30" s="14">
        <v>47.090000000000032</v>
      </c>
      <c r="H30" s="14">
        <v>1.8836000000000013</v>
      </c>
      <c r="I30" s="14">
        <v>6.190000000000051</v>
      </c>
      <c r="J30" s="14">
        <v>23.540000000000028</v>
      </c>
      <c r="K30" s="15">
        <v>21.10000000000003</v>
      </c>
    </row>
    <row r="31" spans="1:11" x14ac:dyDescent="0.3">
      <c r="A31" s="13">
        <v>46192</v>
      </c>
      <c r="B31" s="14" t="s">
        <v>15</v>
      </c>
      <c r="C31" s="123" t="s">
        <v>119</v>
      </c>
      <c r="D31" s="123" t="s">
        <v>122</v>
      </c>
      <c r="E31" s="14">
        <v>4.1383999999999999</v>
      </c>
      <c r="F31" s="14">
        <v>3.7499999999999645</v>
      </c>
      <c r="G31" s="14">
        <v>50.839999999999996</v>
      </c>
      <c r="H31" s="14">
        <v>2.0335999999999999</v>
      </c>
      <c r="I31" s="14">
        <v>6.4099999999999824</v>
      </c>
      <c r="J31" s="14">
        <v>21.23999999999997</v>
      </c>
      <c r="K31" s="15">
        <v>17.239999999999966</v>
      </c>
    </row>
    <row r="32" spans="1:11" x14ac:dyDescent="0.3">
      <c r="A32" s="13">
        <v>46192</v>
      </c>
      <c r="B32" s="14" t="s">
        <v>16</v>
      </c>
      <c r="C32" s="123" t="s">
        <v>122</v>
      </c>
      <c r="D32" s="123" t="s">
        <v>126</v>
      </c>
      <c r="E32" s="14">
        <v>4.1382000000000003</v>
      </c>
      <c r="F32" s="14">
        <v>-1.9999999999953388E-2</v>
      </c>
      <c r="G32" s="14">
        <v>50.820000000000043</v>
      </c>
      <c r="H32" s="14">
        <v>2.0328000000000017</v>
      </c>
      <c r="I32" s="14">
        <v>7.0200000000000706</v>
      </c>
      <c r="J32" s="14">
        <v>18.920000000000048</v>
      </c>
      <c r="K32" s="15">
        <v>12.769999999999992</v>
      </c>
    </row>
    <row r="33" spans="1:11" x14ac:dyDescent="0.3">
      <c r="A33" s="13">
        <v>46192</v>
      </c>
      <c r="B33" s="14" t="s">
        <v>18</v>
      </c>
      <c r="C33" s="123" t="s">
        <v>126</v>
      </c>
      <c r="D33" s="123" t="s">
        <v>145</v>
      </c>
      <c r="E33" s="14">
        <v>4.1148999999999996</v>
      </c>
      <c r="F33" s="14">
        <v>-2.3300000000000765</v>
      </c>
      <c r="G33" s="14">
        <v>48.489999999999966</v>
      </c>
      <c r="H33" s="14">
        <v>1.9395999999999987</v>
      </c>
      <c r="I33" s="14">
        <v>7.0899999999999963</v>
      </c>
      <c r="J33" s="14" t="s">
        <v>41</v>
      </c>
      <c r="K33" s="15">
        <v>8.8699999999999335</v>
      </c>
    </row>
    <row r="34" spans="1:11" x14ac:dyDescent="0.3">
      <c r="A34" s="13">
        <v>46192</v>
      </c>
      <c r="B34" s="14" t="s">
        <v>19</v>
      </c>
      <c r="C34" s="123" t="s">
        <v>145</v>
      </c>
      <c r="D34" s="123" t="s">
        <v>150</v>
      </c>
      <c r="E34" s="14">
        <v>4.0810000000000004</v>
      </c>
      <c r="F34" s="14">
        <v>-3.3899999999999153</v>
      </c>
      <c r="G34" s="14">
        <v>45.100000000000051</v>
      </c>
      <c r="H34" s="14">
        <v>1.804000000000002</v>
      </c>
      <c r="I34" s="14">
        <v>7.1000000000000618</v>
      </c>
      <c r="J34" s="14" t="s">
        <v>41</v>
      </c>
      <c r="K34" s="15" t="s">
        <v>41</v>
      </c>
    </row>
    <row r="35" spans="1:11" x14ac:dyDescent="0.3">
      <c r="A35" s="13">
        <v>46192</v>
      </c>
      <c r="B35" s="14"/>
      <c r="C35" s="123"/>
      <c r="D35" s="123"/>
      <c r="E35" s="14"/>
      <c r="F35" s="14"/>
      <c r="G35" s="14"/>
      <c r="H35" s="14"/>
      <c r="I35" s="14">
        <v>0</v>
      </c>
      <c r="J35" s="14" t="s">
        <v>41</v>
      </c>
      <c r="K35" s="15">
        <v>0</v>
      </c>
    </row>
    <row r="36" spans="1:11" x14ac:dyDescent="0.3">
      <c r="A36" s="13">
        <v>46192</v>
      </c>
      <c r="B36" s="14"/>
      <c r="C36" s="123"/>
      <c r="D36" s="123"/>
      <c r="E36" s="14"/>
      <c r="F36" s="14"/>
      <c r="G36" s="14"/>
      <c r="H36" s="14"/>
      <c r="I36" s="14">
        <v>0</v>
      </c>
      <c r="J36" s="14" t="s">
        <v>41</v>
      </c>
      <c r="K36" s="15">
        <v>0</v>
      </c>
    </row>
    <row r="37" spans="1:11" x14ac:dyDescent="0.3">
      <c r="A37" s="13">
        <v>46192</v>
      </c>
      <c r="B37" s="14"/>
      <c r="C37" s="123"/>
      <c r="D37" s="123"/>
      <c r="E37" s="14"/>
      <c r="F37" s="14"/>
      <c r="G37" s="14"/>
      <c r="H37" s="14"/>
      <c r="I37" s="14">
        <v>0</v>
      </c>
      <c r="J37" s="14" t="s">
        <v>41</v>
      </c>
      <c r="K37" s="15">
        <v>0</v>
      </c>
    </row>
    <row r="38" spans="1:11" x14ac:dyDescent="0.3">
      <c r="A38" s="313">
        <v>46195</v>
      </c>
      <c r="B38" s="314" t="s">
        <v>19</v>
      </c>
      <c r="C38" s="315" t="s">
        <v>94</v>
      </c>
      <c r="D38" s="315" t="s">
        <v>97</v>
      </c>
      <c r="E38" s="314">
        <v>3.7370000000000001</v>
      </c>
      <c r="F38" s="314">
        <v>10.7</v>
      </c>
      <c r="G38" s="314">
        <v>10.700000000000021</v>
      </c>
      <c r="H38" s="314">
        <v>0.42800000000000082</v>
      </c>
      <c r="I38" s="314">
        <v>-0.59000000000000163</v>
      </c>
      <c r="J38" s="314">
        <v>6.3099999999999934</v>
      </c>
      <c r="K38" s="316">
        <v>7.6799999999999979</v>
      </c>
    </row>
    <row r="39" spans="1:11" x14ac:dyDescent="0.3">
      <c r="A39" s="313">
        <v>46195</v>
      </c>
      <c r="B39" s="314" t="s">
        <v>10</v>
      </c>
      <c r="C39" s="315" t="s">
        <v>97</v>
      </c>
      <c r="D39" s="315" t="s">
        <v>107</v>
      </c>
      <c r="E39" s="314">
        <v>3.8820000000000001</v>
      </c>
      <c r="F39" s="317">
        <v>14.500000000000002</v>
      </c>
      <c r="G39" s="314">
        <v>25.200000000000024</v>
      </c>
      <c r="H39" s="314">
        <v>1.0080000000000009</v>
      </c>
      <c r="I39" s="314">
        <v>0.19000000000000128</v>
      </c>
      <c r="J39" s="314">
        <v>13.669999999999982</v>
      </c>
      <c r="K39" s="316">
        <v>17.539999999999978</v>
      </c>
    </row>
    <row r="40" spans="1:11" x14ac:dyDescent="0.3">
      <c r="A40" s="313">
        <v>46195</v>
      </c>
      <c r="B40" s="314" t="s">
        <v>11</v>
      </c>
      <c r="C40" s="315" t="s">
        <v>107</v>
      </c>
      <c r="D40" s="315" t="s">
        <v>111</v>
      </c>
      <c r="E40" s="314">
        <v>3.96</v>
      </c>
      <c r="F40" s="317">
        <v>7.7999999999999847</v>
      </c>
      <c r="G40" s="314">
        <v>33.000000000000007</v>
      </c>
      <c r="H40" s="314">
        <v>1.3200000000000003</v>
      </c>
      <c r="I40" s="314">
        <v>0.8999999999999897</v>
      </c>
      <c r="J40" s="314">
        <v>17.759999999999998</v>
      </c>
      <c r="K40" s="316">
        <v>21.70000000000001</v>
      </c>
    </row>
    <row r="41" spans="1:11" x14ac:dyDescent="0.3">
      <c r="A41" s="313">
        <v>46195</v>
      </c>
      <c r="B41" s="314" t="s">
        <v>13</v>
      </c>
      <c r="C41" s="315" t="s">
        <v>111</v>
      </c>
      <c r="D41" s="315" t="s">
        <v>118</v>
      </c>
      <c r="E41" s="314">
        <v>4.0620000000000003</v>
      </c>
      <c r="F41" s="317">
        <v>10.200000000000031</v>
      </c>
      <c r="G41" s="314">
        <v>43.200000000000038</v>
      </c>
      <c r="H41" s="314">
        <v>1.7280000000000015</v>
      </c>
      <c r="I41" s="314">
        <v>0.80000000000000071</v>
      </c>
      <c r="J41" s="314">
        <v>18.680000000000028</v>
      </c>
      <c r="K41" s="316">
        <v>25.23000000000004</v>
      </c>
    </row>
    <row r="42" spans="1:11" x14ac:dyDescent="0.3">
      <c r="A42" s="313">
        <v>46195</v>
      </c>
      <c r="B42" s="314" t="s">
        <v>28</v>
      </c>
      <c r="C42" s="315" t="s">
        <v>118</v>
      </c>
      <c r="D42" s="315" t="s">
        <v>119</v>
      </c>
      <c r="E42" s="314">
        <v>4.1130000000000004</v>
      </c>
      <c r="F42" s="317">
        <v>5.1000000000000156</v>
      </c>
      <c r="G42" s="314">
        <v>48.300000000000054</v>
      </c>
      <c r="H42" s="314">
        <v>1.9320000000000022</v>
      </c>
      <c r="I42" s="314">
        <v>1.2100000000000222</v>
      </c>
      <c r="J42" s="314">
        <v>19.110000000000007</v>
      </c>
      <c r="K42" s="316">
        <v>25.510000000000012</v>
      </c>
    </row>
    <row r="43" spans="1:11" x14ac:dyDescent="0.3">
      <c r="A43" s="313">
        <v>46195</v>
      </c>
      <c r="B43" s="314" t="s">
        <v>15</v>
      </c>
      <c r="C43" s="315" t="s">
        <v>119</v>
      </c>
      <c r="D43" s="315" t="s">
        <v>122</v>
      </c>
      <c r="E43" s="314">
        <v>4.1559999999999997</v>
      </c>
      <c r="F43" s="317">
        <v>4.2999999999999261</v>
      </c>
      <c r="G43" s="314">
        <v>52.59999999999998</v>
      </c>
      <c r="H43" s="314">
        <v>2.1039999999999992</v>
      </c>
      <c r="I43" s="314">
        <v>1.7599999999999838</v>
      </c>
      <c r="J43" s="314">
        <v>17.999999999999972</v>
      </c>
      <c r="K43" s="316">
        <v>23.399999999999956</v>
      </c>
    </row>
    <row r="44" spans="1:11" x14ac:dyDescent="0.3">
      <c r="A44" s="313">
        <v>46195</v>
      </c>
      <c r="B44" s="314" t="s">
        <v>16</v>
      </c>
      <c r="C44" s="315" t="s">
        <v>122</v>
      </c>
      <c r="D44" s="315" t="s">
        <v>126</v>
      </c>
      <c r="E44" s="314">
        <v>4.1520000000000001</v>
      </c>
      <c r="F44" s="317">
        <v>-0.39999999999995595</v>
      </c>
      <c r="G44" s="314">
        <v>52.200000000000024</v>
      </c>
      <c r="H44" s="314">
        <v>2.088000000000001</v>
      </c>
      <c r="I44" s="314">
        <v>1.3799999999999812</v>
      </c>
      <c r="J44" s="314">
        <v>18.439999999999969</v>
      </c>
      <c r="K44" s="316">
        <v>20.619999999999948</v>
      </c>
    </row>
    <row r="45" spans="1:11" x14ac:dyDescent="0.3">
      <c r="A45" s="313">
        <v>46195</v>
      </c>
      <c r="B45" s="314" t="s">
        <v>18</v>
      </c>
      <c r="C45" s="315" t="s">
        <v>126</v>
      </c>
      <c r="D45" s="315" t="s">
        <v>145</v>
      </c>
      <c r="E45" s="314">
        <v>4.141</v>
      </c>
      <c r="F45" s="317">
        <v>-1.1000000000000121</v>
      </c>
      <c r="G45" s="314">
        <v>51.100000000000009</v>
      </c>
      <c r="H45" s="314">
        <v>2.0440000000000005</v>
      </c>
      <c r="I45" s="314">
        <v>2.6100000000000456</v>
      </c>
      <c r="J45" s="314">
        <v>17.030000000000012</v>
      </c>
      <c r="K45" s="316">
        <v>18.730000000000004</v>
      </c>
    </row>
    <row r="46" spans="1:11" x14ac:dyDescent="0.3">
      <c r="A46" s="313">
        <v>46195</v>
      </c>
      <c r="B46" s="314" t="s">
        <v>19</v>
      </c>
      <c r="C46" s="315" t="s">
        <v>145</v>
      </c>
      <c r="D46" s="315" t="s">
        <v>150</v>
      </c>
      <c r="E46" s="314">
        <v>4.0940000000000003</v>
      </c>
      <c r="F46" s="317">
        <v>-4.6999999999999709</v>
      </c>
      <c r="G46" s="314">
        <v>46.400000000000041</v>
      </c>
      <c r="H46" s="314">
        <v>1.8560000000000016</v>
      </c>
      <c r="I46" s="314">
        <v>1.2999999999999901</v>
      </c>
      <c r="J46" s="314" t="s">
        <v>41</v>
      </c>
      <c r="K46" s="316" t="s">
        <v>41</v>
      </c>
    </row>
    <row r="47" spans="1:11" x14ac:dyDescent="0.3">
      <c r="A47" s="313">
        <v>46195</v>
      </c>
      <c r="B47" s="314"/>
      <c r="C47" s="315"/>
      <c r="D47" s="315"/>
      <c r="E47" s="314"/>
      <c r="F47" s="314"/>
      <c r="G47" s="314"/>
      <c r="H47" s="314"/>
      <c r="I47" s="314" t="s">
        <v>41</v>
      </c>
      <c r="J47" s="314">
        <v>0</v>
      </c>
      <c r="K47" s="316">
        <v>0</v>
      </c>
    </row>
    <row r="48" spans="1:11" x14ac:dyDescent="0.3">
      <c r="A48" s="313">
        <v>46195</v>
      </c>
      <c r="B48" s="314"/>
      <c r="C48" s="315"/>
      <c r="D48" s="315"/>
      <c r="E48" s="314"/>
      <c r="F48" s="314"/>
      <c r="G48" s="314"/>
      <c r="H48" s="314"/>
      <c r="I48" s="314" t="s">
        <v>41</v>
      </c>
      <c r="J48" s="314">
        <v>0</v>
      </c>
      <c r="K48" s="316">
        <v>0</v>
      </c>
    </row>
    <row r="49" spans="1:11" x14ac:dyDescent="0.3">
      <c r="A49" s="318">
        <v>46195</v>
      </c>
      <c r="B49" s="319"/>
      <c r="C49" s="320"/>
      <c r="D49" s="320"/>
      <c r="E49" s="319"/>
      <c r="F49" s="319"/>
      <c r="G49" s="319"/>
      <c r="H49" s="319"/>
      <c r="I49" s="319" t="s">
        <v>41</v>
      </c>
      <c r="J49" s="319">
        <v>0</v>
      </c>
      <c r="K49" s="321">
        <v>0</v>
      </c>
    </row>
    <row r="50" spans="1:11" x14ac:dyDescent="0.3">
      <c r="A50" s="313">
        <v>46196</v>
      </c>
      <c r="B50" s="314" t="s">
        <v>19</v>
      </c>
      <c r="C50" s="315" t="s">
        <v>94</v>
      </c>
      <c r="D50" s="315" t="s">
        <v>97</v>
      </c>
      <c r="E50" s="314">
        <v>3.7280000000000002</v>
      </c>
      <c r="F50" s="314">
        <v>9.8000000000000309</v>
      </c>
      <c r="G50" s="314">
        <v>9.8000000000000309</v>
      </c>
      <c r="H50" s="314">
        <v>0.39200000000000124</v>
      </c>
      <c r="I50" s="314">
        <v>-0.8999999999999897</v>
      </c>
      <c r="J50" s="314">
        <v>6.8500000000000227</v>
      </c>
      <c r="K50" s="316">
        <v>8.2200000000000273</v>
      </c>
    </row>
    <row r="51" spans="1:11" x14ac:dyDescent="0.3">
      <c r="A51" s="313">
        <v>46196</v>
      </c>
      <c r="B51" s="314" t="s">
        <v>10</v>
      </c>
      <c r="C51" s="315" t="s">
        <v>97</v>
      </c>
      <c r="D51" s="315" t="s">
        <v>107</v>
      </c>
      <c r="E51" s="314">
        <v>3.855</v>
      </c>
      <c r="F51" s="314">
        <v>12.699999999999978</v>
      </c>
      <c r="G51" s="314">
        <v>22.500000000000007</v>
      </c>
      <c r="H51" s="314">
        <v>0.90000000000000024</v>
      </c>
      <c r="I51" s="314">
        <v>-2.7000000000000135</v>
      </c>
      <c r="J51" s="314">
        <v>14.069999999999983</v>
      </c>
      <c r="K51" s="316">
        <v>17.939999999999976</v>
      </c>
    </row>
    <row r="52" spans="1:11" x14ac:dyDescent="0.3">
      <c r="A52" s="313">
        <v>46196</v>
      </c>
      <c r="B52" s="314" t="s">
        <v>11</v>
      </c>
      <c r="C52" s="315" t="s">
        <v>107</v>
      </c>
      <c r="D52" s="315" t="s">
        <v>111</v>
      </c>
      <c r="E52" s="314">
        <v>3.9218999999999999</v>
      </c>
      <c r="F52" s="314">
        <v>6.6899999999999959</v>
      </c>
      <c r="G52" s="314">
        <v>29.190000000000005</v>
      </c>
      <c r="H52" s="314">
        <v>1.1676000000000002</v>
      </c>
      <c r="I52" s="314">
        <v>-3.8100000000000023</v>
      </c>
      <c r="J52" s="314">
        <v>17.669999999999987</v>
      </c>
      <c r="K52" s="316">
        <v>21.609999999999996</v>
      </c>
    </row>
    <row r="53" spans="1:11" x14ac:dyDescent="0.3">
      <c r="A53" s="313">
        <v>46196</v>
      </c>
      <c r="B53" s="314" t="s">
        <v>13</v>
      </c>
      <c r="C53" s="315" t="s">
        <v>111</v>
      </c>
      <c r="D53" s="315" t="s">
        <v>118</v>
      </c>
      <c r="E53" s="314">
        <v>4.0170000000000003</v>
      </c>
      <c r="F53" s="314">
        <v>9.5100000000000406</v>
      </c>
      <c r="G53" s="314">
        <v>38.700000000000045</v>
      </c>
      <c r="H53" s="314">
        <v>1.5480000000000018</v>
      </c>
      <c r="I53" s="314">
        <v>-4.4999999999999929</v>
      </c>
      <c r="J53" s="314">
        <v>18.680000000000028</v>
      </c>
      <c r="K53" s="316">
        <v>25.23000000000004</v>
      </c>
    </row>
    <row r="54" spans="1:11" x14ac:dyDescent="0.3">
      <c r="A54" s="313">
        <v>46196</v>
      </c>
      <c r="B54" s="314" t="s">
        <v>28</v>
      </c>
      <c r="C54" s="315" t="s">
        <v>118</v>
      </c>
      <c r="D54" s="315" t="s">
        <v>119</v>
      </c>
      <c r="E54" s="314">
        <v>4.0564</v>
      </c>
      <c r="F54" s="314">
        <v>3.9399999999999658</v>
      </c>
      <c r="G54" s="314">
        <v>42.640000000000015</v>
      </c>
      <c r="H54" s="314">
        <v>1.7056000000000007</v>
      </c>
      <c r="I54" s="314">
        <v>-5.6600000000000428</v>
      </c>
      <c r="J54" s="314">
        <v>18.840000000000011</v>
      </c>
      <c r="K54" s="316">
        <v>25.240000000000016</v>
      </c>
    </row>
    <row r="55" spans="1:11" x14ac:dyDescent="0.3">
      <c r="A55" s="313">
        <v>46196</v>
      </c>
      <c r="B55" s="314" t="s">
        <v>15</v>
      </c>
      <c r="C55" s="315" t="s">
        <v>119</v>
      </c>
      <c r="D55" s="315" t="s">
        <v>122</v>
      </c>
      <c r="E55" s="314">
        <v>4.0949999999999998</v>
      </c>
      <c r="F55" s="314">
        <v>3.8599999999999746</v>
      </c>
      <c r="G55" s="314">
        <v>46.499999999999986</v>
      </c>
      <c r="H55" s="314">
        <v>1.8599999999999994</v>
      </c>
      <c r="I55" s="314">
        <v>-6.0999999999999943</v>
      </c>
      <c r="J55" s="314">
        <v>17.499999999999982</v>
      </c>
      <c r="K55" s="316">
        <v>22.899999999999963</v>
      </c>
    </row>
    <row r="56" spans="1:11" x14ac:dyDescent="0.3">
      <c r="A56" s="313">
        <v>46196</v>
      </c>
      <c r="B56" s="314" t="s">
        <v>16</v>
      </c>
      <c r="C56" s="315" t="s">
        <v>122</v>
      </c>
      <c r="D56" s="315" t="s">
        <v>126</v>
      </c>
      <c r="E56" s="314">
        <v>4.1040000000000001</v>
      </c>
      <c r="F56" s="314">
        <v>0.90000000000003411</v>
      </c>
      <c r="G56" s="314">
        <v>47.40000000000002</v>
      </c>
      <c r="H56" s="314">
        <v>1.8960000000000008</v>
      </c>
      <c r="I56" s="314">
        <v>-4.8000000000000043</v>
      </c>
      <c r="J56" s="314">
        <v>18.040000000000013</v>
      </c>
      <c r="K56" s="316">
        <v>20.219999999999992</v>
      </c>
    </row>
    <row r="57" spans="1:11" x14ac:dyDescent="0.3">
      <c r="A57" s="313">
        <v>46196</v>
      </c>
      <c r="B57" s="314" t="s">
        <v>18</v>
      </c>
      <c r="C57" s="315" t="s">
        <v>126</v>
      </c>
      <c r="D57" s="315" t="s">
        <v>145</v>
      </c>
      <c r="E57" s="314">
        <v>4.0933000000000002</v>
      </c>
      <c r="F57" s="314">
        <v>-1.0699999999999932</v>
      </c>
      <c r="G57" s="314">
        <v>46.330000000000027</v>
      </c>
      <c r="H57" s="314">
        <v>1.8532000000000011</v>
      </c>
      <c r="I57" s="314">
        <v>-4.7699999999999854</v>
      </c>
      <c r="J57" s="314">
        <v>16.530000000000022</v>
      </c>
      <c r="K57" s="316">
        <v>18.230000000000011</v>
      </c>
    </row>
    <row r="58" spans="1:11" x14ac:dyDescent="0.3">
      <c r="A58" s="313">
        <v>46196</v>
      </c>
      <c r="B58" s="314" t="s">
        <v>19</v>
      </c>
      <c r="C58" s="315" t="s">
        <v>145</v>
      </c>
      <c r="D58" s="315" t="s">
        <v>150</v>
      </c>
      <c r="E58" s="314">
        <v>4.0688000000000004</v>
      </c>
      <c r="F58" s="314">
        <v>-2.4499999999999744</v>
      </c>
      <c r="G58" s="314">
        <v>43.880000000000052</v>
      </c>
      <c r="H58" s="314">
        <v>1.7552000000000021</v>
      </c>
      <c r="I58" s="314">
        <v>-2.5199999999999889</v>
      </c>
      <c r="J58" s="314" t="s">
        <v>41</v>
      </c>
      <c r="K58" s="316" t="s">
        <v>41</v>
      </c>
    </row>
    <row r="59" spans="1:11" x14ac:dyDescent="0.3">
      <c r="A59" s="313">
        <v>46196</v>
      </c>
      <c r="B59" s="314"/>
      <c r="C59" s="315"/>
      <c r="D59" s="315"/>
      <c r="E59" s="314"/>
      <c r="F59" s="314"/>
      <c r="G59" s="314"/>
      <c r="H59" s="314"/>
      <c r="I59" s="314">
        <v>0</v>
      </c>
      <c r="J59" s="314">
        <v>0</v>
      </c>
      <c r="K59" s="316">
        <v>0</v>
      </c>
    </row>
    <row r="60" spans="1:11" x14ac:dyDescent="0.3">
      <c r="A60" s="313">
        <v>46196</v>
      </c>
      <c r="B60" s="314"/>
      <c r="C60" s="315"/>
      <c r="D60" s="315"/>
      <c r="E60" s="314"/>
      <c r="F60" s="314"/>
      <c r="G60" s="314"/>
      <c r="H60" s="314"/>
      <c r="I60" s="314">
        <v>0</v>
      </c>
      <c r="J60" s="314">
        <v>0</v>
      </c>
      <c r="K60" s="316">
        <v>0</v>
      </c>
    </row>
    <row r="61" spans="1:11" x14ac:dyDescent="0.3">
      <c r="A61" s="318">
        <v>46196</v>
      </c>
      <c r="B61" s="319"/>
      <c r="C61" s="320"/>
      <c r="D61" s="320"/>
      <c r="E61" s="319"/>
      <c r="F61" s="319"/>
      <c r="G61" s="319"/>
      <c r="H61" s="319"/>
      <c r="I61" s="319">
        <v>0</v>
      </c>
      <c r="J61" s="319">
        <v>0</v>
      </c>
      <c r="K61" s="321">
        <v>0</v>
      </c>
    </row>
    <row r="62" spans="1:11" x14ac:dyDescent="0.3">
      <c r="A62" s="13">
        <v>46197</v>
      </c>
      <c r="B62" s="14" t="s">
        <v>19</v>
      </c>
      <c r="C62" s="123" t="s">
        <v>94</v>
      </c>
      <c r="D62" s="123" t="s">
        <v>97</v>
      </c>
      <c r="E62" s="14">
        <v>3.7193000000000001</v>
      </c>
      <c r="F62" s="14">
        <v>8.9300000000000157</v>
      </c>
      <c r="G62" s="14">
        <v>8.9300000000000157</v>
      </c>
      <c r="H62" s="14">
        <v>0.35720000000000063</v>
      </c>
      <c r="I62" s="14">
        <v>-0.87000000000001521</v>
      </c>
      <c r="J62" s="14">
        <v>5.699999999999994</v>
      </c>
      <c r="K62" s="15">
        <v>3.6300000000000221</v>
      </c>
    </row>
    <row r="63" spans="1:11" x14ac:dyDescent="0.3">
      <c r="A63" s="13">
        <v>46197</v>
      </c>
      <c r="B63" s="14" t="s">
        <v>10</v>
      </c>
      <c r="C63" s="123" t="s">
        <v>97</v>
      </c>
      <c r="D63" s="123" t="s">
        <v>107</v>
      </c>
      <c r="E63" s="14">
        <v>3.8454999999999999</v>
      </c>
      <c r="F63" s="14">
        <v>12.619999999999987</v>
      </c>
      <c r="G63" s="14">
        <v>21.550000000000004</v>
      </c>
      <c r="H63" s="14">
        <v>0.86200000000000021</v>
      </c>
      <c r="I63" s="14">
        <v>-0.95000000000000639</v>
      </c>
      <c r="J63" s="14">
        <v>12.639999999999985</v>
      </c>
      <c r="K63" s="15">
        <v>9.1899999999999871</v>
      </c>
    </row>
    <row r="64" spans="1:11" x14ac:dyDescent="0.3">
      <c r="A64" s="13">
        <v>46197</v>
      </c>
      <c r="B64" s="14" t="s">
        <v>11</v>
      </c>
      <c r="C64" s="123" t="s">
        <v>107</v>
      </c>
      <c r="D64" s="123" t="s">
        <v>111</v>
      </c>
      <c r="E64" s="14">
        <v>3.9068000000000001</v>
      </c>
      <c r="F64" s="14">
        <v>6.1300000000000132</v>
      </c>
      <c r="G64" s="14">
        <v>27.680000000000014</v>
      </c>
      <c r="H64" s="14">
        <v>1.1072000000000006</v>
      </c>
      <c r="I64" s="14">
        <v>-1.5099999999999891</v>
      </c>
      <c r="J64" s="14">
        <v>15.169999999999995</v>
      </c>
      <c r="K64" s="15">
        <v>10.199999999999987</v>
      </c>
    </row>
    <row r="65" spans="1:11" x14ac:dyDescent="0.3">
      <c r="A65" s="13">
        <v>46197</v>
      </c>
      <c r="B65" s="14" t="s">
        <v>13</v>
      </c>
      <c r="C65" s="123" t="s">
        <v>111</v>
      </c>
      <c r="D65" s="123" t="s">
        <v>118</v>
      </c>
      <c r="E65" s="14">
        <v>3.9929000000000001</v>
      </c>
      <c r="F65" s="14">
        <v>8.6100000000000065</v>
      </c>
      <c r="G65" s="14">
        <v>36.29000000000002</v>
      </c>
      <c r="H65" s="14">
        <v>1.4516000000000009</v>
      </c>
      <c r="I65" s="14">
        <v>-2.4100000000000232</v>
      </c>
      <c r="J65" s="14">
        <v>15.230000000000032</v>
      </c>
      <c r="K65" s="15">
        <v>10.570000000000013</v>
      </c>
    </row>
    <row r="66" spans="1:11" x14ac:dyDescent="0.3">
      <c r="A66" s="13">
        <v>46197</v>
      </c>
      <c r="B66" s="14" t="s">
        <v>28</v>
      </c>
      <c r="C66" s="123" t="s">
        <v>118</v>
      </c>
      <c r="D66" s="123" t="s">
        <v>119</v>
      </c>
      <c r="E66" s="14">
        <v>4.0227000000000004</v>
      </c>
      <c r="F66" s="14">
        <v>2.9800000000000271</v>
      </c>
      <c r="G66" s="14">
        <v>39.270000000000053</v>
      </c>
      <c r="H66" s="14">
        <v>1.5708000000000022</v>
      </c>
      <c r="I66" s="14">
        <v>-3.3699999999999619</v>
      </c>
      <c r="J66" s="14">
        <v>14.720000000000022</v>
      </c>
      <c r="K66" s="15">
        <v>8.4900000000000198</v>
      </c>
    </row>
    <row r="67" spans="1:11" x14ac:dyDescent="0.3">
      <c r="A67" s="13">
        <v>46197</v>
      </c>
      <c r="B67" s="14" t="s">
        <v>15</v>
      </c>
      <c r="C67" s="123" t="s">
        <v>119</v>
      </c>
      <c r="D67" s="123" t="s">
        <v>122</v>
      </c>
      <c r="E67" s="14">
        <v>4.0518000000000001</v>
      </c>
      <c r="F67" s="14">
        <v>2.9099999999999682</v>
      </c>
      <c r="G67" s="14">
        <v>42.180000000000021</v>
      </c>
      <c r="H67" s="14">
        <v>1.6872000000000009</v>
      </c>
      <c r="I67" s="14">
        <v>-4.3199999999999683</v>
      </c>
      <c r="J67" s="14">
        <v>13.180000000000014</v>
      </c>
      <c r="K67" s="15">
        <v>4.9800000000000288</v>
      </c>
    </row>
    <row r="68" spans="1:11" x14ac:dyDescent="0.3">
      <c r="A68" s="13">
        <v>46197</v>
      </c>
      <c r="B68" s="14" t="s">
        <v>16</v>
      </c>
      <c r="C68" s="123" t="s">
        <v>122</v>
      </c>
      <c r="D68" s="123" t="s">
        <v>126</v>
      </c>
      <c r="E68" s="14">
        <v>4.0439999999999996</v>
      </c>
      <c r="F68" s="14">
        <v>-0.78000000000004732</v>
      </c>
      <c r="G68" s="14">
        <v>41.39999999999997</v>
      </c>
      <c r="H68" s="14">
        <v>1.6559999999999988</v>
      </c>
      <c r="I68" s="14">
        <v>-6.0000000000000497</v>
      </c>
      <c r="J68" s="14">
        <v>12.049999999999939</v>
      </c>
      <c r="K68" s="15">
        <v>0.60999999999999943</v>
      </c>
    </row>
    <row r="69" spans="1:11" x14ac:dyDescent="0.3">
      <c r="A69" s="13">
        <v>46197</v>
      </c>
      <c r="B69" s="14" t="s">
        <v>18</v>
      </c>
      <c r="C69" s="123" t="s">
        <v>126</v>
      </c>
      <c r="D69" s="123" t="s">
        <v>145</v>
      </c>
      <c r="E69" s="14">
        <v>4.0317999999999996</v>
      </c>
      <c r="F69" s="14">
        <v>-1.2199999999999989</v>
      </c>
      <c r="G69" s="14">
        <v>40.179999999999971</v>
      </c>
      <c r="H69" s="14">
        <v>1.6071999999999989</v>
      </c>
      <c r="I69" s="14">
        <v>-6.1500000000000554</v>
      </c>
      <c r="J69" s="14">
        <v>10.879999999999956</v>
      </c>
      <c r="K69" s="15">
        <v>-0.62000000000006494</v>
      </c>
    </row>
    <row r="70" spans="1:11" x14ac:dyDescent="0.3">
      <c r="A70" s="13">
        <v>46197</v>
      </c>
      <c r="B70" s="14" t="s">
        <v>19</v>
      </c>
      <c r="C70" s="123" t="s">
        <v>145</v>
      </c>
      <c r="D70" s="123" t="s">
        <v>150</v>
      </c>
      <c r="E70" s="14">
        <v>3.9980000000000002</v>
      </c>
      <c r="F70" s="14">
        <v>-3.3799999999999386</v>
      </c>
      <c r="G70" s="14">
        <v>36.800000000000033</v>
      </c>
      <c r="H70" s="14">
        <v>1.4720000000000013</v>
      </c>
      <c r="I70" s="14">
        <v>-7.0800000000000196</v>
      </c>
      <c r="J70" s="14" t="s">
        <v>41</v>
      </c>
      <c r="K70" s="15" t="s">
        <v>41</v>
      </c>
    </row>
    <row r="71" spans="1:11" x14ac:dyDescent="0.3">
      <c r="A71" s="13">
        <v>46197</v>
      </c>
      <c r="B71" s="14"/>
      <c r="C71" s="123"/>
      <c r="D71" s="123"/>
      <c r="E71" s="14"/>
      <c r="F71" s="14"/>
      <c r="G71" s="14"/>
      <c r="H71" s="14"/>
      <c r="I71" s="14">
        <v>0</v>
      </c>
      <c r="J71" s="14">
        <v>0</v>
      </c>
      <c r="K71" s="15">
        <v>0</v>
      </c>
    </row>
    <row r="72" spans="1:11" x14ac:dyDescent="0.3">
      <c r="A72" s="13">
        <v>46197</v>
      </c>
      <c r="B72" s="14"/>
      <c r="C72" s="123"/>
      <c r="D72" s="123"/>
      <c r="E72" s="14"/>
      <c r="F72" s="14"/>
      <c r="G72" s="14"/>
      <c r="H72" s="14"/>
      <c r="I72" s="14">
        <v>0</v>
      </c>
      <c r="J72" s="14">
        <v>0</v>
      </c>
      <c r="K72" s="15">
        <v>0</v>
      </c>
    </row>
    <row r="73" spans="1:11" x14ac:dyDescent="0.3">
      <c r="A73" s="329">
        <v>46197</v>
      </c>
      <c r="B73" s="330"/>
      <c r="C73" s="331"/>
      <c r="D73" s="331"/>
      <c r="E73" s="330"/>
      <c r="F73" s="330"/>
      <c r="G73" s="330"/>
      <c r="H73" s="330"/>
      <c r="I73" s="330">
        <v>0</v>
      </c>
      <c r="J73" s="330">
        <v>0</v>
      </c>
      <c r="K73" s="332">
        <v>0</v>
      </c>
    </row>
    <row r="74" spans="1:11" x14ac:dyDescent="0.3">
      <c r="A74" s="363">
        <v>46198</v>
      </c>
      <c r="B74" s="364" t="s">
        <v>19</v>
      </c>
      <c r="C74" s="365" t="s">
        <v>94</v>
      </c>
      <c r="D74" s="365" t="s">
        <v>97</v>
      </c>
      <c r="E74" s="364">
        <v>3.718</v>
      </c>
      <c r="F74" s="364">
        <v>8.8000000000000078</v>
      </c>
      <c r="G74" s="364">
        <v>8.8000000000000078</v>
      </c>
      <c r="H74" s="364">
        <v>0.35200000000000031</v>
      </c>
      <c r="I74" s="364">
        <v>-0.13000000000000789</v>
      </c>
      <c r="J74" s="364">
        <v>0.22999999999999687</v>
      </c>
      <c r="K74" s="366">
        <v>3.3100000000000129</v>
      </c>
    </row>
    <row r="75" spans="1:11" x14ac:dyDescent="0.3">
      <c r="A75" s="363">
        <v>46198</v>
      </c>
      <c r="B75" s="364" t="s">
        <v>10</v>
      </c>
      <c r="C75" s="365" t="s">
        <v>97</v>
      </c>
      <c r="D75" s="365" t="s">
        <v>107</v>
      </c>
      <c r="E75" s="364">
        <v>3.8277999999999999</v>
      </c>
      <c r="F75" s="364">
        <v>10.97999999999999</v>
      </c>
      <c r="G75" s="364">
        <v>19.779999999999998</v>
      </c>
      <c r="H75" s="364">
        <v>0.7911999999999999</v>
      </c>
      <c r="I75" s="364">
        <v>-1.7700000000000049</v>
      </c>
      <c r="J75" s="364">
        <v>-1.1400000000000077</v>
      </c>
      <c r="K75" s="366">
        <v>7.4100000000000055</v>
      </c>
    </row>
    <row r="76" spans="1:11" x14ac:dyDescent="0.3">
      <c r="A76" s="363">
        <v>46198</v>
      </c>
      <c r="B76" s="364" t="s">
        <v>11</v>
      </c>
      <c r="C76" s="365" t="s">
        <v>107</v>
      </c>
      <c r="D76" s="365" t="s">
        <v>111</v>
      </c>
      <c r="E76" s="364">
        <v>3.8841999999999999</v>
      </c>
      <c r="F76" s="364">
        <v>5.6400000000000006</v>
      </c>
      <c r="G76" s="364">
        <v>25.419999999999998</v>
      </c>
      <c r="H76" s="364">
        <v>1.0167999999999999</v>
      </c>
      <c r="I76" s="364">
        <v>-2.2600000000000176</v>
      </c>
      <c r="J76" s="364">
        <v>-1.8299999999999983</v>
      </c>
      <c r="K76" s="366">
        <v>7.8399999999999803</v>
      </c>
    </row>
    <row r="77" spans="1:11" x14ac:dyDescent="0.3">
      <c r="A77" s="363">
        <v>46198</v>
      </c>
      <c r="B77" s="364" t="s">
        <v>13</v>
      </c>
      <c r="C77" s="365" t="s">
        <v>111</v>
      </c>
      <c r="D77" s="365" t="s">
        <v>118</v>
      </c>
      <c r="E77" s="364">
        <v>3.9685000000000001</v>
      </c>
      <c r="F77" s="364">
        <v>8.4300000000000264</v>
      </c>
      <c r="G77" s="364">
        <v>33.850000000000023</v>
      </c>
      <c r="H77" s="364">
        <v>1.354000000000001</v>
      </c>
      <c r="I77" s="364">
        <v>-2.4399999999999977</v>
      </c>
      <c r="J77" s="364">
        <v>-3.0499999999999972</v>
      </c>
      <c r="K77" s="366">
        <v>8.2500000000000018</v>
      </c>
    </row>
    <row r="78" spans="1:11" x14ac:dyDescent="0.3">
      <c r="A78" s="363">
        <v>46198</v>
      </c>
      <c r="B78" s="364" t="s">
        <v>28</v>
      </c>
      <c r="C78" s="365" t="s">
        <v>118</v>
      </c>
      <c r="D78" s="365" t="s">
        <v>119</v>
      </c>
      <c r="E78" s="364">
        <v>3.9895999999999998</v>
      </c>
      <c r="F78" s="364">
        <v>2.1099999999999675</v>
      </c>
      <c r="G78" s="364">
        <v>35.959999999999994</v>
      </c>
      <c r="H78" s="364">
        <v>1.4383999999999997</v>
      </c>
      <c r="I78" s="364">
        <v>-3.3100000000000573</v>
      </c>
      <c r="J78" s="364">
        <v>-4.9399999999999888</v>
      </c>
      <c r="K78" s="366">
        <v>5.4999999999999716</v>
      </c>
    </row>
    <row r="79" spans="1:11" x14ac:dyDescent="0.3">
      <c r="A79" s="363">
        <v>46198</v>
      </c>
      <c r="B79" s="364" t="s">
        <v>15</v>
      </c>
      <c r="C79" s="365" t="s">
        <v>119</v>
      </c>
      <c r="D79" s="365" t="s">
        <v>122</v>
      </c>
      <c r="E79" s="364">
        <v>4.0144000000000002</v>
      </c>
      <c r="F79" s="364">
        <v>2.4800000000000377</v>
      </c>
      <c r="G79" s="364">
        <v>38.440000000000026</v>
      </c>
      <c r="H79" s="364">
        <v>1.537600000000001</v>
      </c>
      <c r="I79" s="364">
        <v>-3.7399999999999878</v>
      </c>
      <c r="J79" s="364">
        <v>-5.9899999999999842</v>
      </c>
      <c r="K79" s="366">
        <v>1.9400000000000084</v>
      </c>
    </row>
    <row r="80" spans="1:11" x14ac:dyDescent="0.3">
      <c r="A80" s="363">
        <v>46198</v>
      </c>
      <c r="B80" s="364" t="s">
        <v>16</v>
      </c>
      <c r="C80" s="365" t="s">
        <v>122</v>
      </c>
      <c r="D80" s="365" t="s">
        <v>126</v>
      </c>
      <c r="E80" s="364">
        <v>4</v>
      </c>
      <c r="F80" s="364">
        <v>-1.440000000000019</v>
      </c>
      <c r="G80" s="364">
        <v>37.000000000000014</v>
      </c>
      <c r="H80" s="364">
        <v>1.4800000000000006</v>
      </c>
      <c r="I80" s="364">
        <v>-4.3999999999999595</v>
      </c>
      <c r="J80" s="364">
        <v>-6.7999999999999616</v>
      </c>
      <c r="K80" s="366">
        <v>-2.2000000000000242</v>
      </c>
    </row>
    <row r="81" spans="1:11" x14ac:dyDescent="0.3">
      <c r="A81" s="363">
        <v>46198</v>
      </c>
      <c r="B81" s="364" t="s">
        <v>18</v>
      </c>
      <c r="C81" s="365" t="s">
        <v>126</v>
      </c>
      <c r="D81" s="365" t="s">
        <v>145</v>
      </c>
      <c r="E81" s="364">
        <v>3.9830000000000001</v>
      </c>
      <c r="F81" s="364">
        <v>-1.6999999999999904</v>
      </c>
      <c r="G81" s="364">
        <v>35.300000000000018</v>
      </c>
      <c r="H81" s="364">
        <v>1.4120000000000008</v>
      </c>
      <c r="I81" s="364">
        <v>-4.879999999999951</v>
      </c>
      <c r="J81" s="364">
        <v>-6.0999999999999499</v>
      </c>
      <c r="K81" s="366">
        <v>6.4999999999999947</v>
      </c>
    </row>
    <row r="82" spans="1:11" x14ac:dyDescent="0.3">
      <c r="A82" s="363">
        <v>46198</v>
      </c>
      <c r="B82" s="364" t="s">
        <v>19</v>
      </c>
      <c r="C82" s="365" t="s">
        <v>145</v>
      </c>
      <c r="D82" s="365" t="s">
        <v>150</v>
      </c>
      <c r="E82" s="364">
        <v>3.9449999999999998</v>
      </c>
      <c r="F82" s="364">
        <v>-3.8000000000000256</v>
      </c>
      <c r="G82" s="364">
        <v>31.499999999999993</v>
      </c>
      <c r="H82" s="364">
        <v>1.2599999999999998</v>
      </c>
      <c r="I82" s="364">
        <v>-5.300000000000038</v>
      </c>
      <c r="J82" s="364">
        <v>-6.4999999999999947</v>
      </c>
      <c r="K82" s="366" t="s">
        <v>41</v>
      </c>
    </row>
    <row r="83" spans="1:11" x14ac:dyDescent="0.3">
      <c r="A83" s="363">
        <v>46198</v>
      </c>
      <c r="B83" s="364"/>
      <c r="C83" s="365"/>
      <c r="D83" s="365"/>
      <c r="E83" s="364"/>
      <c r="F83" s="364"/>
      <c r="G83" s="364"/>
      <c r="H83" s="364"/>
      <c r="I83" s="364">
        <v>0</v>
      </c>
      <c r="J83" s="364">
        <v>0</v>
      </c>
      <c r="K83" s="366">
        <v>0</v>
      </c>
    </row>
    <row r="84" spans="1:11" x14ac:dyDescent="0.3">
      <c r="A84" s="363">
        <v>46198</v>
      </c>
      <c r="B84" s="364"/>
      <c r="C84" s="365"/>
      <c r="D84" s="365"/>
      <c r="E84" s="364"/>
      <c r="F84" s="364"/>
      <c r="G84" s="364"/>
      <c r="H84" s="364"/>
      <c r="I84" s="364">
        <v>0</v>
      </c>
      <c r="J84" s="364">
        <v>0</v>
      </c>
      <c r="K84" s="366">
        <v>0</v>
      </c>
    </row>
    <row r="85" spans="1:11" x14ac:dyDescent="0.3">
      <c r="A85" s="363">
        <v>46198</v>
      </c>
      <c r="B85" s="364"/>
      <c r="C85" s="365"/>
      <c r="D85" s="365"/>
      <c r="E85" s="364"/>
      <c r="F85" s="364"/>
      <c r="G85" s="364"/>
      <c r="H85" s="364"/>
      <c r="I85" s="364">
        <v>0</v>
      </c>
      <c r="J85" s="364">
        <v>0</v>
      </c>
      <c r="K85" s="366">
        <v>0</v>
      </c>
    </row>
    <row r="86" spans="1:11" x14ac:dyDescent="0.3">
      <c r="A86" s="363">
        <v>46199</v>
      </c>
      <c r="B86" s="364" t="s">
        <v>19</v>
      </c>
      <c r="C86" s="365" t="s">
        <v>94</v>
      </c>
      <c r="D86" s="365" t="s">
        <v>97</v>
      </c>
      <c r="E86" s="364">
        <v>3.71</v>
      </c>
      <c r="F86" s="364">
        <v>8.0000000000000071</v>
      </c>
      <c r="G86" s="364">
        <v>8.0000000000000071</v>
      </c>
      <c r="H86" s="364">
        <v>0.32000000000000028</v>
      </c>
      <c r="I86" s="364">
        <v>-0.80000000000000071</v>
      </c>
      <c r="J86" s="364">
        <v>-3.2900000000000151</v>
      </c>
      <c r="K86" s="366">
        <v>3.8100000000000023</v>
      </c>
    </row>
    <row r="87" spans="1:11" x14ac:dyDescent="0.3">
      <c r="A87" s="363">
        <v>46199</v>
      </c>
      <c r="B87" s="364" t="s">
        <v>10</v>
      </c>
      <c r="C87" s="365" t="s">
        <v>97</v>
      </c>
      <c r="D87" s="365" t="s">
        <v>107</v>
      </c>
      <c r="E87" s="364">
        <v>3.8159000000000001</v>
      </c>
      <c r="F87" s="364">
        <v>10.590000000000011</v>
      </c>
      <c r="G87" s="364">
        <v>18.590000000000018</v>
      </c>
      <c r="H87" s="364">
        <v>0.7436000000000007</v>
      </c>
      <c r="I87" s="364">
        <v>-1.18999999999998</v>
      </c>
      <c r="J87" s="364">
        <v>-6.4200000000000035</v>
      </c>
      <c r="K87" s="366">
        <v>9.0899999999999981</v>
      </c>
    </row>
    <row r="88" spans="1:11" x14ac:dyDescent="0.3">
      <c r="A88" s="363">
        <v>46199</v>
      </c>
      <c r="B88" s="364" t="s">
        <v>11</v>
      </c>
      <c r="C88" s="365" t="s">
        <v>107</v>
      </c>
      <c r="D88" s="365" t="s">
        <v>111</v>
      </c>
      <c r="E88" s="364">
        <v>3.8637999999999999</v>
      </c>
      <c r="F88" s="364">
        <v>4.7899999999999832</v>
      </c>
      <c r="G88" s="364">
        <v>23.380000000000003</v>
      </c>
      <c r="H88" s="364">
        <v>0.93520000000000014</v>
      </c>
      <c r="I88" s="364">
        <v>-2.0399999999999974</v>
      </c>
      <c r="J88" s="364">
        <v>-8.7200000000000166</v>
      </c>
      <c r="K88" s="366">
        <v>10.29</v>
      </c>
    </row>
    <row r="89" spans="1:11" x14ac:dyDescent="0.3">
      <c r="A89" s="363">
        <v>46199</v>
      </c>
      <c r="B89" s="364" t="s">
        <v>13</v>
      </c>
      <c r="C89" s="365" t="s">
        <v>111</v>
      </c>
      <c r="D89" s="365" t="s">
        <v>118</v>
      </c>
      <c r="E89" s="364">
        <v>3.9371</v>
      </c>
      <c r="F89" s="364">
        <v>7.3300000000000143</v>
      </c>
      <c r="G89" s="364">
        <v>30.710000000000015</v>
      </c>
      <c r="H89" s="364">
        <v>1.2284000000000006</v>
      </c>
      <c r="I89" s="364">
        <v>-3.1400000000000095</v>
      </c>
      <c r="J89" s="364">
        <v>-11.690000000000023</v>
      </c>
      <c r="K89" s="366">
        <v>10.950000000000015</v>
      </c>
    </row>
    <row r="90" spans="1:11" x14ac:dyDescent="0.3">
      <c r="A90" s="363">
        <v>46199</v>
      </c>
      <c r="B90" s="364" t="s">
        <v>28</v>
      </c>
      <c r="C90" s="365" t="s">
        <v>118</v>
      </c>
      <c r="D90" s="365" t="s">
        <v>119</v>
      </c>
      <c r="E90" s="364">
        <v>3.9504999999999999</v>
      </c>
      <c r="F90" s="364">
        <v>1.3399999999999856</v>
      </c>
      <c r="G90" s="364">
        <v>32.049999999999997</v>
      </c>
      <c r="H90" s="364">
        <v>1.2819999999999998</v>
      </c>
      <c r="I90" s="364">
        <v>-3.9099999999999913</v>
      </c>
      <c r="J90" s="364">
        <v>-15.040000000000031</v>
      </c>
      <c r="K90" s="366">
        <v>8.4799999999999986</v>
      </c>
    </row>
    <row r="91" spans="1:11" x14ac:dyDescent="0.3">
      <c r="A91" s="363">
        <v>46199</v>
      </c>
      <c r="B91" s="364" t="s">
        <v>15</v>
      </c>
      <c r="C91" s="365" t="s">
        <v>119</v>
      </c>
      <c r="D91" s="365" t="s">
        <v>122</v>
      </c>
      <c r="E91" s="364">
        <v>3.9712999999999998</v>
      </c>
      <c r="F91" s="364">
        <v>2.079999999999993</v>
      </c>
      <c r="G91" s="364">
        <v>34.129999999999995</v>
      </c>
      <c r="H91" s="364">
        <v>1.3651999999999997</v>
      </c>
      <c r="I91" s="364">
        <v>-4.310000000000036</v>
      </c>
      <c r="J91" s="364">
        <v>-16.71</v>
      </c>
      <c r="K91" s="366">
        <v>4.6300000000000008</v>
      </c>
    </row>
    <row r="92" spans="1:11" x14ac:dyDescent="0.3">
      <c r="A92" s="363">
        <v>46199</v>
      </c>
      <c r="B92" s="364" t="s">
        <v>16</v>
      </c>
      <c r="C92" s="365" t="s">
        <v>122</v>
      </c>
      <c r="D92" s="365" t="s">
        <v>126</v>
      </c>
      <c r="E92" s="364">
        <v>3.96</v>
      </c>
      <c r="F92" s="364">
        <v>-1.1299999999999866</v>
      </c>
      <c r="G92" s="364">
        <v>33.000000000000007</v>
      </c>
      <c r="H92" s="364">
        <v>1.3200000000000003</v>
      </c>
      <c r="I92" s="364">
        <v>-4.0000000000000036</v>
      </c>
      <c r="J92" s="364">
        <v>-17.820000000000036</v>
      </c>
      <c r="K92" s="366">
        <v>0.99999999999997868</v>
      </c>
    </row>
    <row r="93" spans="1:11" x14ac:dyDescent="0.3">
      <c r="A93" s="363">
        <v>46199</v>
      </c>
      <c r="B93" s="364" t="s">
        <v>18</v>
      </c>
      <c r="C93" s="365" t="s">
        <v>126</v>
      </c>
      <c r="D93" s="365" t="s">
        <v>145</v>
      </c>
      <c r="E93" s="364">
        <v>3.9398</v>
      </c>
      <c r="F93" s="364">
        <v>-2.0199999999999996</v>
      </c>
      <c r="G93" s="364">
        <v>30.980000000000008</v>
      </c>
      <c r="H93" s="364">
        <v>1.2392000000000003</v>
      </c>
      <c r="I93" s="364">
        <v>-4.3200000000000127</v>
      </c>
      <c r="J93" s="364">
        <v>-17.509999999999959</v>
      </c>
      <c r="K93" s="366">
        <v>-1.5900000000000247</v>
      </c>
    </row>
    <row r="94" spans="1:11" x14ac:dyDescent="0.3">
      <c r="A94" s="363">
        <v>46199</v>
      </c>
      <c r="B94" s="364" t="s">
        <v>19</v>
      </c>
      <c r="C94" s="365" t="s">
        <v>145</v>
      </c>
      <c r="D94" s="365" t="s">
        <v>150</v>
      </c>
      <c r="E94" s="364">
        <v>3.9039999999999999</v>
      </c>
      <c r="F94" s="364">
        <v>-3.5800000000000054</v>
      </c>
      <c r="G94" s="364">
        <v>27.400000000000002</v>
      </c>
      <c r="H94" s="364">
        <v>1.0960000000000001</v>
      </c>
      <c r="I94" s="364">
        <v>-4.0999999999999925</v>
      </c>
      <c r="J94" s="364">
        <v>-17.700000000000049</v>
      </c>
      <c r="K94" s="366" t="s">
        <v>41</v>
      </c>
    </row>
    <row r="95" spans="1:11" x14ac:dyDescent="0.3">
      <c r="A95" s="363">
        <v>46199</v>
      </c>
      <c r="B95" s="364"/>
      <c r="C95" s="365"/>
      <c r="D95" s="365"/>
      <c r="E95" s="364"/>
      <c r="F95" s="364"/>
      <c r="G95" s="364"/>
      <c r="H95" s="364"/>
      <c r="I95" s="364">
        <v>0</v>
      </c>
      <c r="J95" s="364">
        <v>0</v>
      </c>
      <c r="K95" s="366">
        <v>0</v>
      </c>
    </row>
    <row r="96" spans="1:11" x14ac:dyDescent="0.3">
      <c r="A96" s="363">
        <v>46199</v>
      </c>
      <c r="B96" s="364"/>
      <c r="C96" s="365"/>
      <c r="D96" s="365"/>
      <c r="E96" s="364"/>
      <c r="F96" s="364"/>
      <c r="G96" s="364"/>
      <c r="H96" s="364"/>
      <c r="I96" s="364">
        <v>0</v>
      </c>
      <c r="J96" s="364">
        <v>0</v>
      </c>
      <c r="K96" s="366">
        <v>0</v>
      </c>
    </row>
    <row r="97" spans="1:11" x14ac:dyDescent="0.3">
      <c r="A97" s="367">
        <v>46199</v>
      </c>
      <c r="B97" s="368"/>
      <c r="C97" s="369"/>
      <c r="D97" s="369"/>
      <c r="E97" s="368"/>
      <c r="F97" s="368"/>
      <c r="G97" s="368"/>
      <c r="H97" s="368"/>
      <c r="I97" s="368">
        <v>0</v>
      </c>
      <c r="J97" s="368">
        <v>0</v>
      </c>
      <c r="K97" s="370">
        <v>0</v>
      </c>
    </row>
    <row r="98" spans="1:11" x14ac:dyDescent="0.3">
      <c r="A98" s="13">
        <v>46202</v>
      </c>
      <c r="B98" s="14" t="s">
        <v>19</v>
      </c>
      <c r="C98" s="123" t="s">
        <v>94</v>
      </c>
      <c r="D98" s="123" t="s">
        <v>97</v>
      </c>
      <c r="E98" s="14">
        <v>3.71</v>
      </c>
      <c r="F98" s="14">
        <v>8.0000000000000071</v>
      </c>
      <c r="G98" s="14">
        <v>8.0000000000000071</v>
      </c>
      <c r="H98" s="14">
        <v>0.32000000000000028</v>
      </c>
      <c r="I98" s="14">
        <v>0</v>
      </c>
      <c r="J98" s="14">
        <v>-2.7000000000000135</v>
      </c>
      <c r="K98" s="15">
        <v>6.0699999999999754</v>
      </c>
    </row>
    <row r="99" spans="1:11" x14ac:dyDescent="0.3">
      <c r="A99" s="13">
        <v>46202</v>
      </c>
      <c r="B99" s="14" t="s">
        <v>10</v>
      </c>
      <c r="C99" s="123" t="s">
        <v>97</v>
      </c>
      <c r="D99" s="123" t="s">
        <v>107</v>
      </c>
      <c r="E99" s="14">
        <v>3.8208000000000002</v>
      </c>
      <c r="F99" s="14">
        <v>11.080000000000023</v>
      </c>
      <c r="G99" s="14">
        <v>19.08000000000003</v>
      </c>
      <c r="H99" s="14">
        <v>0.76320000000000121</v>
      </c>
      <c r="I99" s="14">
        <v>0.49000000000001265</v>
      </c>
      <c r="J99" s="14">
        <v>-6.1199999999999921</v>
      </c>
      <c r="K99" s="15">
        <v>13.380000000000036</v>
      </c>
    </row>
    <row r="100" spans="1:11" x14ac:dyDescent="0.3">
      <c r="A100" s="13">
        <v>46202</v>
      </c>
      <c r="B100" s="14" t="s">
        <v>11</v>
      </c>
      <c r="C100" s="123" t="s">
        <v>107</v>
      </c>
      <c r="D100" s="123" t="s">
        <v>111</v>
      </c>
      <c r="E100" s="14">
        <v>3.8769999999999998</v>
      </c>
      <c r="F100" s="14">
        <v>5.6199999999999584</v>
      </c>
      <c r="G100" s="14">
        <v>24.699999999999989</v>
      </c>
      <c r="H100" s="14">
        <v>0.98799999999999955</v>
      </c>
      <c r="I100" s="14">
        <v>1.3199999999999878</v>
      </c>
      <c r="J100" s="14">
        <v>-8.3000000000000185</v>
      </c>
      <c r="K100" s="15">
        <v>16.969999999999974</v>
      </c>
    </row>
    <row r="101" spans="1:11" x14ac:dyDescent="0.3">
      <c r="A101" s="13">
        <v>46202</v>
      </c>
      <c r="B101" s="14" t="s">
        <v>13</v>
      </c>
      <c r="C101" s="123" t="s">
        <v>111</v>
      </c>
      <c r="D101" s="123" t="s">
        <v>118</v>
      </c>
      <c r="E101" s="14">
        <v>3.9647999999999999</v>
      </c>
      <c r="F101" s="14">
        <v>8.78000000000001</v>
      </c>
      <c r="G101" s="14">
        <v>33.479999999999997</v>
      </c>
      <c r="H101" s="14">
        <v>1.3391999999999999</v>
      </c>
      <c r="I101" s="14">
        <v>2.7699999999999836</v>
      </c>
      <c r="J101" s="14">
        <v>-9.7200000000000397</v>
      </c>
      <c r="K101" s="15">
        <v>20.009999999999994</v>
      </c>
    </row>
    <row r="102" spans="1:11" x14ac:dyDescent="0.3">
      <c r="A102" s="13">
        <v>46202</v>
      </c>
      <c r="B102" s="14" t="s">
        <v>28</v>
      </c>
      <c r="C102" s="123" t="s">
        <v>118</v>
      </c>
      <c r="D102" s="123" t="s">
        <v>119</v>
      </c>
      <c r="E102" s="14">
        <v>3.9849000000000001</v>
      </c>
      <c r="F102" s="14">
        <v>2.0100000000000229</v>
      </c>
      <c r="G102" s="14">
        <v>35.490000000000023</v>
      </c>
      <c r="H102" s="14">
        <v>1.4196000000000009</v>
      </c>
      <c r="I102" s="14">
        <v>3.4400000000000208</v>
      </c>
      <c r="J102" s="14">
        <v>-12.810000000000032</v>
      </c>
      <c r="K102" s="15">
        <v>19.710000000000029</v>
      </c>
    </row>
    <row r="103" spans="1:11" x14ac:dyDescent="0.3">
      <c r="A103" s="13">
        <v>46202</v>
      </c>
      <c r="B103" s="14" t="s">
        <v>15</v>
      </c>
      <c r="C103" s="123" t="s">
        <v>119</v>
      </c>
      <c r="D103" s="123" t="s">
        <v>122</v>
      </c>
      <c r="E103" s="14">
        <v>4.0153999999999996</v>
      </c>
      <c r="F103" s="14">
        <v>3.0499999999999527</v>
      </c>
      <c r="G103" s="14">
        <v>38.539999999999978</v>
      </c>
      <c r="H103" s="14">
        <v>1.5415999999999992</v>
      </c>
      <c r="I103" s="14">
        <v>4.4099999999999806</v>
      </c>
      <c r="J103" s="14">
        <v>-14.060000000000006</v>
      </c>
      <c r="K103" s="15">
        <v>18.739999999999981</v>
      </c>
    </row>
    <row r="104" spans="1:11" x14ac:dyDescent="0.3">
      <c r="A104" s="13">
        <v>46202</v>
      </c>
      <c r="B104" s="14" t="s">
        <v>16</v>
      </c>
      <c r="C104" s="123" t="s">
        <v>122</v>
      </c>
      <c r="D104" s="123" t="s">
        <v>126</v>
      </c>
      <c r="E104" s="14">
        <v>3.9990000000000001</v>
      </c>
      <c r="F104" s="14">
        <v>-1.6399999999999526</v>
      </c>
      <c r="G104" s="14">
        <v>36.90000000000002</v>
      </c>
      <c r="H104" s="14">
        <v>1.4760000000000009</v>
      </c>
      <c r="I104" s="14">
        <v>3.9000000000000146</v>
      </c>
      <c r="J104" s="14">
        <v>-15.300000000000002</v>
      </c>
      <c r="K104" s="15">
        <v>15.100000000000025</v>
      </c>
    </row>
    <row r="105" spans="1:11" x14ac:dyDescent="0.3">
      <c r="A105" s="13">
        <v>46202</v>
      </c>
      <c r="B105" s="14" t="s">
        <v>18</v>
      </c>
      <c r="C105" s="123" t="s">
        <v>126</v>
      </c>
      <c r="D105" s="123" t="s">
        <v>145</v>
      </c>
      <c r="E105" s="14">
        <v>3.9813000000000001</v>
      </c>
      <c r="F105" s="14">
        <v>-1.7700000000000049</v>
      </c>
      <c r="G105" s="14">
        <v>35.130000000000017</v>
      </c>
      <c r="H105" s="14">
        <v>1.4052000000000007</v>
      </c>
      <c r="I105" s="14">
        <v>4.1500000000000092</v>
      </c>
      <c r="J105" s="14">
        <v>-15.969999999999995</v>
      </c>
      <c r="K105" s="15">
        <v>13.160000000000016</v>
      </c>
    </row>
    <row r="106" spans="1:11" x14ac:dyDescent="0.3">
      <c r="A106" s="13">
        <v>46202</v>
      </c>
      <c r="B106" s="14" t="s">
        <v>19</v>
      </c>
      <c r="C106" s="123" t="s">
        <v>145</v>
      </c>
      <c r="D106" s="123" t="s">
        <v>150</v>
      </c>
      <c r="E106" s="14">
        <v>3.9460000000000002</v>
      </c>
      <c r="F106" s="14">
        <v>-3.5299999999999887</v>
      </c>
      <c r="G106" s="14">
        <v>31.60000000000003</v>
      </c>
      <c r="H106" s="14">
        <v>1.2640000000000011</v>
      </c>
      <c r="I106" s="14">
        <v>4.2000000000000259</v>
      </c>
      <c r="J106" s="14">
        <v>-14.800000000000013</v>
      </c>
      <c r="K106" s="15" t="s">
        <v>41</v>
      </c>
    </row>
    <row r="107" spans="1:11" x14ac:dyDescent="0.3">
      <c r="A107" s="13">
        <v>46202</v>
      </c>
      <c r="B107" s="14"/>
      <c r="C107" s="123"/>
      <c r="D107" s="123"/>
      <c r="E107" s="14"/>
      <c r="F107" s="14"/>
      <c r="G107" s="14"/>
      <c r="H107" s="14"/>
      <c r="I107" s="14">
        <v>0</v>
      </c>
      <c r="J107" s="14">
        <v>0</v>
      </c>
      <c r="K107" s="15">
        <v>0</v>
      </c>
    </row>
    <row r="108" spans="1:11" x14ac:dyDescent="0.3">
      <c r="A108" s="13">
        <v>46202</v>
      </c>
      <c r="B108" s="14"/>
      <c r="C108" s="123"/>
      <c r="D108" s="123"/>
      <c r="E108" s="14"/>
      <c r="F108" s="14"/>
      <c r="G108" s="14"/>
      <c r="H108" s="14"/>
      <c r="I108" s="14">
        <v>0</v>
      </c>
      <c r="J108" s="14">
        <v>0</v>
      </c>
      <c r="K108" s="15">
        <v>0</v>
      </c>
    </row>
    <row r="109" spans="1:11" x14ac:dyDescent="0.3">
      <c r="A109" s="13">
        <v>46202</v>
      </c>
      <c r="B109" s="14"/>
      <c r="C109" s="123"/>
      <c r="D109" s="123"/>
      <c r="E109" s="14"/>
      <c r="F109" s="14"/>
      <c r="G109" s="14"/>
      <c r="H109" s="14"/>
      <c r="I109" s="14">
        <v>0</v>
      </c>
      <c r="J109" s="14">
        <v>0</v>
      </c>
      <c r="K109" s="15">
        <v>0</v>
      </c>
    </row>
    <row r="110" spans="1:11" x14ac:dyDescent="0.3">
      <c r="A110" s="13">
        <v>46203</v>
      </c>
      <c r="B110" s="14" t="s">
        <v>19</v>
      </c>
      <c r="C110" s="123" t="s">
        <v>94</v>
      </c>
      <c r="D110" s="123" t="s">
        <v>97</v>
      </c>
      <c r="E110" s="14">
        <v>3.7198000000000002</v>
      </c>
      <c r="F110" s="14">
        <v>8.9800000000000324</v>
      </c>
      <c r="G110" s="14">
        <v>8.9800000000000324</v>
      </c>
      <c r="H110" s="14">
        <v>0.3592000000000013</v>
      </c>
      <c r="I110" s="14">
        <v>0.9800000000000253</v>
      </c>
      <c r="J110" s="14">
        <v>-0.81999999999999851</v>
      </c>
      <c r="K110" s="15">
        <v>6.1000000000000387</v>
      </c>
    </row>
    <row r="111" spans="1:11" x14ac:dyDescent="0.3">
      <c r="A111" s="13">
        <v>46203</v>
      </c>
      <c r="B111" s="14" t="s">
        <v>10</v>
      </c>
      <c r="C111" s="123" t="s">
        <v>97</v>
      </c>
      <c r="D111" s="123" t="s">
        <v>107</v>
      </c>
      <c r="E111" s="14">
        <v>3.8426</v>
      </c>
      <c r="F111" s="14">
        <v>12.27999999999998</v>
      </c>
      <c r="G111" s="14">
        <v>21.260000000000012</v>
      </c>
      <c r="H111" s="14">
        <v>0.85040000000000049</v>
      </c>
      <c r="I111" s="14">
        <v>2.179999999999982</v>
      </c>
      <c r="J111" s="14">
        <v>-1.2399999999999967</v>
      </c>
      <c r="K111" s="15">
        <v>14.060000000000006</v>
      </c>
    </row>
    <row r="112" spans="1:11" x14ac:dyDescent="0.3">
      <c r="A112" s="13">
        <v>46203</v>
      </c>
      <c r="B112" s="14" t="s">
        <v>11</v>
      </c>
      <c r="C112" s="123" t="s">
        <v>107</v>
      </c>
      <c r="D112" s="123" t="s">
        <v>111</v>
      </c>
      <c r="E112" s="14">
        <v>3.8969999999999998</v>
      </c>
      <c r="F112" s="14">
        <v>5.4399999999999782</v>
      </c>
      <c r="G112" s="14">
        <v>26.699999999999989</v>
      </c>
      <c r="H112" s="14">
        <v>1.0679999999999996</v>
      </c>
      <c r="I112" s="14">
        <v>2.0000000000000018</v>
      </c>
      <c r="J112" s="14">
        <v>-2.4900000000000144</v>
      </c>
      <c r="K112" s="15">
        <v>17.079999999999984</v>
      </c>
    </row>
    <row r="113" spans="1:11" x14ac:dyDescent="0.3">
      <c r="A113" s="13">
        <v>46203</v>
      </c>
      <c r="B113" s="14" t="s">
        <v>13</v>
      </c>
      <c r="C113" s="123" t="s">
        <v>111</v>
      </c>
      <c r="D113" s="123" t="s">
        <v>118</v>
      </c>
      <c r="E113" s="14">
        <v>3.9859</v>
      </c>
      <c r="F113" s="14">
        <v>8.8900000000000201</v>
      </c>
      <c r="G113" s="14">
        <v>35.590000000000011</v>
      </c>
      <c r="H113" s="14">
        <v>1.4236000000000004</v>
      </c>
      <c r="I113" s="14">
        <v>2.1100000000000119</v>
      </c>
      <c r="J113" s="14">
        <v>-3.110000000000035</v>
      </c>
      <c r="K113" s="15">
        <v>19.479999999999986</v>
      </c>
    </row>
    <row r="114" spans="1:11" x14ac:dyDescent="0.3">
      <c r="A114" s="13">
        <v>46203</v>
      </c>
      <c r="B114" s="14" t="s">
        <v>28</v>
      </c>
      <c r="C114" s="123" t="s">
        <v>118</v>
      </c>
      <c r="D114" s="123" t="s">
        <v>119</v>
      </c>
      <c r="E114" s="14">
        <v>4.0107999999999997</v>
      </c>
      <c r="F114" s="14">
        <v>2.48999999999997</v>
      </c>
      <c r="G114" s="14">
        <v>38.079999999999984</v>
      </c>
      <c r="H114" s="14">
        <v>1.5231999999999994</v>
      </c>
      <c r="I114" s="14">
        <v>2.589999999999959</v>
      </c>
      <c r="J114" s="14">
        <v>-4.5600000000000307</v>
      </c>
      <c r="K114" s="15">
        <v>18.919999999999959</v>
      </c>
    </row>
    <row r="115" spans="1:11" x14ac:dyDescent="0.3">
      <c r="A115" s="13">
        <v>46203</v>
      </c>
      <c r="B115" s="14" t="s">
        <v>15</v>
      </c>
      <c r="C115" s="123" t="s">
        <v>119</v>
      </c>
      <c r="D115" s="123" t="s">
        <v>122</v>
      </c>
      <c r="E115" s="14">
        <v>4.0458999999999996</v>
      </c>
      <c r="F115" s="14">
        <v>3.5099999999999909</v>
      </c>
      <c r="G115" s="14">
        <v>41.589999999999975</v>
      </c>
      <c r="H115" s="14">
        <v>1.6635999999999991</v>
      </c>
      <c r="I115" s="14">
        <v>3.0499999999999972</v>
      </c>
      <c r="J115" s="14">
        <v>-4.9100000000000144</v>
      </c>
      <c r="K115" s="15">
        <v>17.58999999999995</v>
      </c>
    </row>
    <row r="116" spans="1:11" x14ac:dyDescent="0.3">
      <c r="A116" s="13">
        <v>46203</v>
      </c>
      <c r="B116" s="14" t="s">
        <v>16</v>
      </c>
      <c r="C116" s="123" t="s">
        <v>122</v>
      </c>
      <c r="D116" s="123" t="s">
        <v>126</v>
      </c>
      <c r="E116" s="14">
        <v>4.0369999999999999</v>
      </c>
      <c r="F116" s="14">
        <v>-0.88999999999996859</v>
      </c>
      <c r="G116" s="14">
        <v>40.700000000000003</v>
      </c>
      <c r="H116" s="14">
        <v>1.6280000000000001</v>
      </c>
      <c r="I116" s="14">
        <v>3.7999999999999812</v>
      </c>
      <c r="J116" s="14">
        <v>-6.7000000000000171</v>
      </c>
      <c r="K116" s="15">
        <v>13.759999999999994</v>
      </c>
    </row>
    <row r="117" spans="1:11" x14ac:dyDescent="0.3">
      <c r="A117" s="13">
        <v>46203</v>
      </c>
      <c r="B117" s="14" t="s">
        <v>18</v>
      </c>
      <c r="C117" s="123" t="s">
        <v>126</v>
      </c>
      <c r="D117" s="123" t="s">
        <v>145</v>
      </c>
      <c r="E117" s="14">
        <v>4.0164999999999997</v>
      </c>
      <c r="F117" s="14">
        <v>-2.0500000000000185</v>
      </c>
      <c r="G117" s="14">
        <v>38.649999999999984</v>
      </c>
      <c r="H117" s="14">
        <v>1.5459999999999994</v>
      </c>
      <c r="I117" s="14">
        <v>3.5199999999999676</v>
      </c>
      <c r="J117" s="14">
        <v>-7.6800000000000423</v>
      </c>
      <c r="K117" s="15">
        <v>11.619999999999964</v>
      </c>
    </row>
    <row r="118" spans="1:11" x14ac:dyDescent="0.3">
      <c r="A118" s="13">
        <v>46203</v>
      </c>
      <c r="B118" s="14" t="s">
        <v>19</v>
      </c>
      <c r="C118" s="123" t="s">
        <v>145</v>
      </c>
      <c r="D118" s="123" t="s">
        <v>150</v>
      </c>
      <c r="E118" s="14">
        <v>3.9790000000000001</v>
      </c>
      <c r="F118" s="14">
        <v>-3.7499999999999645</v>
      </c>
      <c r="G118" s="14">
        <v>34.90000000000002</v>
      </c>
      <c r="H118" s="14">
        <v>1.3960000000000008</v>
      </c>
      <c r="I118" s="14">
        <v>3.2999999999999918</v>
      </c>
      <c r="J118" s="14">
        <v>-8.9800000000000324</v>
      </c>
      <c r="K118" s="15" t="s">
        <v>41</v>
      </c>
    </row>
    <row r="119" spans="1:11" x14ac:dyDescent="0.3">
      <c r="A119" s="13">
        <v>46203</v>
      </c>
      <c r="B119" s="14"/>
      <c r="C119" s="123"/>
      <c r="D119" s="123"/>
      <c r="E119" s="14"/>
      <c r="F119" s="14"/>
      <c r="G119" s="14"/>
      <c r="H119" s="14"/>
      <c r="I119" s="14">
        <v>0</v>
      </c>
      <c r="J119" s="14">
        <v>0</v>
      </c>
      <c r="K119" s="15">
        <v>0</v>
      </c>
    </row>
    <row r="120" spans="1:11" x14ac:dyDescent="0.3">
      <c r="A120" s="13">
        <v>46203</v>
      </c>
      <c r="B120" s="14"/>
      <c r="C120" s="123"/>
      <c r="D120" s="123"/>
      <c r="E120" s="14"/>
      <c r="F120" s="14"/>
      <c r="G120" s="14"/>
      <c r="H120" s="14"/>
      <c r="I120" s="14">
        <v>0</v>
      </c>
      <c r="J120" s="14">
        <v>0</v>
      </c>
      <c r="K120" s="15">
        <v>0</v>
      </c>
    </row>
    <row r="121" spans="1:11" x14ac:dyDescent="0.3">
      <c r="A121" s="13">
        <v>46203</v>
      </c>
      <c r="B121" s="14"/>
      <c r="C121" s="123"/>
      <c r="D121" s="123"/>
      <c r="E121" s="14"/>
      <c r="F121" s="14"/>
      <c r="G121" s="14"/>
      <c r="H121" s="14"/>
      <c r="I121" s="14">
        <v>0</v>
      </c>
      <c r="J121" s="14">
        <v>0</v>
      </c>
      <c r="K121" s="15">
        <v>0</v>
      </c>
    </row>
    <row r="122" spans="1:11" x14ac:dyDescent="0.3">
      <c r="A122" s="13">
        <v>46204</v>
      </c>
      <c r="B122" s="14" t="s">
        <v>19</v>
      </c>
      <c r="C122" s="123" t="s">
        <v>94</v>
      </c>
      <c r="D122" s="123" t="s">
        <v>97</v>
      </c>
      <c r="E122" s="14">
        <v>3.7084999999999999</v>
      </c>
      <c r="F122" s="14">
        <v>7.8500000000000014</v>
      </c>
      <c r="G122" s="14">
        <v>7.8500000000000014</v>
      </c>
      <c r="H122" s="14">
        <v>0.31400000000000006</v>
      </c>
      <c r="I122" s="14">
        <v>-1.130000000000031</v>
      </c>
      <c r="J122" s="14">
        <v>-1.0800000000000143</v>
      </c>
      <c r="K122" s="15">
        <v>5.0300000000000011</v>
      </c>
    </row>
    <row r="123" spans="1:11" x14ac:dyDescent="0.3">
      <c r="A123" s="13">
        <v>46204</v>
      </c>
      <c r="B123" s="14" t="s">
        <v>10</v>
      </c>
      <c r="C123" s="123" t="s">
        <v>97</v>
      </c>
      <c r="D123" s="123" t="s">
        <v>107</v>
      </c>
      <c r="E123" s="14">
        <v>3.8294999999999999</v>
      </c>
      <c r="F123" s="14">
        <v>12.1</v>
      </c>
      <c r="G123" s="14">
        <v>19.950000000000003</v>
      </c>
      <c r="H123" s="14">
        <v>0.79800000000000015</v>
      </c>
      <c r="I123" s="14">
        <v>-1.3100000000000112</v>
      </c>
      <c r="J123" s="14">
        <v>-1.6000000000000014</v>
      </c>
      <c r="K123" s="15">
        <v>12.21000000000001</v>
      </c>
    </row>
    <row r="124" spans="1:11" x14ac:dyDescent="0.3">
      <c r="A124" s="13">
        <v>46204</v>
      </c>
      <c r="B124" s="14" t="s">
        <v>11</v>
      </c>
      <c r="C124" s="123" t="s">
        <v>107</v>
      </c>
      <c r="D124" s="123" t="s">
        <v>111</v>
      </c>
      <c r="E124" s="14">
        <v>3.8898999999999999</v>
      </c>
      <c r="F124" s="14">
        <v>6.0400000000000009</v>
      </c>
      <c r="G124" s="14">
        <v>25.990000000000002</v>
      </c>
      <c r="H124" s="14">
        <v>1.0396000000000001</v>
      </c>
      <c r="I124" s="14">
        <v>-0.70999999999998842</v>
      </c>
      <c r="J124" s="14">
        <v>-1.6900000000000137</v>
      </c>
      <c r="K124" s="15">
        <v>14.259999999999984</v>
      </c>
    </row>
    <row r="125" spans="1:11" x14ac:dyDescent="0.3">
      <c r="A125" s="13">
        <v>46204</v>
      </c>
      <c r="B125" s="14" t="s">
        <v>13</v>
      </c>
      <c r="C125" s="123" t="s">
        <v>111</v>
      </c>
      <c r="D125" s="123" t="s">
        <v>118</v>
      </c>
      <c r="E125" s="14">
        <v>3.9832000000000001</v>
      </c>
      <c r="F125" s="14">
        <v>9.3300000000000161</v>
      </c>
      <c r="G125" s="14">
        <v>35.320000000000022</v>
      </c>
      <c r="H125" s="14">
        <v>1.4128000000000009</v>
      </c>
      <c r="I125" s="14">
        <v>-0.26999999999999247</v>
      </c>
      <c r="J125" s="14">
        <v>-0.97000000000000419</v>
      </c>
      <c r="K125" s="15">
        <v>15.609999999999991</v>
      </c>
    </row>
    <row r="126" spans="1:11" x14ac:dyDescent="0.3">
      <c r="A126" s="13">
        <v>46204</v>
      </c>
      <c r="B126" s="14" t="s">
        <v>28</v>
      </c>
      <c r="C126" s="123" t="s">
        <v>118</v>
      </c>
      <c r="D126" s="123" t="s">
        <v>119</v>
      </c>
      <c r="E126" s="14">
        <v>4.0140000000000002</v>
      </c>
      <c r="F126" s="14">
        <v>3.0800000000000161</v>
      </c>
      <c r="G126" s="14">
        <v>38.400000000000034</v>
      </c>
      <c r="H126" s="14">
        <v>1.5360000000000014</v>
      </c>
      <c r="I126" s="14">
        <v>0.32000000000005357</v>
      </c>
      <c r="J126" s="14">
        <v>-0.87000000000001521</v>
      </c>
      <c r="K126" s="15">
        <v>14.300000000000024</v>
      </c>
    </row>
    <row r="127" spans="1:11" x14ac:dyDescent="0.3">
      <c r="A127" s="13">
        <v>46204</v>
      </c>
      <c r="B127" s="14" t="s">
        <v>15</v>
      </c>
      <c r="C127" s="123" t="s">
        <v>119</v>
      </c>
      <c r="D127" s="123" t="s">
        <v>122</v>
      </c>
      <c r="E127" s="14">
        <v>4.0526999999999997</v>
      </c>
      <c r="F127" s="14">
        <v>3.8699999999999513</v>
      </c>
      <c r="G127" s="14">
        <v>42.269999999999982</v>
      </c>
      <c r="H127" s="14">
        <v>1.6907999999999992</v>
      </c>
      <c r="I127" s="14">
        <v>0.68000000000001393</v>
      </c>
      <c r="J127" s="14">
        <v>8.9999999999967883E-2</v>
      </c>
      <c r="K127" s="15">
        <v>11.26999999999998</v>
      </c>
    </row>
    <row r="128" spans="1:11" x14ac:dyDescent="0.3">
      <c r="A128" s="13">
        <v>46204</v>
      </c>
      <c r="B128" s="14" t="s">
        <v>16</v>
      </c>
      <c r="C128" s="123" t="s">
        <v>122</v>
      </c>
      <c r="D128" s="123" t="s">
        <v>126</v>
      </c>
      <c r="E128" s="14">
        <v>4.0540000000000003</v>
      </c>
      <c r="F128" s="14">
        <v>0.1300000000000523</v>
      </c>
      <c r="G128" s="14">
        <v>42.400000000000034</v>
      </c>
      <c r="H128" s="14">
        <v>1.6960000000000013</v>
      </c>
      <c r="I128" s="14">
        <v>1.7000000000000348</v>
      </c>
      <c r="J128" s="14">
        <v>1.0000000000000675</v>
      </c>
      <c r="K128" s="15">
        <v>9.020000000000028</v>
      </c>
    </row>
    <row r="129" spans="1:11" x14ac:dyDescent="0.3">
      <c r="A129" s="13">
        <v>46204</v>
      </c>
      <c r="B129" s="14" t="s">
        <v>18</v>
      </c>
      <c r="C129" s="123" t="s">
        <v>126</v>
      </c>
      <c r="D129" s="123" t="s">
        <v>145</v>
      </c>
      <c r="E129" s="14">
        <v>4.0294999999999996</v>
      </c>
      <c r="F129" s="14">
        <v>-2.4500000000000632</v>
      </c>
      <c r="G129" s="14">
        <v>39.949999999999974</v>
      </c>
      <c r="H129" s="14">
        <v>1.597999999999999</v>
      </c>
      <c r="I129" s="14">
        <v>1.2999999999999901</v>
      </c>
      <c r="J129" s="14">
        <v>-0.22999999999999687</v>
      </c>
      <c r="K129" s="15">
        <v>5.4799999999999738</v>
      </c>
    </row>
    <row r="130" spans="1:11" x14ac:dyDescent="0.3">
      <c r="A130" s="13">
        <v>46204</v>
      </c>
      <c r="B130" s="14" t="s">
        <v>19</v>
      </c>
      <c r="C130" s="123" t="s">
        <v>145</v>
      </c>
      <c r="D130" s="123" t="s">
        <v>150</v>
      </c>
      <c r="E130" s="14">
        <v>3.996</v>
      </c>
      <c r="F130" s="14">
        <v>-3.3499999999999641</v>
      </c>
      <c r="G130" s="14">
        <v>36.600000000000009</v>
      </c>
      <c r="H130" s="14">
        <v>1.4640000000000004</v>
      </c>
      <c r="I130" s="14">
        <v>1.6999999999999904</v>
      </c>
      <c r="J130" s="14">
        <v>-0.20000000000002238</v>
      </c>
      <c r="K130" s="15" t="s">
        <v>41</v>
      </c>
    </row>
    <row r="131" spans="1:11" x14ac:dyDescent="0.3">
      <c r="A131" s="13">
        <v>46204</v>
      </c>
      <c r="B131" s="14"/>
      <c r="C131" s="123"/>
      <c r="D131" s="123"/>
      <c r="E131" s="14"/>
      <c r="F131" s="14"/>
      <c r="G131" s="14"/>
      <c r="H131" s="14"/>
      <c r="I131" s="14">
        <v>0</v>
      </c>
      <c r="J131" s="14">
        <v>0</v>
      </c>
      <c r="K131" s="15" t="s">
        <v>41</v>
      </c>
    </row>
    <row r="132" spans="1:11" x14ac:dyDescent="0.3">
      <c r="A132" s="13">
        <v>46204</v>
      </c>
      <c r="B132" s="14"/>
      <c r="C132" s="123"/>
      <c r="D132" s="123"/>
      <c r="E132" s="14"/>
      <c r="F132" s="14"/>
      <c r="G132" s="14"/>
      <c r="H132" s="14"/>
      <c r="I132" s="14">
        <v>0</v>
      </c>
      <c r="J132" s="14">
        <v>0</v>
      </c>
      <c r="K132" s="15" t="s">
        <v>41</v>
      </c>
    </row>
    <row r="133" spans="1:11" x14ac:dyDescent="0.3">
      <c r="A133" s="13">
        <v>46204</v>
      </c>
      <c r="B133" s="14"/>
      <c r="C133" s="123"/>
      <c r="D133" s="123"/>
      <c r="E133" s="14"/>
      <c r="F133" s="14"/>
      <c r="G133" s="14"/>
      <c r="H133" s="14"/>
      <c r="I133" s="14">
        <v>0</v>
      </c>
      <c r="J133" s="14">
        <v>0</v>
      </c>
      <c r="K133" s="15" t="s">
        <v>41</v>
      </c>
    </row>
    <row r="134" spans="1:11" x14ac:dyDescent="0.3">
      <c r="A134" s="13">
        <v>46205</v>
      </c>
      <c r="B134" s="14" t="s">
        <v>19</v>
      </c>
      <c r="C134" s="123" t="s">
        <v>94</v>
      </c>
      <c r="D134" s="123" t="s">
        <v>97</v>
      </c>
      <c r="E134" s="14">
        <v>3.6829000000000001</v>
      </c>
      <c r="F134" s="14">
        <v>5.2900000000000169</v>
      </c>
      <c r="G134" s="14">
        <v>5.2900000000000169</v>
      </c>
      <c r="H134" s="14">
        <v>0.21160000000000068</v>
      </c>
      <c r="I134" s="14">
        <v>-2.5599999999999845</v>
      </c>
      <c r="J134" s="14">
        <v>-3.5099999999999909</v>
      </c>
      <c r="K134" s="15">
        <v>3.1900000000000261</v>
      </c>
    </row>
    <row r="135" spans="1:11" x14ac:dyDescent="0.3">
      <c r="A135" s="13">
        <v>46205</v>
      </c>
      <c r="B135" s="14" t="s">
        <v>10</v>
      </c>
      <c r="C135" s="123" t="s">
        <v>97</v>
      </c>
      <c r="D135" s="123" t="s">
        <v>107</v>
      </c>
      <c r="E135" s="14">
        <v>3.7843</v>
      </c>
      <c r="F135" s="14">
        <v>10.139999999999993</v>
      </c>
      <c r="G135" s="14">
        <v>15.43000000000001</v>
      </c>
      <c r="H135" s="14">
        <v>0.61720000000000041</v>
      </c>
      <c r="I135" s="14">
        <v>-4.5199999999999907</v>
      </c>
      <c r="J135" s="14">
        <v>-4.3499999999999872</v>
      </c>
      <c r="K135" s="15">
        <v>8.8299999999999823</v>
      </c>
    </row>
    <row r="136" spans="1:11" x14ac:dyDescent="0.3">
      <c r="A136" s="13">
        <v>46205</v>
      </c>
      <c r="B136" s="14" t="s">
        <v>11</v>
      </c>
      <c r="C136" s="123" t="s">
        <v>107</v>
      </c>
      <c r="D136" s="123" t="s">
        <v>111</v>
      </c>
      <c r="E136" s="14">
        <v>3.8410000000000002</v>
      </c>
      <c r="F136" s="14">
        <v>5.6700000000000195</v>
      </c>
      <c r="G136" s="14">
        <v>21.10000000000003</v>
      </c>
      <c r="H136" s="14">
        <v>0.84400000000000119</v>
      </c>
      <c r="I136" s="14">
        <v>-4.8899999999999721</v>
      </c>
      <c r="J136" s="14">
        <v>-4.3199999999999683</v>
      </c>
      <c r="K136" s="15">
        <v>10.940000000000039</v>
      </c>
    </row>
    <row r="137" spans="1:11" x14ac:dyDescent="0.3">
      <c r="A137" s="13">
        <v>46205</v>
      </c>
      <c r="B137" s="14" t="s">
        <v>13</v>
      </c>
      <c r="C137" s="123" t="s">
        <v>111</v>
      </c>
      <c r="D137" s="123" t="s">
        <v>118</v>
      </c>
      <c r="E137" s="14">
        <v>3.9327000000000001</v>
      </c>
      <c r="F137" s="14">
        <v>9.1699999999999893</v>
      </c>
      <c r="G137" s="14">
        <v>30.270000000000017</v>
      </c>
      <c r="H137" s="14">
        <v>1.2108000000000008</v>
      </c>
      <c r="I137" s="14">
        <v>-5.0499999999999989</v>
      </c>
      <c r="J137" s="14">
        <v>-3.5800000000000054</v>
      </c>
      <c r="K137" s="15">
        <v>12.619999999999987</v>
      </c>
    </row>
    <row r="138" spans="1:11" x14ac:dyDescent="0.3">
      <c r="A138" s="13">
        <v>46205</v>
      </c>
      <c r="B138" s="14" t="s">
        <v>28</v>
      </c>
      <c r="C138" s="123" t="s">
        <v>118</v>
      </c>
      <c r="D138" s="123" t="s">
        <v>119</v>
      </c>
      <c r="E138" s="14">
        <v>3.9662999999999999</v>
      </c>
      <c r="F138" s="14">
        <v>3.3599999999999852</v>
      </c>
      <c r="G138" s="14">
        <v>33.630000000000003</v>
      </c>
      <c r="H138" s="14">
        <v>1.3452000000000002</v>
      </c>
      <c r="I138" s="14">
        <v>-4.7700000000000298</v>
      </c>
      <c r="J138" s="14">
        <v>-2.3299999999999876</v>
      </c>
      <c r="K138" s="15">
        <v>12.329999999999997</v>
      </c>
    </row>
    <row r="139" spans="1:11" x14ac:dyDescent="0.3">
      <c r="A139" s="13">
        <v>46205</v>
      </c>
      <c r="B139" s="14" t="s">
        <v>15</v>
      </c>
      <c r="C139" s="123" t="s">
        <v>119</v>
      </c>
      <c r="D139" s="123" t="s">
        <v>122</v>
      </c>
      <c r="E139" s="14">
        <v>4.0067000000000004</v>
      </c>
      <c r="F139" s="14">
        <v>4.0400000000000436</v>
      </c>
      <c r="G139" s="14">
        <v>37.670000000000044</v>
      </c>
      <c r="H139" s="14">
        <v>1.5068000000000017</v>
      </c>
      <c r="I139" s="14">
        <v>-4.5999999999999375</v>
      </c>
      <c r="J139" s="14">
        <v>-0.76999999999998181</v>
      </c>
      <c r="K139" s="15">
        <v>9.8700000000000454</v>
      </c>
    </row>
    <row r="140" spans="1:11" x14ac:dyDescent="0.3">
      <c r="A140" s="13">
        <v>46205</v>
      </c>
      <c r="B140" s="14" t="s">
        <v>16</v>
      </c>
      <c r="C140" s="123" t="s">
        <v>122</v>
      </c>
      <c r="D140" s="123" t="s">
        <v>126</v>
      </c>
      <c r="E140" s="14">
        <v>4.0110999999999999</v>
      </c>
      <c r="F140" s="14">
        <v>0.43999999999995154</v>
      </c>
      <c r="G140" s="14">
        <v>38.11</v>
      </c>
      <c r="H140" s="14">
        <v>1.5244</v>
      </c>
      <c r="I140" s="14">
        <v>-4.2900000000000382</v>
      </c>
      <c r="J140" s="14">
        <v>1.1099999999999888</v>
      </c>
      <c r="K140" s="15">
        <v>8.4999999999999964</v>
      </c>
    </row>
    <row r="141" spans="1:11" x14ac:dyDescent="0.3">
      <c r="A141" s="13">
        <v>46205</v>
      </c>
      <c r="B141" s="14" t="s">
        <v>18</v>
      </c>
      <c r="C141" s="123" t="s">
        <v>126</v>
      </c>
      <c r="D141" s="123" t="s">
        <v>145</v>
      </c>
      <c r="E141" s="14">
        <v>3.9939</v>
      </c>
      <c r="F141" s="14">
        <v>-1.7199999999999882</v>
      </c>
      <c r="G141" s="14">
        <v>36.390000000000015</v>
      </c>
      <c r="H141" s="14">
        <v>1.4556000000000007</v>
      </c>
      <c r="I141" s="14">
        <v>-3.5599999999999632</v>
      </c>
      <c r="J141" s="14">
        <v>1.089999999999991</v>
      </c>
      <c r="K141" s="15">
        <v>6.0299999999999798</v>
      </c>
    </row>
    <row r="142" spans="1:11" x14ac:dyDescent="0.3">
      <c r="A142" s="13">
        <v>46205</v>
      </c>
      <c r="B142" s="14" t="s">
        <v>19</v>
      </c>
      <c r="C142" s="123" t="s">
        <v>145</v>
      </c>
      <c r="D142" s="123" t="s">
        <v>150</v>
      </c>
      <c r="E142" s="14">
        <v>3.9620000000000002</v>
      </c>
      <c r="F142" s="14">
        <v>-3.1899999999999817</v>
      </c>
      <c r="G142" s="14">
        <v>33.200000000000031</v>
      </c>
      <c r="H142" s="14">
        <v>1.3280000000000012</v>
      </c>
      <c r="I142" s="14">
        <v>-3.3999999999999808</v>
      </c>
      <c r="J142" s="14">
        <v>1.7000000000000348</v>
      </c>
      <c r="K142" s="15" t="s">
        <v>41</v>
      </c>
    </row>
    <row r="143" spans="1:11" x14ac:dyDescent="0.3">
      <c r="A143" s="13">
        <v>46205</v>
      </c>
      <c r="B143" s="14"/>
      <c r="C143" s="123"/>
      <c r="D143" s="123"/>
      <c r="E143" s="14"/>
      <c r="F143" s="14"/>
      <c r="G143" s="14"/>
      <c r="H143" s="14"/>
      <c r="I143" s="14">
        <v>0</v>
      </c>
      <c r="J143" s="14">
        <v>0</v>
      </c>
      <c r="K143" s="15">
        <v>0</v>
      </c>
    </row>
    <row r="144" spans="1:11" x14ac:dyDescent="0.3">
      <c r="A144" s="13">
        <v>46205</v>
      </c>
      <c r="B144" s="14"/>
      <c r="C144" s="123"/>
      <c r="D144" s="123"/>
      <c r="E144" s="14"/>
      <c r="F144" s="14"/>
      <c r="G144" s="14"/>
      <c r="H144" s="14"/>
      <c r="I144" s="14">
        <v>0</v>
      </c>
      <c r="J144" s="14">
        <v>0</v>
      </c>
      <c r="K144" s="15">
        <v>0</v>
      </c>
    </row>
    <row r="145" spans="1:11" x14ac:dyDescent="0.3">
      <c r="A145" s="13">
        <v>46205</v>
      </c>
      <c r="B145" s="14"/>
      <c r="C145" s="123"/>
      <c r="D145" s="123"/>
      <c r="E145" s="14"/>
      <c r="F145" s="14"/>
      <c r="G145" s="14"/>
      <c r="H145" s="14"/>
      <c r="I145" s="14">
        <v>0</v>
      </c>
      <c r="J145" s="14">
        <v>0</v>
      </c>
      <c r="K145" s="15">
        <v>0</v>
      </c>
    </row>
    <row r="146" spans="1:11" x14ac:dyDescent="0.3">
      <c r="A146" s="13">
        <v>46206</v>
      </c>
      <c r="B146" s="14" t="s">
        <v>19</v>
      </c>
      <c r="C146" s="123" t="s">
        <v>94</v>
      </c>
      <c r="D146" s="123" t="s">
        <v>97</v>
      </c>
      <c r="E146" s="14">
        <v>3.6819999999999999</v>
      </c>
      <c r="F146" s="14">
        <v>5.2000000000000046</v>
      </c>
      <c r="G146" s="14">
        <v>5.2000000000000046</v>
      </c>
      <c r="H146" s="14">
        <v>0.20800000000000018</v>
      </c>
      <c r="I146" s="14">
        <v>-9.0000000000012292E-2</v>
      </c>
      <c r="J146" s="14">
        <v>-2.8000000000000025</v>
      </c>
      <c r="K146" s="15">
        <v>2.4000000000000021</v>
      </c>
    </row>
    <row r="147" spans="1:11" x14ac:dyDescent="0.3">
      <c r="A147" s="13">
        <v>46206</v>
      </c>
      <c r="B147" s="14" t="s">
        <v>10</v>
      </c>
      <c r="C147" s="123" t="s">
        <v>97</v>
      </c>
      <c r="D147" s="123" t="s">
        <v>107</v>
      </c>
      <c r="E147" s="14">
        <v>3.7881</v>
      </c>
      <c r="F147" s="14">
        <v>10.610000000000008</v>
      </c>
      <c r="G147" s="14">
        <v>15.810000000000013</v>
      </c>
      <c r="H147" s="14">
        <v>0.63240000000000052</v>
      </c>
      <c r="I147" s="14">
        <v>0.38000000000000256</v>
      </c>
      <c r="J147" s="14">
        <v>-2.7800000000000047</v>
      </c>
      <c r="K147" s="15">
        <v>8.4999999999999964</v>
      </c>
    </row>
    <row r="148" spans="1:11" x14ac:dyDescent="0.3">
      <c r="A148" s="13">
        <v>46206</v>
      </c>
      <c r="B148" s="14" t="s">
        <v>11</v>
      </c>
      <c r="C148" s="123" t="s">
        <v>107</v>
      </c>
      <c r="D148" s="123" t="s">
        <v>111</v>
      </c>
      <c r="E148" s="14">
        <v>3.8424999999999998</v>
      </c>
      <c r="F148" s="14">
        <v>5.4399999999999782</v>
      </c>
      <c r="G148" s="14">
        <v>21.249999999999993</v>
      </c>
      <c r="H148" s="14">
        <v>0.84999999999999976</v>
      </c>
      <c r="I148" s="14">
        <v>0.14999999999996128</v>
      </c>
      <c r="J148" s="14">
        <v>-2.1300000000000097</v>
      </c>
      <c r="K148" s="15">
        <v>9.6999999999999975</v>
      </c>
    </row>
    <row r="149" spans="1:11" x14ac:dyDescent="0.3">
      <c r="A149" s="13">
        <v>46206</v>
      </c>
      <c r="B149" s="14" t="s">
        <v>13</v>
      </c>
      <c r="C149" s="123" t="s">
        <v>111</v>
      </c>
      <c r="D149" s="123" t="s">
        <v>118</v>
      </c>
      <c r="E149" s="14">
        <v>3.9369999999999998</v>
      </c>
      <c r="F149" s="14">
        <v>9.4500000000000028</v>
      </c>
      <c r="G149" s="14">
        <v>30.699999999999996</v>
      </c>
      <c r="H149" s="14">
        <v>1.2279999999999998</v>
      </c>
      <c r="I149" s="14">
        <v>0.42999999999997485</v>
      </c>
      <c r="J149" s="14">
        <v>-1.0000000000021103E-2</v>
      </c>
      <c r="K149" s="15">
        <v>11.099999999999977</v>
      </c>
    </row>
    <row r="150" spans="1:11" x14ac:dyDescent="0.3">
      <c r="A150" s="13">
        <v>46206</v>
      </c>
      <c r="B150" s="14" t="s">
        <v>28</v>
      </c>
      <c r="C150" s="123" t="s">
        <v>118</v>
      </c>
      <c r="D150" s="123" t="s">
        <v>119</v>
      </c>
      <c r="E150" s="14">
        <v>3.9689999999999999</v>
      </c>
      <c r="F150" s="14">
        <v>3.2000000000000028</v>
      </c>
      <c r="G150" s="14">
        <v>33.9</v>
      </c>
      <c r="H150" s="14">
        <v>1.3559999999999999</v>
      </c>
      <c r="I150" s="14">
        <v>0.26999999999999247</v>
      </c>
      <c r="J150" s="14">
        <v>1.8499999999999961</v>
      </c>
      <c r="K150" s="15">
        <v>9.6200000000000063</v>
      </c>
    </row>
    <row r="151" spans="1:11" x14ac:dyDescent="0.3">
      <c r="A151" s="13">
        <v>46206</v>
      </c>
      <c r="B151" s="14" t="s">
        <v>15</v>
      </c>
      <c r="C151" s="123" t="s">
        <v>119</v>
      </c>
      <c r="D151" s="123" t="s">
        <v>122</v>
      </c>
      <c r="E151" s="14">
        <v>4.0140000000000002</v>
      </c>
      <c r="F151" s="14">
        <v>4.5000000000000373</v>
      </c>
      <c r="G151" s="14">
        <v>38.400000000000034</v>
      </c>
      <c r="H151" s="14">
        <v>1.5360000000000014</v>
      </c>
      <c r="I151" s="14">
        <v>0.72999999999998622</v>
      </c>
      <c r="J151" s="14">
        <v>4.2700000000000404</v>
      </c>
      <c r="K151" s="15">
        <v>7.0000000000000284</v>
      </c>
    </row>
    <row r="152" spans="1:11" x14ac:dyDescent="0.3">
      <c r="A152" s="13">
        <v>46206</v>
      </c>
      <c r="B152" s="14" t="s">
        <v>16</v>
      </c>
      <c r="C152" s="123" t="s">
        <v>122</v>
      </c>
      <c r="D152" s="123" t="s">
        <v>126</v>
      </c>
      <c r="E152" s="14">
        <v>4.0209999999999999</v>
      </c>
      <c r="F152" s="14">
        <v>0.69999999999996732</v>
      </c>
      <c r="G152" s="14">
        <v>39.1</v>
      </c>
      <c r="H152" s="14">
        <v>1.5640000000000001</v>
      </c>
      <c r="I152" s="14">
        <v>0.99000000000000199</v>
      </c>
      <c r="J152" s="14">
        <v>6.0999999999999943</v>
      </c>
      <c r="K152" s="15">
        <v>4.6899999999999942</v>
      </c>
    </row>
    <row r="153" spans="1:11" x14ac:dyDescent="0.3">
      <c r="A153" s="13">
        <v>46206</v>
      </c>
      <c r="B153" s="14" t="s">
        <v>18</v>
      </c>
      <c r="C153" s="123" t="s">
        <v>126</v>
      </c>
      <c r="D153" s="123" t="s">
        <v>145</v>
      </c>
      <c r="E153" s="14">
        <v>4.0069999999999997</v>
      </c>
      <c r="F153" s="14">
        <v>-1.4000000000000234</v>
      </c>
      <c r="G153" s="14">
        <v>37.699999999999974</v>
      </c>
      <c r="H153" s="14">
        <v>1.5079999999999989</v>
      </c>
      <c r="I153" s="14">
        <v>1.3099999999999667</v>
      </c>
      <c r="J153" s="14">
        <v>6.7199999999999704</v>
      </c>
      <c r="K153" s="15">
        <v>1.8999999999999684</v>
      </c>
    </row>
    <row r="154" spans="1:11" x14ac:dyDescent="0.3">
      <c r="A154" s="13">
        <v>46206</v>
      </c>
      <c r="B154" s="14" t="s">
        <v>19</v>
      </c>
      <c r="C154" s="123" t="s">
        <v>145</v>
      </c>
      <c r="D154" s="123" t="s">
        <v>150</v>
      </c>
      <c r="E154" s="14">
        <v>3.9790000000000001</v>
      </c>
      <c r="F154" s="14">
        <v>-2.7999999999999581</v>
      </c>
      <c r="G154" s="14">
        <v>34.90000000000002</v>
      </c>
      <c r="H154" s="14">
        <v>1.3960000000000008</v>
      </c>
      <c r="I154" s="14">
        <v>1.6999999999999904</v>
      </c>
      <c r="J154" s="14">
        <v>7.5000000000000178</v>
      </c>
      <c r="K154" s="15" t="s">
        <v>41</v>
      </c>
    </row>
    <row r="155" spans="1:11" x14ac:dyDescent="0.3">
      <c r="A155" s="13">
        <v>46206</v>
      </c>
      <c r="B155" s="14"/>
      <c r="C155" s="123"/>
      <c r="D155" s="123"/>
      <c r="E155" s="14"/>
      <c r="F155" s="14"/>
      <c r="G155" s="14"/>
      <c r="H155" s="14"/>
      <c r="I155" s="14">
        <v>0</v>
      </c>
      <c r="J155" s="14">
        <v>0</v>
      </c>
      <c r="K155" s="15" t="s">
        <v>41</v>
      </c>
    </row>
    <row r="156" spans="1:11" x14ac:dyDescent="0.3">
      <c r="A156" s="13">
        <v>46206</v>
      </c>
      <c r="B156" s="14"/>
      <c r="C156" s="123"/>
      <c r="D156" s="123"/>
      <c r="E156" s="14"/>
      <c r="F156" s="14"/>
      <c r="G156" s="14"/>
      <c r="H156" s="14"/>
      <c r="I156" s="14">
        <v>0</v>
      </c>
      <c r="J156" s="14">
        <v>0</v>
      </c>
      <c r="K156" s="15" t="s">
        <v>41</v>
      </c>
    </row>
    <row r="157" spans="1:11" x14ac:dyDescent="0.3">
      <c r="A157" s="13">
        <v>46206</v>
      </c>
      <c r="B157" s="14"/>
      <c r="C157" s="123"/>
      <c r="D157" s="123"/>
      <c r="E157" s="14"/>
      <c r="F157" s="14"/>
      <c r="G157" s="14"/>
      <c r="H157" s="14"/>
      <c r="I157" s="14">
        <v>0</v>
      </c>
      <c r="J157" s="14">
        <v>0</v>
      </c>
      <c r="K157" s="15" t="s">
        <v>41</v>
      </c>
    </row>
    <row r="158" spans="1:11" x14ac:dyDescent="0.3">
      <c r="A158" s="424">
        <v>46209</v>
      </c>
      <c r="B158" s="425" t="s">
        <v>19</v>
      </c>
      <c r="C158" s="426" t="s">
        <v>94</v>
      </c>
      <c r="D158" s="426" t="s">
        <v>97</v>
      </c>
      <c r="E158" s="425">
        <v>3.6960000000000002</v>
      </c>
      <c r="F158" s="425">
        <v>6.6000000000000281</v>
      </c>
      <c r="G158" s="425">
        <v>6.6000000000000281</v>
      </c>
      <c r="H158" s="425">
        <v>0.26400000000000112</v>
      </c>
      <c r="I158" s="425">
        <v>1.4000000000000234</v>
      </c>
      <c r="J158" s="425">
        <v>-1.399999999999979</v>
      </c>
      <c r="K158" s="427">
        <v>3.8000000000000256</v>
      </c>
    </row>
    <row r="159" spans="1:11" x14ac:dyDescent="0.3">
      <c r="A159" s="424">
        <v>46209</v>
      </c>
      <c r="B159" s="425" t="s">
        <v>10</v>
      </c>
      <c r="C159" s="426" t="s">
        <v>97</v>
      </c>
      <c r="D159" s="426" t="s">
        <v>107</v>
      </c>
      <c r="E159" s="425">
        <v>3.8031000000000001</v>
      </c>
      <c r="F159" s="425">
        <v>10.709999999999997</v>
      </c>
      <c r="G159" s="425">
        <v>17.310000000000024</v>
      </c>
      <c r="H159" s="425">
        <v>0.6924000000000009</v>
      </c>
      <c r="I159" s="425">
        <v>1.5000000000000124</v>
      </c>
      <c r="J159" s="425">
        <v>-1.7700000000000049</v>
      </c>
      <c r="K159" s="427">
        <v>10.000000000000009</v>
      </c>
    </row>
    <row r="160" spans="1:11" x14ac:dyDescent="0.3">
      <c r="A160" s="424">
        <v>46209</v>
      </c>
      <c r="B160" s="425" t="s">
        <v>11</v>
      </c>
      <c r="C160" s="426" t="s">
        <v>107</v>
      </c>
      <c r="D160" s="426" t="s">
        <v>111</v>
      </c>
      <c r="E160" s="425">
        <v>3.8521000000000001</v>
      </c>
      <c r="F160" s="425">
        <v>4.8999999999999932</v>
      </c>
      <c r="G160" s="425">
        <v>22.210000000000019</v>
      </c>
      <c r="H160" s="425">
        <v>0.88840000000000074</v>
      </c>
      <c r="I160" s="425">
        <v>0.9600000000000275</v>
      </c>
      <c r="J160" s="425">
        <v>-2.48999999999997</v>
      </c>
      <c r="K160" s="427">
        <v>10.660000000000025</v>
      </c>
    </row>
    <row r="161" spans="1:11" x14ac:dyDescent="0.3">
      <c r="A161" s="424">
        <v>46209</v>
      </c>
      <c r="B161" s="425" t="s">
        <v>13</v>
      </c>
      <c r="C161" s="426" t="s">
        <v>111</v>
      </c>
      <c r="D161" s="426" t="s">
        <v>118</v>
      </c>
      <c r="E161" s="425">
        <v>3.9413999999999998</v>
      </c>
      <c r="F161" s="425">
        <v>8.9299999999999713</v>
      </c>
      <c r="G161" s="425">
        <v>31.13999999999999</v>
      </c>
      <c r="H161" s="425">
        <v>1.2455999999999996</v>
      </c>
      <c r="I161" s="425">
        <v>0.43999999999999595</v>
      </c>
      <c r="J161" s="425">
        <v>-2.3400000000000087</v>
      </c>
      <c r="K161" s="427">
        <v>11.539999999999973</v>
      </c>
    </row>
    <row r="162" spans="1:11" x14ac:dyDescent="0.3">
      <c r="A162" s="424">
        <v>46209</v>
      </c>
      <c r="B162" s="425" t="s">
        <v>28</v>
      </c>
      <c r="C162" s="426" t="s">
        <v>118</v>
      </c>
      <c r="D162" s="426" t="s">
        <v>119</v>
      </c>
      <c r="E162" s="425">
        <v>3.9750000000000001</v>
      </c>
      <c r="F162" s="425">
        <v>3.3600000000000296</v>
      </c>
      <c r="G162" s="425">
        <v>34.500000000000021</v>
      </c>
      <c r="H162" s="425">
        <v>1.3800000000000008</v>
      </c>
      <c r="I162" s="425">
        <v>0.60000000000002274</v>
      </c>
      <c r="J162" s="425">
        <v>-0.99000000000000199</v>
      </c>
      <c r="K162" s="427">
        <v>10.220000000000029</v>
      </c>
    </row>
    <row r="163" spans="1:11" x14ac:dyDescent="0.3">
      <c r="A163" s="424">
        <v>46209</v>
      </c>
      <c r="B163" s="425" t="s">
        <v>15</v>
      </c>
      <c r="C163" s="426" t="s">
        <v>119</v>
      </c>
      <c r="D163" s="426" t="s">
        <v>122</v>
      </c>
      <c r="E163" s="425">
        <v>4.0126999999999997</v>
      </c>
      <c r="F163" s="425">
        <v>3.7699999999999623</v>
      </c>
      <c r="G163" s="425">
        <v>38.269999999999982</v>
      </c>
      <c r="H163" s="425">
        <v>1.5307999999999993</v>
      </c>
      <c r="I163" s="425">
        <v>-0.1300000000000523</v>
      </c>
      <c r="J163" s="425">
        <v>-0.26999999999999247</v>
      </c>
      <c r="K163" s="427">
        <v>6.8699999999999761</v>
      </c>
    </row>
    <row r="164" spans="1:11" x14ac:dyDescent="0.3">
      <c r="A164" s="424">
        <v>46209</v>
      </c>
      <c r="B164" s="425" t="s">
        <v>16</v>
      </c>
      <c r="C164" s="426" t="s">
        <v>122</v>
      </c>
      <c r="D164" s="426" t="s">
        <v>126</v>
      </c>
      <c r="E164" s="425">
        <v>4.0149999999999997</v>
      </c>
      <c r="F164" s="425">
        <v>0.22999999999999687</v>
      </c>
      <c r="G164" s="425">
        <v>38.499999999999979</v>
      </c>
      <c r="H164" s="425">
        <v>1.5399999999999991</v>
      </c>
      <c r="I164" s="425">
        <v>-0.60000000000002274</v>
      </c>
      <c r="J164" s="425">
        <v>1.599999999999957</v>
      </c>
      <c r="K164" s="427">
        <v>4.0899999999999714</v>
      </c>
    </row>
    <row r="165" spans="1:11" x14ac:dyDescent="0.3">
      <c r="A165" s="424">
        <v>46209</v>
      </c>
      <c r="B165" s="425" t="s">
        <v>18</v>
      </c>
      <c r="C165" s="426" t="s">
        <v>126</v>
      </c>
      <c r="D165" s="426" t="s">
        <v>145</v>
      </c>
      <c r="E165" s="425">
        <v>4</v>
      </c>
      <c r="F165" s="425">
        <v>-1.499999999999968</v>
      </c>
      <c r="G165" s="425">
        <v>37.000000000000014</v>
      </c>
      <c r="H165" s="425">
        <v>1.4800000000000006</v>
      </c>
      <c r="I165" s="425">
        <v>-0.69999999999996732</v>
      </c>
      <c r="J165" s="425">
        <v>1.8699999999999939</v>
      </c>
      <c r="K165" s="427">
        <v>1.2000000000000011</v>
      </c>
    </row>
    <row r="166" spans="1:11" x14ac:dyDescent="0.3">
      <c r="A166" s="424">
        <v>46209</v>
      </c>
      <c r="B166" s="425" t="s">
        <v>19</v>
      </c>
      <c r="C166" s="426" t="s">
        <v>145</v>
      </c>
      <c r="D166" s="426" t="s">
        <v>150</v>
      </c>
      <c r="E166" s="425">
        <v>3.9729999999999999</v>
      </c>
      <c r="F166" s="425">
        <v>-2.7000000000000135</v>
      </c>
      <c r="G166" s="425">
        <v>34.299999999999997</v>
      </c>
      <c r="H166" s="425">
        <v>1.3719999999999999</v>
      </c>
      <c r="I166" s="425">
        <v>-0.60000000000002274</v>
      </c>
      <c r="J166" s="425">
        <v>2.6999999999999691</v>
      </c>
      <c r="K166" s="427" t="s">
        <v>41</v>
      </c>
    </row>
    <row r="167" spans="1:11" x14ac:dyDescent="0.3">
      <c r="A167" s="424">
        <v>46209</v>
      </c>
      <c r="B167" s="425"/>
      <c r="C167" s="426"/>
      <c r="D167" s="426"/>
      <c r="E167" s="425"/>
      <c r="F167" s="425"/>
      <c r="G167" s="425"/>
      <c r="H167" s="425"/>
      <c r="I167" s="425">
        <v>0</v>
      </c>
      <c r="J167" s="425">
        <v>0</v>
      </c>
      <c r="K167" s="427" t="s">
        <v>41</v>
      </c>
    </row>
    <row r="168" spans="1:11" x14ac:dyDescent="0.3">
      <c r="A168" s="424">
        <v>46209</v>
      </c>
      <c r="B168" s="425"/>
      <c r="C168" s="426"/>
      <c r="D168" s="426"/>
      <c r="E168" s="425"/>
      <c r="F168" s="425"/>
      <c r="G168" s="425"/>
      <c r="H168" s="425"/>
      <c r="I168" s="425">
        <v>0</v>
      </c>
      <c r="J168" s="425">
        <v>0</v>
      </c>
      <c r="K168" s="427" t="s">
        <v>41</v>
      </c>
    </row>
    <row r="169" spans="1:11" x14ac:dyDescent="0.3">
      <c r="A169" s="424">
        <v>46209</v>
      </c>
      <c r="B169" s="425"/>
      <c r="C169" s="426"/>
      <c r="D169" s="426"/>
      <c r="E169" s="425"/>
      <c r="F169" s="425"/>
      <c r="G169" s="425"/>
      <c r="H169" s="425"/>
      <c r="I169" s="425">
        <v>0</v>
      </c>
      <c r="J169" s="425">
        <v>0</v>
      </c>
      <c r="K169" s="427" t="s">
        <v>41</v>
      </c>
    </row>
    <row r="170" spans="1:11" x14ac:dyDescent="0.3">
      <c r="A170" s="13">
        <v>46210</v>
      </c>
      <c r="B170" s="14" t="s">
        <v>19</v>
      </c>
      <c r="C170" s="123" t="s">
        <v>94</v>
      </c>
      <c r="D170" s="123" t="s">
        <v>97</v>
      </c>
      <c r="E170" s="14">
        <v>3.7010000000000001</v>
      </c>
      <c r="F170" s="14">
        <v>7.1000000000000174</v>
      </c>
      <c r="G170" s="14">
        <v>7.1000000000000174</v>
      </c>
      <c r="H170" s="14">
        <v>0.2840000000000007</v>
      </c>
      <c r="I170" s="14">
        <v>0.49999999999998934</v>
      </c>
      <c r="J170" s="14">
        <v>-1.880000000000015</v>
      </c>
      <c r="K170" s="15">
        <v>3.7500000000000089</v>
      </c>
    </row>
    <row r="171" spans="1:11" x14ac:dyDescent="0.3">
      <c r="A171" s="13">
        <v>46210</v>
      </c>
      <c r="B171" s="14" t="s">
        <v>10</v>
      </c>
      <c r="C171" s="123" t="s">
        <v>97</v>
      </c>
      <c r="D171" s="123" t="s">
        <v>107</v>
      </c>
      <c r="E171" s="14">
        <v>3.8106</v>
      </c>
      <c r="F171" s="14">
        <v>10.959999999999992</v>
      </c>
      <c r="G171" s="14">
        <v>18.060000000000009</v>
      </c>
      <c r="H171" s="14">
        <v>0.72240000000000038</v>
      </c>
      <c r="I171" s="14">
        <v>0.74999999999998401</v>
      </c>
      <c r="J171" s="14">
        <v>-3.2000000000000028</v>
      </c>
      <c r="K171" s="15">
        <v>7.43999999999998</v>
      </c>
    </row>
    <row r="172" spans="1:11" x14ac:dyDescent="0.3">
      <c r="A172" s="13">
        <v>46210</v>
      </c>
      <c r="B172" s="14" t="s">
        <v>11</v>
      </c>
      <c r="C172" s="123" t="s">
        <v>107</v>
      </c>
      <c r="D172" s="123" t="s">
        <v>111</v>
      </c>
      <c r="E172" s="14">
        <v>3.8603999999999998</v>
      </c>
      <c r="F172" s="14">
        <v>4.9799999999999844</v>
      </c>
      <c r="G172" s="14">
        <v>23.039999999999992</v>
      </c>
      <c r="H172" s="14">
        <v>0.92159999999999964</v>
      </c>
      <c r="I172" s="14">
        <v>0.8299999999999752</v>
      </c>
      <c r="J172" s="14">
        <v>-3.6599999999999966</v>
      </c>
      <c r="K172" s="15">
        <v>6.9399999999999906</v>
      </c>
    </row>
    <row r="173" spans="1:11" x14ac:dyDescent="0.3">
      <c r="A173" s="13">
        <v>46210</v>
      </c>
      <c r="B173" s="14" t="s">
        <v>13</v>
      </c>
      <c r="C173" s="123" t="s">
        <v>111</v>
      </c>
      <c r="D173" s="123" t="s">
        <v>118</v>
      </c>
      <c r="E173" s="14">
        <v>3.9470000000000001</v>
      </c>
      <c r="F173" s="14">
        <v>8.6600000000000232</v>
      </c>
      <c r="G173" s="14">
        <v>31.700000000000017</v>
      </c>
      <c r="H173" s="14">
        <v>1.2680000000000007</v>
      </c>
      <c r="I173" s="14">
        <v>0.56000000000002714</v>
      </c>
      <c r="J173" s="14">
        <v>-3.8899999999999935</v>
      </c>
      <c r="K173" s="15">
        <v>5.5800000000000072</v>
      </c>
    </row>
    <row r="174" spans="1:11" x14ac:dyDescent="0.3">
      <c r="A174" s="13">
        <v>46210</v>
      </c>
      <c r="B174" s="14" t="s">
        <v>28</v>
      </c>
      <c r="C174" s="123" t="s">
        <v>118</v>
      </c>
      <c r="D174" s="123" t="s">
        <v>119</v>
      </c>
      <c r="E174" s="14">
        <v>3.9790000000000001</v>
      </c>
      <c r="F174" s="14">
        <v>3.2000000000000028</v>
      </c>
      <c r="G174" s="14">
        <v>34.90000000000002</v>
      </c>
      <c r="H174" s="14">
        <v>1.3960000000000008</v>
      </c>
      <c r="I174" s="14">
        <v>0.40000000000000036</v>
      </c>
      <c r="J174" s="14">
        <v>-3.1799999999999606</v>
      </c>
      <c r="K174" s="15">
        <v>3.0899999999999928</v>
      </c>
    </row>
    <row r="175" spans="1:11" x14ac:dyDescent="0.3">
      <c r="A175" s="13">
        <v>46210</v>
      </c>
      <c r="B175" s="14" t="s">
        <v>15</v>
      </c>
      <c r="C175" s="123" t="s">
        <v>119</v>
      </c>
      <c r="D175" s="123" t="s">
        <v>122</v>
      </c>
      <c r="E175" s="14">
        <v>4.0180999999999996</v>
      </c>
      <c r="F175" s="14">
        <v>3.9099999999999469</v>
      </c>
      <c r="G175" s="14">
        <v>38.809999999999967</v>
      </c>
      <c r="H175" s="14">
        <v>1.5523999999999987</v>
      </c>
      <c r="I175" s="14">
        <v>0.53999999999998494</v>
      </c>
      <c r="J175" s="14">
        <v>-2.7800000000000047</v>
      </c>
      <c r="K175" s="15">
        <v>4.9999999999972289E-2</v>
      </c>
    </row>
    <row r="176" spans="1:11" x14ac:dyDescent="0.3">
      <c r="A176" s="13">
        <v>46210</v>
      </c>
      <c r="B176" s="14" t="s">
        <v>16</v>
      </c>
      <c r="C176" s="123" t="s">
        <v>122</v>
      </c>
      <c r="D176" s="123" t="s">
        <v>126</v>
      </c>
      <c r="E176" s="14">
        <v>4.0217999999999998</v>
      </c>
      <c r="F176" s="14">
        <v>0.37000000000002586</v>
      </c>
      <c r="G176" s="14">
        <v>39.179999999999993</v>
      </c>
      <c r="H176" s="14">
        <v>1.5671999999999997</v>
      </c>
      <c r="I176" s="14">
        <v>0.68000000000001393</v>
      </c>
      <c r="J176" s="14">
        <v>-1.5200000000000102</v>
      </c>
      <c r="K176" s="15">
        <v>-3.220000000000045</v>
      </c>
    </row>
    <row r="177" spans="1:11" x14ac:dyDescent="0.3">
      <c r="A177" s="13">
        <v>46210</v>
      </c>
      <c r="B177" s="14" t="s">
        <v>18</v>
      </c>
      <c r="C177" s="123" t="s">
        <v>126</v>
      </c>
      <c r="D177" s="123" t="s">
        <v>145</v>
      </c>
      <c r="E177" s="14">
        <v>4.0067000000000004</v>
      </c>
      <c r="F177" s="14">
        <v>-1.5099999999999447</v>
      </c>
      <c r="G177" s="14">
        <v>37.670000000000044</v>
      </c>
      <c r="H177" s="14">
        <v>1.5068000000000017</v>
      </c>
      <c r="I177" s="14">
        <v>0.67000000000003723</v>
      </c>
      <c r="J177" s="14">
        <v>-0.97999999999993648</v>
      </c>
      <c r="K177" s="15">
        <v>-5.8300000000000018</v>
      </c>
    </row>
    <row r="178" spans="1:11" x14ac:dyDescent="0.3">
      <c r="A178" s="13">
        <v>46210</v>
      </c>
      <c r="B178" s="14" t="s">
        <v>19</v>
      </c>
      <c r="C178" s="123" t="s">
        <v>145</v>
      </c>
      <c r="D178" s="123" t="s">
        <v>150</v>
      </c>
      <c r="E178" s="14">
        <v>3.9729999999999999</v>
      </c>
      <c r="F178" s="14">
        <v>-3.3700000000000507</v>
      </c>
      <c r="G178" s="14">
        <v>34.299999999999997</v>
      </c>
      <c r="H178" s="14">
        <v>1.3719999999999999</v>
      </c>
      <c r="I178" s="14">
        <v>0</v>
      </c>
      <c r="J178" s="14">
        <v>-0.60000000000002274</v>
      </c>
      <c r="K178" s="15" t="s">
        <v>41</v>
      </c>
    </row>
    <row r="179" spans="1:11" x14ac:dyDescent="0.3">
      <c r="A179" s="13">
        <v>46210</v>
      </c>
      <c r="B179" s="14"/>
      <c r="C179" s="123"/>
      <c r="D179" s="123"/>
      <c r="E179" s="14"/>
      <c r="F179" s="14"/>
      <c r="G179" s="14"/>
      <c r="H179" s="14"/>
      <c r="I179" s="14">
        <v>0</v>
      </c>
      <c r="J179" s="14">
        <v>0</v>
      </c>
      <c r="K179" s="15">
        <v>0</v>
      </c>
    </row>
    <row r="180" spans="1:11" x14ac:dyDescent="0.3">
      <c r="A180" s="13">
        <v>46210</v>
      </c>
      <c r="B180" s="14"/>
      <c r="C180" s="123"/>
      <c r="D180" s="123"/>
      <c r="E180" s="14"/>
      <c r="F180" s="14"/>
      <c r="G180" s="14"/>
      <c r="H180" s="14"/>
      <c r="I180" s="14">
        <v>0</v>
      </c>
      <c r="J180" s="14">
        <v>0</v>
      </c>
      <c r="K180" s="15">
        <v>0</v>
      </c>
    </row>
    <row r="181" spans="1:11" x14ac:dyDescent="0.3">
      <c r="A181" s="13">
        <v>46210</v>
      </c>
      <c r="B181" s="14"/>
      <c r="C181" s="123"/>
      <c r="D181" s="123"/>
      <c r="E181" s="14"/>
      <c r="F181" s="14"/>
      <c r="G181" s="14"/>
      <c r="H181" s="14"/>
      <c r="I181" s="14">
        <v>0</v>
      </c>
      <c r="J181" s="14">
        <v>0</v>
      </c>
      <c r="K181" s="15">
        <v>0</v>
      </c>
    </row>
    <row r="182" spans="1:11" x14ac:dyDescent="0.3">
      <c r="A182" s="13">
        <v>46211</v>
      </c>
      <c r="B182" s="14" t="s">
        <v>19</v>
      </c>
      <c r="C182" s="123" t="s">
        <v>94</v>
      </c>
      <c r="D182" s="123" t="s">
        <v>97</v>
      </c>
      <c r="E182" s="14">
        <v>3.7219000000000002</v>
      </c>
      <c r="F182" s="14">
        <v>9.1900000000000315</v>
      </c>
      <c r="G182" s="14">
        <v>9.1900000000000315</v>
      </c>
      <c r="H182" s="14">
        <v>0.36760000000000126</v>
      </c>
      <c r="I182" s="14">
        <v>2.0900000000000141</v>
      </c>
      <c r="J182" s="14">
        <v>1.3400000000000301</v>
      </c>
      <c r="K182" s="15">
        <v>5.4800000000000182</v>
      </c>
    </row>
    <row r="183" spans="1:11" x14ac:dyDescent="0.3">
      <c r="A183" s="13">
        <v>46211</v>
      </c>
      <c r="B183" s="14" t="s">
        <v>10</v>
      </c>
      <c r="C183" s="123" t="s">
        <v>97</v>
      </c>
      <c r="D183" s="123" t="s">
        <v>107</v>
      </c>
      <c r="E183" s="14">
        <v>3.8523999999999998</v>
      </c>
      <c r="F183" s="14">
        <v>13.049999999999962</v>
      </c>
      <c r="G183" s="14">
        <v>22.239999999999995</v>
      </c>
      <c r="H183" s="14">
        <v>0.88959999999999984</v>
      </c>
      <c r="I183" s="14">
        <v>4.1799999999999837</v>
      </c>
      <c r="J183" s="14">
        <v>2.289999999999992</v>
      </c>
      <c r="K183" s="15">
        <v>11.029999999999962</v>
      </c>
    </row>
    <row r="184" spans="1:11" x14ac:dyDescent="0.3">
      <c r="A184" s="13">
        <v>46211</v>
      </c>
      <c r="B184" s="14" t="s">
        <v>11</v>
      </c>
      <c r="C184" s="123" t="s">
        <v>107</v>
      </c>
      <c r="D184" s="123" t="s">
        <v>111</v>
      </c>
      <c r="E184" s="14">
        <v>3.9125999999999999</v>
      </c>
      <c r="F184" s="14">
        <v>6.0200000000000031</v>
      </c>
      <c r="G184" s="14">
        <v>28.259999999999998</v>
      </c>
      <c r="H184" s="14">
        <v>1.1303999999999998</v>
      </c>
      <c r="I184" s="14">
        <v>5.2200000000000024</v>
      </c>
      <c r="J184" s="14">
        <v>2.2699999999999942</v>
      </c>
      <c r="K184" s="15">
        <v>11.939999999999973</v>
      </c>
    </row>
    <row r="185" spans="1:11" x14ac:dyDescent="0.3">
      <c r="A185" s="13">
        <v>46211</v>
      </c>
      <c r="B185" s="14" t="s">
        <v>13</v>
      </c>
      <c r="C185" s="123" t="s">
        <v>111</v>
      </c>
      <c r="D185" s="123" t="s">
        <v>118</v>
      </c>
      <c r="E185" s="14">
        <v>4.0109000000000004</v>
      </c>
      <c r="F185" s="14">
        <v>9.8300000000000498</v>
      </c>
      <c r="G185" s="14">
        <v>38.090000000000046</v>
      </c>
      <c r="H185" s="14">
        <v>1.5236000000000018</v>
      </c>
      <c r="I185" s="14">
        <v>6.390000000000029</v>
      </c>
      <c r="J185" s="14">
        <v>2.770000000000028</v>
      </c>
      <c r="K185" s="15">
        <v>11.740000000000039</v>
      </c>
    </row>
    <row r="186" spans="1:11" x14ac:dyDescent="0.3">
      <c r="A186" s="13">
        <v>46211</v>
      </c>
      <c r="B186" s="14" t="s">
        <v>28</v>
      </c>
      <c r="C186" s="123" t="s">
        <v>118</v>
      </c>
      <c r="D186" s="123" t="s">
        <v>119</v>
      </c>
      <c r="E186" s="14">
        <v>4.0491000000000001</v>
      </c>
      <c r="F186" s="14">
        <v>3.819999999999979</v>
      </c>
      <c r="G186" s="14">
        <v>41.910000000000025</v>
      </c>
      <c r="H186" s="14">
        <v>1.676400000000001</v>
      </c>
      <c r="I186" s="14">
        <v>7.0100000000000051</v>
      </c>
      <c r="J186" s="14">
        <v>3.5099999999999909</v>
      </c>
      <c r="K186" s="15">
        <v>10.110000000000019</v>
      </c>
    </row>
    <row r="187" spans="1:11" x14ac:dyDescent="0.3">
      <c r="A187" s="13">
        <v>46211</v>
      </c>
      <c r="B187" s="14" t="s">
        <v>15</v>
      </c>
      <c r="C187" s="123" t="s">
        <v>119</v>
      </c>
      <c r="D187" s="123" t="s">
        <v>122</v>
      </c>
      <c r="E187" s="14">
        <v>4.0972999999999997</v>
      </c>
      <c r="F187" s="14">
        <v>4.8199999999999577</v>
      </c>
      <c r="G187" s="14">
        <v>46.729999999999983</v>
      </c>
      <c r="H187" s="14">
        <v>1.8691999999999993</v>
      </c>
      <c r="I187" s="14">
        <v>7.9200000000000159</v>
      </c>
      <c r="J187" s="14">
        <v>4.4599999999999973</v>
      </c>
      <c r="K187" s="15">
        <v>7.5299999999999478</v>
      </c>
    </row>
    <row r="188" spans="1:11" x14ac:dyDescent="0.3">
      <c r="A188" s="13">
        <v>46211</v>
      </c>
      <c r="B188" s="14" t="s">
        <v>16</v>
      </c>
      <c r="C188" s="123" t="s">
        <v>122</v>
      </c>
      <c r="D188" s="123" t="s">
        <v>126</v>
      </c>
      <c r="E188" s="14">
        <v>4.1100000000000003</v>
      </c>
      <c r="F188" s="14">
        <v>1.27000000000006</v>
      </c>
      <c r="G188" s="14">
        <v>48.000000000000043</v>
      </c>
      <c r="H188" s="14">
        <v>1.9200000000000017</v>
      </c>
      <c r="I188" s="14">
        <v>8.82000000000005</v>
      </c>
      <c r="J188" s="14">
        <v>5.600000000000005</v>
      </c>
      <c r="K188" s="15">
        <v>5.9300000000000352</v>
      </c>
    </row>
    <row r="189" spans="1:11" x14ac:dyDescent="0.3">
      <c r="A189" s="13">
        <v>46211</v>
      </c>
      <c r="B189" s="14" t="s">
        <v>18</v>
      </c>
      <c r="C189" s="123" t="s">
        <v>126</v>
      </c>
      <c r="D189" s="123" t="s">
        <v>145</v>
      </c>
      <c r="E189" s="14">
        <v>4.101</v>
      </c>
      <c r="F189" s="14">
        <v>-0.90000000000003411</v>
      </c>
      <c r="G189" s="14">
        <v>47.100000000000009</v>
      </c>
      <c r="H189" s="14">
        <v>1.8840000000000003</v>
      </c>
      <c r="I189" s="14">
        <v>9.4299999999999606</v>
      </c>
      <c r="J189" s="14">
        <v>7.1500000000000341</v>
      </c>
      <c r="K189" s="15">
        <v>4.1999999999999815</v>
      </c>
    </row>
    <row r="190" spans="1:11" x14ac:dyDescent="0.3">
      <c r="A190" s="13">
        <v>46211</v>
      </c>
      <c r="B190" s="14" t="s">
        <v>19</v>
      </c>
      <c r="C190" s="123" t="s">
        <v>145</v>
      </c>
      <c r="D190" s="123" t="s">
        <v>150</v>
      </c>
      <c r="E190" s="14">
        <v>4.0740999999999996</v>
      </c>
      <c r="F190" s="14">
        <v>-2.6900000000000368</v>
      </c>
      <c r="G190" s="14">
        <v>44.409999999999968</v>
      </c>
      <c r="H190" s="14">
        <v>1.7763999999999986</v>
      </c>
      <c r="I190" s="14">
        <v>10.109999999999975</v>
      </c>
      <c r="J190" s="14">
        <v>7.8099999999999614</v>
      </c>
      <c r="K190" s="15" t="s">
        <v>41</v>
      </c>
    </row>
    <row r="191" spans="1:11" x14ac:dyDescent="0.3">
      <c r="A191" s="13">
        <v>46211</v>
      </c>
      <c r="B191" s="14"/>
      <c r="C191" s="123"/>
      <c r="D191" s="123"/>
      <c r="E191" s="14"/>
      <c r="F191" s="14"/>
      <c r="G191" s="14"/>
      <c r="H191" s="14"/>
      <c r="I191" s="14">
        <v>0</v>
      </c>
      <c r="J191" s="14">
        <v>0</v>
      </c>
      <c r="K191" s="15">
        <v>0</v>
      </c>
    </row>
    <row r="192" spans="1:11" x14ac:dyDescent="0.3">
      <c r="A192" s="13">
        <v>46211</v>
      </c>
      <c r="B192" s="14"/>
      <c r="C192" s="123"/>
      <c r="D192" s="123"/>
      <c r="E192" s="14"/>
      <c r="F192" s="14"/>
      <c r="G192" s="14"/>
      <c r="H192" s="14"/>
      <c r="I192" s="14">
        <v>0</v>
      </c>
      <c r="J192" s="14">
        <v>0</v>
      </c>
      <c r="K192" s="15">
        <v>0</v>
      </c>
    </row>
    <row r="193" spans="1:11" x14ac:dyDescent="0.3">
      <c r="A193" s="13">
        <v>46211</v>
      </c>
      <c r="B193" s="14"/>
      <c r="C193" s="123"/>
      <c r="D193" s="123"/>
      <c r="E193" s="14"/>
      <c r="F193" s="14"/>
      <c r="G193" s="14"/>
      <c r="H193" s="14"/>
      <c r="I193" s="14">
        <v>0</v>
      </c>
      <c r="J193" s="14">
        <v>0</v>
      </c>
      <c r="K193" s="15">
        <v>0</v>
      </c>
    </row>
    <row r="194" spans="1:11" x14ac:dyDescent="0.3">
      <c r="A194" s="449">
        <v>46212</v>
      </c>
      <c r="B194" s="450" t="s">
        <v>19</v>
      </c>
      <c r="C194" s="451" t="s">
        <v>94</v>
      </c>
      <c r="D194" s="451" t="s">
        <v>97</v>
      </c>
      <c r="E194" s="450">
        <v>3.6930000000000001</v>
      </c>
      <c r="F194" s="450"/>
      <c r="G194" s="450"/>
      <c r="H194" s="450"/>
      <c r="I194" s="450"/>
      <c r="J194" s="450"/>
      <c r="K194" s="452"/>
    </row>
    <row r="195" spans="1:11" x14ac:dyDescent="0.3">
      <c r="A195" s="449">
        <v>46212</v>
      </c>
      <c r="B195" s="446" t="s">
        <v>10</v>
      </c>
      <c r="C195" s="447" t="s">
        <v>97</v>
      </c>
      <c r="D195" s="447" t="s">
        <v>107</v>
      </c>
      <c r="E195" s="446">
        <v>3.8166000000000002</v>
      </c>
      <c r="F195" s="446"/>
      <c r="G195" s="446"/>
      <c r="H195" s="446"/>
      <c r="I195" s="446"/>
      <c r="J195" s="446"/>
      <c r="K195" s="448"/>
    </row>
    <row r="196" spans="1:11" x14ac:dyDescent="0.3">
      <c r="A196" s="449">
        <v>46212</v>
      </c>
      <c r="B196" s="446" t="s">
        <v>11</v>
      </c>
      <c r="C196" s="447" t="s">
        <v>107</v>
      </c>
      <c r="D196" s="447" t="s">
        <v>111</v>
      </c>
      <c r="E196" s="446">
        <v>3.8742999999999999</v>
      </c>
      <c r="F196" s="446"/>
      <c r="G196" s="446"/>
      <c r="H196" s="446"/>
      <c r="I196" s="446"/>
      <c r="J196" s="446"/>
      <c r="K196" s="448"/>
    </row>
    <row r="197" spans="1:11" x14ac:dyDescent="0.3">
      <c r="A197" s="449">
        <v>46212</v>
      </c>
      <c r="B197" s="446" t="s">
        <v>13</v>
      </c>
      <c r="C197" s="447" t="s">
        <v>111</v>
      </c>
      <c r="D197" s="447" t="s">
        <v>118</v>
      </c>
      <c r="E197" s="446">
        <v>3.9716999999999998</v>
      </c>
      <c r="F197" s="446"/>
      <c r="G197" s="446"/>
      <c r="H197" s="446"/>
      <c r="I197" s="446"/>
      <c r="J197" s="446"/>
      <c r="K197" s="448"/>
    </row>
    <row r="198" spans="1:11" x14ac:dyDescent="0.3">
      <c r="A198" s="449">
        <v>46212</v>
      </c>
      <c r="B198" s="446" t="s">
        <v>28</v>
      </c>
      <c r="C198" s="447" t="s">
        <v>118</v>
      </c>
      <c r="D198" s="447" t="s">
        <v>119</v>
      </c>
      <c r="E198" s="446">
        <v>4.0128000000000004</v>
      </c>
      <c r="F198" s="446"/>
      <c r="G198" s="446"/>
      <c r="H198" s="446"/>
      <c r="I198" s="446"/>
      <c r="J198" s="446"/>
      <c r="K198" s="448"/>
    </row>
    <row r="199" spans="1:11" x14ac:dyDescent="0.3">
      <c r="A199" s="449">
        <v>46212</v>
      </c>
      <c r="B199" s="446" t="s">
        <v>15</v>
      </c>
      <c r="C199" s="447" t="s">
        <v>119</v>
      </c>
      <c r="D199" s="447" t="s">
        <v>122</v>
      </c>
      <c r="E199" s="446">
        <v>4.0599999999999996</v>
      </c>
      <c r="F199" s="446"/>
      <c r="G199" s="446"/>
      <c r="H199" s="446"/>
      <c r="I199" s="446"/>
      <c r="J199" s="446"/>
      <c r="K199" s="448"/>
    </row>
    <row r="200" spans="1:11" x14ac:dyDescent="0.3">
      <c r="A200" s="449">
        <v>46212</v>
      </c>
      <c r="B200" s="446" t="s">
        <v>16</v>
      </c>
      <c r="C200" s="447" t="s">
        <v>122</v>
      </c>
      <c r="D200" s="447" t="s">
        <v>126</v>
      </c>
      <c r="E200" s="446">
        <v>4.0711000000000004</v>
      </c>
      <c r="F200" s="446"/>
      <c r="G200" s="446"/>
      <c r="H200" s="446"/>
      <c r="I200" s="446"/>
      <c r="J200" s="446"/>
      <c r="K200" s="448"/>
    </row>
    <row r="201" spans="1:11" x14ac:dyDescent="0.3">
      <c r="A201" s="449">
        <v>46212</v>
      </c>
      <c r="B201" s="446" t="s">
        <v>18</v>
      </c>
      <c r="C201" s="447" t="s">
        <v>126</v>
      </c>
      <c r="D201" s="447" t="s">
        <v>145</v>
      </c>
      <c r="E201" s="446">
        <v>4.0583</v>
      </c>
      <c r="F201" s="446"/>
      <c r="G201" s="446"/>
      <c r="H201" s="446"/>
      <c r="I201" s="446"/>
      <c r="J201" s="446"/>
      <c r="K201" s="448"/>
    </row>
    <row r="202" spans="1:11" x14ac:dyDescent="0.3">
      <c r="A202" s="445">
        <v>46213</v>
      </c>
      <c r="B202" s="446" t="s">
        <v>19</v>
      </c>
      <c r="C202" s="447" t="s">
        <v>94</v>
      </c>
      <c r="D202" s="447" t="s">
        <v>97</v>
      </c>
      <c r="E202" s="446">
        <v>3.6917</v>
      </c>
      <c r="F202" s="446">
        <v>7.1699999999999875</v>
      </c>
      <c r="G202" s="446">
        <v>7.1699999999999875</v>
      </c>
      <c r="H202" s="446">
        <v>0.2867999999999995</v>
      </c>
      <c r="I202" s="446">
        <v>-0.13000000000000789</v>
      </c>
      <c r="J202" s="446">
        <v>0.97000000000000419</v>
      </c>
      <c r="K202" s="448">
        <v>3.2700000000000173</v>
      </c>
    </row>
    <row r="203" spans="1:11" x14ac:dyDescent="0.3">
      <c r="A203" s="445">
        <v>46213</v>
      </c>
      <c r="B203" s="446" t="s">
        <v>10</v>
      </c>
      <c r="C203" s="447" t="s">
        <v>97</v>
      </c>
      <c r="D203" s="447" t="s">
        <v>107</v>
      </c>
      <c r="E203" s="446">
        <v>3.8113000000000001</v>
      </c>
      <c r="F203" s="446">
        <v>11.960000000000015</v>
      </c>
      <c r="G203" s="446">
        <v>19.130000000000003</v>
      </c>
      <c r="H203" s="446">
        <v>0.7652000000000001</v>
      </c>
      <c r="I203" s="446">
        <v>-0.53000000000000824</v>
      </c>
      <c r="J203" s="446">
        <v>2.3200000000000109</v>
      </c>
      <c r="K203" s="448">
        <v>8.2100000000000062</v>
      </c>
    </row>
    <row r="204" spans="1:11" x14ac:dyDescent="0.3">
      <c r="A204" s="445">
        <v>46213</v>
      </c>
      <c r="B204" s="446" t="s">
        <v>11</v>
      </c>
      <c r="C204" s="447" t="s">
        <v>107</v>
      </c>
      <c r="D204" s="447" t="s">
        <v>111</v>
      </c>
      <c r="E204" s="446">
        <v>3.8666999999999998</v>
      </c>
      <c r="F204" s="446">
        <v>5.5399999999999672</v>
      </c>
      <c r="G204" s="446">
        <v>24.66999999999997</v>
      </c>
      <c r="H204" s="446">
        <v>0.98679999999999879</v>
      </c>
      <c r="I204" s="446">
        <v>-0.76000000000000512</v>
      </c>
      <c r="J204" s="446">
        <v>2.42</v>
      </c>
      <c r="K204" s="448">
        <v>8.6500000000000021</v>
      </c>
    </row>
    <row r="205" spans="1:11" x14ac:dyDescent="0.3">
      <c r="A205" s="445">
        <v>46213</v>
      </c>
      <c r="B205" s="446" t="s">
        <v>13</v>
      </c>
      <c r="C205" s="447" t="s">
        <v>111</v>
      </c>
      <c r="D205" s="447" t="s">
        <v>118</v>
      </c>
      <c r="E205" s="446">
        <v>3.96</v>
      </c>
      <c r="F205" s="446">
        <v>9.3300000000000161</v>
      </c>
      <c r="G205" s="446">
        <v>33.999999999999986</v>
      </c>
      <c r="H205" s="446">
        <v>1.3599999999999994</v>
      </c>
      <c r="I205" s="446">
        <v>-1.1699999999999822</v>
      </c>
      <c r="J205" s="446">
        <v>2.3000000000000131</v>
      </c>
      <c r="K205" s="448">
        <v>8.6300000000000043</v>
      </c>
    </row>
    <row r="206" spans="1:11" x14ac:dyDescent="0.3">
      <c r="A206" s="445">
        <v>46213</v>
      </c>
      <c r="B206" s="446" t="s">
        <v>28</v>
      </c>
      <c r="C206" s="447" t="s">
        <v>118</v>
      </c>
      <c r="D206" s="447" t="s">
        <v>119</v>
      </c>
      <c r="E206" s="446">
        <v>4.0010000000000003</v>
      </c>
      <c r="F206" s="446">
        <v>4.1000000000000369</v>
      </c>
      <c r="G206" s="446">
        <v>38.100000000000023</v>
      </c>
      <c r="H206" s="446">
        <v>1.5240000000000009</v>
      </c>
      <c r="I206" s="446">
        <v>-1.1800000000000033</v>
      </c>
      <c r="J206" s="446">
        <v>3.2000000000000473</v>
      </c>
      <c r="K206" s="448">
        <v>7.7700000000000546</v>
      </c>
    </row>
    <row r="207" spans="1:11" x14ac:dyDescent="0.3">
      <c r="A207" s="445">
        <v>46213</v>
      </c>
      <c r="B207" s="446" t="s">
        <v>15</v>
      </c>
      <c r="C207" s="447" t="s">
        <v>119</v>
      </c>
      <c r="D207" s="447" t="s">
        <v>122</v>
      </c>
      <c r="E207" s="446">
        <v>4.0510000000000002</v>
      </c>
      <c r="F207" s="446">
        <v>4.9999999999999822</v>
      </c>
      <c r="G207" s="446">
        <v>43.100000000000009</v>
      </c>
      <c r="H207" s="446">
        <v>1.7240000000000004</v>
      </c>
      <c r="I207" s="446">
        <v>-0.89999999999994529</v>
      </c>
      <c r="J207" s="446">
        <v>3.6999999999999922</v>
      </c>
      <c r="K207" s="448">
        <v>6.490000000000018</v>
      </c>
    </row>
    <row r="208" spans="1:11" x14ac:dyDescent="0.3">
      <c r="A208" s="445">
        <v>46213</v>
      </c>
      <c r="B208" s="446" t="s">
        <v>16</v>
      </c>
      <c r="C208" s="447" t="s">
        <v>122</v>
      </c>
      <c r="D208" s="447" t="s">
        <v>126</v>
      </c>
      <c r="E208" s="446">
        <v>4.0659999999999998</v>
      </c>
      <c r="F208" s="446">
        <v>1.499999999999968</v>
      </c>
      <c r="G208" s="446">
        <v>44.599999999999973</v>
      </c>
      <c r="H208" s="446">
        <v>1.7839999999999989</v>
      </c>
      <c r="I208" s="446">
        <v>-0.51000000000005485</v>
      </c>
      <c r="J208" s="446">
        <v>4.4999999999999929</v>
      </c>
      <c r="K208" s="448">
        <v>4.5499999999999652</v>
      </c>
    </row>
    <row r="209" spans="1:11" x14ac:dyDescent="0.3">
      <c r="A209" s="445">
        <v>46213</v>
      </c>
      <c r="B209" s="446" t="s">
        <v>18</v>
      </c>
      <c r="C209" s="447" t="s">
        <v>126</v>
      </c>
      <c r="D209" s="447" t="s">
        <v>145</v>
      </c>
      <c r="E209" s="446">
        <v>4.0620000000000003</v>
      </c>
      <c r="F209" s="446">
        <v>-0.39999999999995595</v>
      </c>
      <c r="G209" s="446">
        <v>44.200000000000017</v>
      </c>
      <c r="H209" s="446">
        <v>1.7680000000000007</v>
      </c>
      <c r="I209" s="446">
        <v>0.37000000000002586</v>
      </c>
      <c r="J209" s="446">
        <v>5.5000000000000604</v>
      </c>
      <c r="K209" s="448">
        <v>3.5000000000000142</v>
      </c>
    </row>
    <row r="210" spans="1:11" x14ac:dyDescent="0.3">
      <c r="A210" s="445">
        <v>46213</v>
      </c>
      <c r="B210" s="446" t="s">
        <v>19</v>
      </c>
      <c r="C210" s="447" t="s">
        <v>145</v>
      </c>
      <c r="D210" s="447" t="s">
        <v>150</v>
      </c>
      <c r="E210" s="446">
        <v>4.04</v>
      </c>
      <c r="F210" s="446">
        <v>-2.2000000000000242</v>
      </c>
      <c r="G210" s="446">
        <v>41.999999999999993</v>
      </c>
      <c r="H210" s="446">
        <v>1.6799999999999997</v>
      </c>
      <c r="I210" s="446" t="s">
        <v>41</v>
      </c>
      <c r="J210" s="446">
        <v>6.0999999999999943</v>
      </c>
      <c r="K210" s="448" t="s">
        <v>41</v>
      </c>
    </row>
    <row r="211" spans="1:11" x14ac:dyDescent="0.3">
      <c r="A211" s="445">
        <v>46213</v>
      </c>
      <c r="B211" s="446"/>
      <c r="C211" s="447"/>
      <c r="D211" s="447"/>
      <c r="E211" s="446"/>
      <c r="F211" s="446"/>
      <c r="G211" s="446"/>
      <c r="H211" s="446"/>
      <c r="I211" s="446" t="s">
        <v>41</v>
      </c>
      <c r="J211" s="446">
        <v>0</v>
      </c>
      <c r="K211" s="448">
        <v>0</v>
      </c>
    </row>
    <row r="212" spans="1:11" x14ac:dyDescent="0.3">
      <c r="A212" s="445">
        <v>46213</v>
      </c>
      <c r="B212" s="446"/>
      <c r="C212" s="447"/>
      <c r="D212" s="447"/>
      <c r="E212" s="446"/>
      <c r="F212" s="446"/>
      <c r="G212" s="446"/>
      <c r="H212" s="446"/>
      <c r="I212" s="446" t="s">
        <v>41</v>
      </c>
      <c r="J212" s="446">
        <v>0</v>
      </c>
      <c r="K212" s="448">
        <v>0</v>
      </c>
    </row>
    <row r="213" spans="1:11" x14ac:dyDescent="0.3">
      <c r="A213" s="445">
        <v>46213</v>
      </c>
      <c r="B213" s="446"/>
      <c r="C213" s="447"/>
      <c r="D213" s="447"/>
      <c r="E213" s="446"/>
      <c r="F213" s="446"/>
      <c r="G213" s="446"/>
      <c r="H213" s="446"/>
      <c r="I213" s="446" t="s">
        <v>41</v>
      </c>
      <c r="J213" s="446">
        <v>0</v>
      </c>
      <c r="K213" s="448">
        <v>0</v>
      </c>
    </row>
    <row r="214" spans="1:11" x14ac:dyDescent="0.3">
      <c r="A214" s="464">
        <v>46216</v>
      </c>
      <c r="B214" s="465" t="s">
        <v>19</v>
      </c>
      <c r="C214" s="466" t="s">
        <v>94</v>
      </c>
      <c r="D214" s="466" t="s">
        <v>97</v>
      </c>
      <c r="E214" s="465">
        <v>3.7299000000000002</v>
      </c>
      <c r="F214" s="465">
        <v>10.990000000000011</v>
      </c>
      <c r="G214" s="465">
        <v>10.990000000000011</v>
      </c>
      <c r="H214" s="465">
        <v>0.43960000000000043</v>
      </c>
      <c r="I214" s="465">
        <v>3.8200000000000234</v>
      </c>
      <c r="J214" s="465">
        <v>3.3900000000000041</v>
      </c>
      <c r="K214" s="467">
        <v>7.0900000000000407</v>
      </c>
    </row>
    <row r="215" spans="1:11" x14ac:dyDescent="0.3">
      <c r="A215" s="464">
        <v>46216</v>
      </c>
      <c r="B215" s="465" t="s">
        <v>10</v>
      </c>
      <c r="C215" s="466" t="s">
        <v>97</v>
      </c>
      <c r="D215" s="466" t="s">
        <v>107</v>
      </c>
      <c r="E215" s="465">
        <v>3.8635000000000002</v>
      </c>
      <c r="F215" s="465">
        <v>13.359999999999994</v>
      </c>
      <c r="G215" s="465">
        <v>24.350000000000005</v>
      </c>
      <c r="H215" s="465">
        <v>0.9740000000000002</v>
      </c>
      <c r="I215" s="465">
        <v>5.2200000000000024</v>
      </c>
      <c r="J215" s="465">
        <v>6.0400000000000009</v>
      </c>
      <c r="K215" s="467">
        <v>13.430000000000009</v>
      </c>
    </row>
    <row r="216" spans="1:11" x14ac:dyDescent="0.3">
      <c r="A216" s="464">
        <v>46216</v>
      </c>
      <c r="B216" s="465" t="s">
        <v>11</v>
      </c>
      <c r="C216" s="466" t="s">
        <v>107</v>
      </c>
      <c r="D216" s="466" t="s">
        <v>111</v>
      </c>
      <c r="E216" s="465">
        <v>3.9319999999999999</v>
      </c>
      <c r="F216" s="465">
        <v>6.8499999999999783</v>
      </c>
      <c r="G216" s="465">
        <v>31.199999999999982</v>
      </c>
      <c r="H216" s="465">
        <v>1.2479999999999993</v>
      </c>
      <c r="I216" s="465">
        <v>6.5300000000000136</v>
      </c>
      <c r="J216" s="465">
        <v>7.989999999999986</v>
      </c>
      <c r="K216" s="467">
        <v>15.180000000000016</v>
      </c>
    </row>
    <row r="217" spans="1:11" x14ac:dyDescent="0.3">
      <c r="A217" s="464">
        <v>46216</v>
      </c>
      <c r="B217" s="465" t="s">
        <v>13</v>
      </c>
      <c r="C217" s="466" t="s">
        <v>111</v>
      </c>
      <c r="D217" s="466" t="s">
        <v>118</v>
      </c>
      <c r="E217" s="465">
        <v>4.0327999999999999</v>
      </c>
      <c r="F217" s="465">
        <v>10.08</v>
      </c>
      <c r="G217" s="465">
        <v>41.279999999999987</v>
      </c>
      <c r="H217" s="465">
        <v>1.6511999999999996</v>
      </c>
      <c r="I217" s="465">
        <v>7.2799999999999976</v>
      </c>
      <c r="J217" s="465">
        <v>9.1400000000000148</v>
      </c>
      <c r="K217" s="467">
        <v>15.910000000000002</v>
      </c>
    </row>
    <row r="218" spans="1:11" x14ac:dyDescent="0.3">
      <c r="A218" s="464">
        <v>46216</v>
      </c>
      <c r="B218" s="465" t="s">
        <v>28</v>
      </c>
      <c r="C218" s="466" t="s">
        <v>118</v>
      </c>
      <c r="D218" s="466" t="s">
        <v>119</v>
      </c>
      <c r="E218" s="465">
        <v>4.0788000000000002</v>
      </c>
      <c r="F218" s="465">
        <v>4.6000000000000263</v>
      </c>
      <c r="G218" s="465">
        <v>45.88000000000001</v>
      </c>
      <c r="H218" s="465">
        <v>1.8352000000000004</v>
      </c>
      <c r="I218" s="465">
        <v>7.7799999999999869</v>
      </c>
      <c r="J218" s="465">
        <v>10.380000000000011</v>
      </c>
      <c r="K218" s="467">
        <v>15.550000000000042</v>
      </c>
    </row>
    <row r="219" spans="1:11" x14ac:dyDescent="0.3">
      <c r="A219" s="464">
        <v>46216</v>
      </c>
      <c r="B219" s="465" t="s">
        <v>15</v>
      </c>
      <c r="C219" s="466" t="s">
        <v>119</v>
      </c>
      <c r="D219" s="466" t="s">
        <v>122</v>
      </c>
      <c r="E219" s="465">
        <v>4.1291000000000002</v>
      </c>
      <c r="F219" s="465">
        <v>5.0300000000000011</v>
      </c>
      <c r="G219" s="465">
        <v>50.910000000000011</v>
      </c>
      <c r="H219" s="465">
        <v>2.0364000000000004</v>
      </c>
      <c r="I219" s="465">
        <v>7.8100000000000058</v>
      </c>
      <c r="J219" s="465">
        <v>11.64000000000005</v>
      </c>
      <c r="K219" s="467">
        <v>14.300000000000024</v>
      </c>
    </row>
    <row r="220" spans="1:11" x14ac:dyDescent="0.3">
      <c r="A220" s="464">
        <v>46216</v>
      </c>
      <c r="B220" s="465" t="s">
        <v>16</v>
      </c>
      <c r="C220" s="466" t="s">
        <v>122</v>
      </c>
      <c r="D220" s="466" t="s">
        <v>126</v>
      </c>
      <c r="E220" s="465">
        <v>4.1420000000000003</v>
      </c>
      <c r="F220" s="465">
        <v>1.2900000000000134</v>
      </c>
      <c r="G220" s="465">
        <v>52.200000000000024</v>
      </c>
      <c r="H220" s="465">
        <v>2.088000000000001</v>
      </c>
      <c r="I220" s="465">
        <v>7.6000000000000512</v>
      </c>
      <c r="J220" s="465">
        <v>12.700000000000067</v>
      </c>
      <c r="K220" s="467">
        <v>12.150000000000016</v>
      </c>
    </row>
    <row r="221" spans="1:11" x14ac:dyDescent="0.3">
      <c r="A221" s="464">
        <v>46216</v>
      </c>
      <c r="B221" s="465" t="s">
        <v>18</v>
      </c>
      <c r="C221" s="466" t="s">
        <v>126</v>
      </c>
      <c r="D221" s="466" t="s">
        <v>145</v>
      </c>
      <c r="E221" s="465">
        <v>4.1349999999999998</v>
      </c>
      <c r="F221" s="465">
        <v>-0.70000000000005613</v>
      </c>
      <c r="G221" s="465">
        <v>51.499999999999972</v>
      </c>
      <c r="H221" s="465">
        <v>2.0599999999999987</v>
      </c>
      <c r="I221" s="465">
        <v>7.299999999999951</v>
      </c>
      <c r="J221" s="465">
        <v>13.499999999999979</v>
      </c>
      <c r="K221" s="467">
        <v>10.799999999999965</v>
      </c>
    </row>
    <row r="222" spans="1:11" x14ac:dyDescent="0.3">
      <c r="A222" s="464">
        <v>46216</v>
      </c>
      <c r="B222" s="465" t="s">
        <v>19</v>
      </c>
      <c r="C222" s="466" t="s">
        <v>145</v>
      </c>
      <c r="D222" s="466" t="s">
        <v>150</v>
      </c>
      <c r="E222" s="465">
        <v>4.1079999999999997</v>
      </c>
      <c r="F222" s="465">
        <v>-2.7000000000000135</v>
      </c>
      <c r="G222" s="465">
        <v>48.799999999999955</v>
      </c>
      <c r="H222" s="465">
        <v>1.9519999999999982</v>
      </c>
      <c r="I222" s="465">
        <v>6.7999999999999616</v>
      </c>
      <c r="J222" s="465">
        <v>13.499999999999979</v>
      </c>
      <c r="K222" s="467" t="s">
        <v>41</v>
      </c>
    </row>
    <row r="223" spans="1:11" x14ac:dyDescent="0.3">
      <c r="A223" s="464">
        <v>46216</v>
      </c>
      <c r="B223" s="465"/>
      <c r="C223" s="466"/>
      <c r="D223" s="466"/>
      <c r="E223" s="465"/>
      <c r="F223" s="465"/>
      <c r="G223" s="465"/>
      <c r="H223" s="465"/>
      <c r="I223" s="465">
        <v>0</v>
      </c>
      <c r="J223" s="465">
        <v>0</v>
      </c>
      <c r="K223" s="467">
        <v>0</v>
      </c>
    </row>
    <row r="224" spans="1:11" x14ac:dyDescent="0.3">
      <c r="A224" s="464">
        <v>46216</v>
      </c>
      <c r="B224" s="465"/>
      <c r="C224" s="466"/>
      <c r="D224" s="466"/>
      <c r="E224" s="465"/>
      <c r="F224" s="465"/>
      <c r="G224" s="465"/>
      <c r="H224" s="465"/>
      <c r="I224" s="465">
        <v>0</v>
      </c>
      <c r="J224" s="465">
        <v>0</v>
      </c>
      <c r="K224" s="467">
        <v>0</v>
      </c>
    </row>
    <row r="225" spans="1:11" x14ac:dyDescent="0.3">
      <c r="A225" s="464">
        <v>46216</v>
      </c>
      <c r="B225" s="465"/>
      <c r="C225" s="466"/>
      <c r="D225" s="466"/>
      <c r="E225" s="465"/>
      <c r="F225" s="465"/>
      <c r="G225" s="465"/>
      <c r="H225" s="465"/>
      <c r="I225" s="465">
        <v>0</v>
      </c>
      <c r="J225" s="465">
        <v>0</v>
      </c>
      <c r="K225" s="467">
        <v>0</v>
      </c>
    </row>
    <row r="226" spans="1:11" x14ac:dyDescent="0.3">
      <c r="A226" s="479">
        <v>46217</v>
      </c>
      <c r="B226" s="480" t="s">
        <v>19</v>
      </c>
      <c r="C226" s="481" t="s">
        <v>94</v>
      </c>
      <c r="D226" s="481" t="s">
        <v>97</v>
      </c>
      <c r="E226" s="480">
        <v>3.6669999999999998</v>
      </c>
      <c r="F226" s="480">
        <v>4.6999999999999709</v>
      </c>
      <c r="G226" s="480">
        <v>4.6999999999999709</v>
      </c>
      <c r="H226" s="480">
        <v>0.18799999999999883</v>
      </c>
      <c r="I226" s="480">
        <v>-6.29000000000004</v>
      </c>
      <c r="J226" s="480">
        <v>-3.4000000000000252</v>
      </c>
      <c r="K226" s="482">
        <v>1.499999999999968</v>
      </c>
    </row>
    <row r="227" spans="1:11" x14ac:dyDescent="0.3">
      <c r="A227" s="479">
        <v>46217</v>
      </c>
      <c r="B227" s="480" t="s">
        <v>10</v>
      </c>
      <c r="C227" s="481" t="s">
        <v>97</v>
      </c>
      <c r="D227" s="481" t="s">
        <v>107</v>
      </c>
      <c r="E227" s="480">
        <v>3.7980999999999998</v>
      </c>
      <c r="F227" s="480">
        <v>13.11</v>
      </c>
      <c r="G227" s="480">
        <v>17.80999999999997</v>
      </c>
      <c r="H227" s="480">
        <v>0.71239999999999881</v>
      </c>
      <c r="I227" s="480">
        <v>-6.5400000000000347</v>
      </c>
      <c r="J227" s="480">
        <v>-1.2500000000000178</v>
      </c>
      <c r="K227" s="482">
        <v>9.529999999999994</v>
      </c>
    </row>
    <row r="228" spans="1:11" x14ac:dyDescent="0.3">
      <c r="A228" s="479">
        <v>46217</v>
      </c>
      <c r="B228" s="480" t="s">
        <v>11</v>
      </c>
      <c r="C228" s="481" t="s">
        <v>107</v>
      </c>
      <c r="D228" s="481" t="s">
        <v>111</v>
      </c>
      <c r="E228" s="480">
        <v>3.8578999999999999</v>
      </c>
      <c r="F228" s="480">
        <v>5.9800000000000075</v>
      </c>
      <c r="G228" s="480">
        <v>23.789999999999978</v>
      </c>
      <c r="H228" s="480">
        <v>0.95159999999999911</v>
      </c>
      <c r="I228" s="480">
        <v>-7.4100000000000055</v>
      </c>
      <c r="J228" s="480">
        <v>-0.24999999999999467</v>
      </c>
      <c r="K228" s="482">
        <v>12.119999999999997</v>
      </c>
    </row>
    <row r="229" spans="1:11" x14ac:dyDescent="0.3">
      <c r="A229" s="479">
        <v>46217</v>
      </c>
      <c r="B229" s="480" t="s">
        <v>13</v>
      </c>
      <c r="C229" s="481" t="s">
        <v>111</v>
      </c>
      <c r="D229" s="481" t="s">
        <v>118</v>
      </c>
      <c r="E229" s="480">
        <v>3.9518</v>
      </c>
      <c r="F229" s="480">
        <v>9.3900000000000095</v>
      </c>
      <c r="G229" s="480">
        <v>33.179999999999986</v>
      </c>
      <c r="H229" s="480">
        <v>1.3271999999999995</v>
      </c>
      <c r="I229" s="480">
        <v>-8.0999999999999961</v>
      </c>
      <c r="J229" s="480">
        <v>0.47999999999999154</v>
      </c>
      <c r="K229" s="482">
        <v>13.430000000000009</v>
      </c>
    </row>
    <row r="230" spans="1:11" x14ac:dyDescent="0.3">
      <c r="A230" s="479">
        <v>46217</v>
      </c>
      <c r="B230" s="480" t="s">
        <v>28</v>
      </c>
      <c r="C230" s="481" t="s">
        <v>118</v>
      </c>
      <c r="D230" s="481" t="s">
        <v>119</v>
      </c>
      <c r="E230" s="480">
        <v>3.9965000000000002</v>
      </c>
      <c r="F230" s="480">
        <v>4.4700000000000184</v>
      </c>
      <c r="G230" s="480">
        <v>37.650000000000006</v>
      </c>
      <c r="H230" s="480">
        <v>1.5060000000000002</v>
      </c>
      <c r="I230" s="480">
        <v>-8.230000000000004</v>
      </c>
      <c r="J230" s="480">
        <v>1.7500000000000071</v>
      </c>
      <c r="K230" s="482">
        <v>13.100000000000023</v>
      </c>
    </row>
    <row r="231" spans="1:11" x14ac:dyDescent="0.3">
      <c r="A231" s="479">
        <v>46217</v>
      </c>
      <c r="B231" s="480" t="s">
        <v>15</v>
      </c>
      <c r="C231" s="481" t="s">
        <v>119</v>
      </c>
      <c r="D231" s="481" t="s">
        <v>122</v>
      </c>
      <c r="E231" s="480">
        <v>4.0519999999999996</v>
      </c>
      <c r="F231" s="480">
        <v>5.5499999999999439</v>
      </c>
      <c r="G231" s="480">
        <v>43.199999999999946</v>
      </c>
      <c r="H231" s="480">
        <v>1.7279999999999978</v>
      </c>
      <c r="I231" s="480">
        <v>-7.7100000000000612</v>
      </c>
      <c r="J231" s="480">
        <v>3.3900000000000041</v>
      </c>
      <c r="K231" s="482">
        <v>12.599999999999945</v>
      </c>
    </row>
    <row r="232" spans="1:11" x14ac:dyDescent="0.3">
      <c r="A232" s="479">
        <v>46217</v>
      </c>
      <c r="B232" s="480" t="s">
        <v>16</v>
      </c>
      <c r="C232" s="481" t="s">
        <v>122</v>
      </c>
      <c r="D232" s="481" t="s">
        <v>126</v>
      </c>
      <c r="E232" s="480">
        <v>4.0720000000000001</v>
      </c>
      <c r="F232" s="480">
        <v>2.0000000000000462</v>
      </c>
      <c r="G232" s="480">
        <v>45.199999999999996</v>
      </c>
      <c r="H232" s="480">
        <v>1.8079999999999998</v>
      </c>
      <c r="I232" s="480">
        <v>-7.0000000000000284</v>
      </c>
      <c r="J232" s="480">
        <v>5.0200000000000244</v>
      </c>
      <c r="K232" s="482">
        <v>12.300000000000022</v>
      </c>
    </row>
    <row r="233" spans="1:11" x14ac:dyDescent="0.3">
      <c r="A233" s="479">
        <v>46217</v>
      </c>
      <c r="B233" s="480" t="s">
        <v>18</v>
      </c>
      <c r="C233" s="481" t="s">
        <v>126</v>
      </c>
      <c r="D233" s="481" t="s">
        <v>145</v>
      </c>
      <c r="E233" s="480">
        <v>4.0716999999999999</v>
      </c>
      <c r="F233" s="480">
        <v>-3.00000000000189E-2</v>
      </c>
      <c r="G233" s="480">
        <v>45.169999999999973</v>
      </c>
      <c r="H233" s="480">
        <v>1.8067999999999989</v>
      </c>
      <c r="I233" s="480">
        <v>-6.3299999999999912</v>
      </c>
      <c r="J233" s="480">
        <v>6.4999999999999503</v>
      </c>
      <c r="K233" s="482" t="s">
        <v>41</v>
      </c>
    </row>
    <row r="234" spans="1:11" x14ac:dyDescent="0.3">
      <c r="A234" s="479">
        <v>46217</v>
      </c>
      <c r="B234" s="480" t="s">
        <v>19</v>
      </c>
      <c r="C234" s="481" t="s">
        <v>145</v>
      </c>
      <c r="D234" s="481" t="s">
        <v>150</v>
      </c>
      <c r="E234" s="480">
        <v>4.0513000000000003</v>
      </c>
      <c r="F234" s="480">
        <v>-2.039999999999953</v>
      </c>
      <c r="G234" s="480">
        <v>43.130000000000024</v>
      </c>
      <c r="H234" s="480">
        <v>1.725200000000001</v>
      </c>
      <c r="I234" s="480">
        <v>-5.6699999999999307</v>
      </c>
      <c r="J234" s="480">
        <v>7.830000000000048</v>
      </c>
      <c r="K234" s="482" t="s">
        <v>41</v>
      </c>
    </row>
    <row r="235" spans="1:11" x14ac:dyDescent="0.3">
      <c r="A235" s="479">
        <v>46217</v>
      </c>
      <c r="B235" s="480"/>
      <c r="C235" s="481"/>
      <c r="D235" s="481"/>
      <c r="E235" s="480"/>
      <c r="F235" s="480"/>
      <c r="G235" s="480"/>
      <c r="H235" s="480"/>
      <c r="I235" s="480">
        <v>0</v>
      </c>
      <c r="J235" s="480">
        <v>0</v>
      </c>
      <c r="K235" s="482" t="s">
        <v>41</v>
      </c>
    </row>
    <row r="236" spans="1:11" x14ac:dyDescent="0.3">
      <c r="A236" s="479">
        <v>46217</v>
      </c>
      <c r="B236" s="480"/>
      <c r="C236" s="481"/>
      <c r="D236" s="481"/>
      <c r="E236" s="480"/>
      <c r="F236" s="480"/>
      <c r="G236" s="480"/>
      <c r="H236" s="480"/>
      <c r="I236" s="480">
        <v>0</v>
      </c>
      <c r="J236" s="480">
        <v>0</v>
      </c>
      <c r="K236" s="482" t="s">
        <v>41</v>
      </c>
    </row>
    <row r="237" spans="1:11" x14ac:dyDescent="0.3">
      <c r="A237" s="479">
        <v>46217</v>
      </c>
      <c r="B237" s="480"/>
      <c r="C237" s="481"/>
      <c r="D237" s="481"/>
      <c r="E237" s="480"/>
      <c r="F237" s="480"/>
      <c r="G237" s="480"/>
      <c r="H237" s="480"/>
      <c r="I237" s="480">
        <v>0</v>
      </c>
      <c r="J237" s="480">
        <v>0</v>
      </c>
      <c r="K237" s="482" t="s">
        <v>41</v>
      </c>
    </row>
    <row r="238" spans="1:11" x14ac:dyDescent="0.3">
      <c r="A238" s="13">
        <v>46218</v>
      </c>
      <c r="B238" s="14" t="s">
        <v>19</v>
      </c>
      <c r="C238" s="123" t="s">
        <v>94</v>
      </c>
      <c r="D238" s="123" t="s">
        <v>97</v>
      </c>
      <c r="E238" s="14">
        <v>3.6623999999999999</v>
      </c>
      <c r="F238" s="14">
        <v>3.2399999999999984</v>
      </c>
      <c r="G238" s="14">
        <v>3.2399999999999984</v>
      </c>
      <c r="H238" s="14">
        <v>0.12959999999999994</v>
      </c>
      <c r="I238" s="14">
        <v>-0.45999999999999375</v>
      </c>
      <c r="J238" s="14">
        <v>-5.950000000000033</v>
      </c>
      <c r="K238" s="15">
        <v>1.1200000000000099</v>
      </c>
    </row>
    <row r="239" spans="1:11" x14ac:dyDescent="0.3">
      <c r="A239" s="13">
        <v>46218</v>
      </c>
      <c r="B239" s="14" t="s">
        <v>10</v>
      </c>
      <c r="C239" s="123" t="s">
        <v>97</v>
      </c>
      <c r="D239" s="123" t="s">
        <v>107</v>
      </c>
      <c r="E239" s="14">
        <v>3.7704</v>
      </c>
      <c r="F239" s="14">
        <v>10.80000000000001</v>
      </c>
      <c r="G239" s="14">
        <v>14.040000000000008</v>
      </c>
      <c r="H239" s="14">
        <v>0.56160000000000032</v>
      </c>
      <c r="I239" s="14">
        <v>-2.7699999999999836</v>
      </c>
      <c r="J239" s="14">
        <v>-8.1999999999999851</v>
      </c>
      <c r="K239" s="15">
        <v>6.7400000000000126</v>
      </c>
    </row>
    <row r="240" spans="1:11" x14ac:dyDescent="0.3">
      <c r="A240" s="13">
        <v>46218</v>
      </c>
      <c r="B240" s="14" t="s">
        <v>11</v>
      </c>
      <c r="C240" s="123" t="s">
        <v>107</v>
      </c>
      <c r="D240" s="123" t="s">
        <v>111</v>
      </c>
      <c r="E240" s="14">
        <v>3.8214000000000001</v>
      </c>
      <c r="F240" s="14">
        <v>5.1000000000000156</v>
      </c>
      <c r="G240" s="14">
        <v>19.140000000000022</v>
      </c>
      <c r="H240" s="14">
        <v>0.76560000000000084</v>
      </c>
      <c r="I240" s="14">
        <v>-3.6499999999999755</v>
      </c>
      <c r="J240" s="14">
        <v>-9.1199999999999726</v>
      </c>
      <c r="K240" s="15">
        <v>8.8100000000000289</v>
      </c>
    </row>
    <row r="241" spans="1:11" x14ac:dyDescent="0.3">
      <c r="A241" s="13">
        <v>46218</v>
      </c>
      <c r="B241" s="14" t="s">
        <v>13</v>
      </c>
      <c r="C241" s="123" t="s">
        <v>111</v>
      </c>
      <c r="D241" s="123" t="s">
        <v>118</v>
      </c>
      <c r="E241" s="14">
        <v>3.9039000000000001</v>
      </c>
      <c r="F241" s="14">
        <v>8.2500000000000018</v>
      </c>
      <c r="G241" s="14">
        <v>27.390000000000025</v>
      </c>
      <c r="H241" s="14">
        <v>1.095600000000001</v>
      </c>
      <c r="I241" s="14">
        <v>-4.7899999999999832</v>
      </c>
      <c r="J241" s="14">
        <v>-10.700000000000021</v>
      </c>
      <c r="K241" s="15">
        <v>8.9100000000000179</v>
      </c>
    </row>
    <row r="242" spans="1:11" x14ac:dyDescent="0.3">
      <c r="A242" s="13">
        <v>46218</v>
      </c>
      <c r="B242" s="14" t="s">
        <v>28</v>
      </c>
      <c r="C242" s="123" t="s">
        <v>118</v>
      </c>
      <c r="D242" s="123" t="s">
        <v>119</v>
      </c>
      <c r="E242" s="14">
        <v>3.9434</v>
      </c>
      <c r="F242" s="14">
        <v>3.9499999999999869</v>
      </c>
      <c r="G242" s="14">
        <v>31.340000000000011</v>
      </c>
      <c r="H242" s="14">
        <v>1.2536000000000005</v>
      </c>
      <c r="I242" s="14">
        <v>-5.3100000000000147</v>
      </c>
      <c r="J242" s="14">
        <v>-10.570000000000013</v>
      </c>
      <c r="K242" s="15">
        <v>9.4399999999999817</v>
      </c>
    </row>
    <row r="243" spans="1:11" x14ac:dyDescent="0.3">
      <c r="A243" s="13">
        <v>46218</v>
      </c>
      <c r="B243" s="14" t="s">
        <v>15</v>
      </c>
      <c r="C243" s="123" t="s">
        <v>119</v>
      </c>
      <c r="D243" s="123" t="s">
        <v>122</v>
      </c>
      <c r="E243" s="14">
        <v>3.9980000000000002</v>
      </c>
      <c r="F243" s="14">
        <v>5.4600000000000204</v>
      </c>
      <c r="G243" s="14">
        <v>36.800000000000033</v>
      </c>
      <c r="H243" s="14">
        <v>1.4720000000000013</v>
      </c>
      <c r="I243" s="14">
        <v>-5.3999999999999382</v>
      </c>
      <c r="J243" s="14">
        <v>-9.92999999999995</v>
      </c>
      <c r="K243" s="15">
        <v>10.570000000000013</v>
      </c>
    </row>
    <row r="244" spans="1:11" x14ac:dyDescent="0.3">
      <c r="A244" s="13">
        <v>46218</v>
      </c>
      <c r="B244" s="14" t="s">
        <v>16</v>
      </c>
      <c r="C244" s="123" t="s">
        <v>122</v>
      </c>
      <c r="D244" s="123" t="s">
        <v>126</v>
      </c>
      <c r="E244" s="14">
        <v>4.0199999999999996</v>
      </c>
      <c r="F244" s="14">
        <v>2.1999999999999353</v>
      </c>
      <c r="G244" s="14">
        <v>38.999999999999972</v>
      </c>
      <c r="H244" s="14">
        <v>1.5599999999999989</v>
      </c>
      <c r="I244" s="14">
        <v>-5.200000000000049</v>
      </c>
      <c r="J244" s="14">
        <v>-9.0000000000000746</v>
      </c>
      <c r="K244" s="15">
        <v>10.899999999999954</v>
      </c>
    </row>
    <row r="245" spans="1:11" x14ac:dyDescent="0.3">
      <c r="A245" s="13">
        <v>46218</v>
      </c>
      <c r="B245" s="14" t="s">
        <v>18</v>
      </c>
      <c r="C245" s="123" t="s">
        <v>126</v>
      </c>
      <c r="D245" s="123" t="s">
        <v>145</v>
      </c>
      <c r="E245" s="14">
        <v>4.0209999999999999</v>
      </c>
      <c r="F245" s="14">
        <v>0.1000000000000334</v>
      </c>
      <c r="G245" s="14">
        <v>39.1</v>
      </c>
      <c r="H245" s="14">
        <v>1.5640000000000001</v>
      </c>
      <c r="I245" s="14">
        <v>-5.0699999999999967</v>
      </c>
      <c r="J245" s="14">
        <v>-8.0000000000000071</v>
      </c>
      <c r="K245" s="15">
        <v>12.129999999999974</v>
      </c>
    </row>
    <row r="246" spans="1:11" x14ac:dyDescent="0.3">
      <c r="A246" s="13">
        <v>46218</v>
      </c>
      <c r="B246" s="14" t="s">
        <v>19</v>
      </c>
      <c r="C246" s="123" t="s">
        <v>145</v>
      </c>
      <c r="D246" s="123" t="s">
        <v>150</v>
      </c>
      <c r="E246" s="14">
        <v>4.0010000000000003</v>
      </c>
      <c r="F246" s="14">
        <v>-1.9999999999999574</v>
      </c>
      <c r="G246" s="14">
        <v>37.100000000000044</v>
      </c>
      <c r="H246" s="14">
        <v>1.4840000000000018</v>
      </c>
      <c r="I246" s="14">
        <v>-5.0300000000000011</v>
      </c>
      <c r="J246" s="14">
        <v>-7.3099999999999277</v>
      </c>
      <c r="K246" s="15" t="s">
        <v>41</v>
      </c>
    </row>
    <row r="247" spans="1:11" x14ac:dyDescent="0.3">
      <c r="A247" s="13">
        <v>46218</v>
      </c>
      <c r="B247" s="14"/>
      <c r="C247" s="123"/>
      <c r="D247" s="123"/>
      <c r="E247" s="14"/>
      <c r="F247" s="14"/>
      <c r="G247" s="14"/>
      <c r="H247" s="14"/>
      <c r="I247" s="14">
        <v>0</v>
      </c>
      <c r="J247" s="14">
        <v>0</v>
      </c>
      <c r="K247" s="15">
        <v>0</v>
      </c>
    </row>
    <row r="248" spans="1:11" x14ac:dyDescent="0.3">
      <c r="A248" s="13">
        <v>46218</v>
      </c>
      <c r="B248" s="14"/>
      <c r="C248" s="123"/>
      <c r="D248" s="123"/>
      <c r="E248" s="14"/>
      <c r="F248" s="14"/>
      <c r="G248" s="14"/>
      <c r="H248" s="14"/>
      <c r="I248" s="14">
        <v>0</v>
      </c>
      <c r="J248" s="14">
        <v>0</v>
      </c>
      <c r="K248" s="15">
        <v>0</v>
      </c>
    </row>
    <row r="249" spans="1:11" x14ac:dyDescent="0.3">
      <c r="A249" s="13">
        <v>46218</v>
      </c>
      <c r="B249" s="14"/>
      <c r="C249" s="123"/>
      <c r="D249" s="123"/>
      <c r="E249" s="14"/>
      <c r="F249" s="14"/>
      <c r="G249" s="14"/>
      <c r="H249" s="14"/>
      <c r="I249" s="14">
        <v>0</v>
      </c>
      <c r="J249" s="14">
        <v>0</v>
      </c>
      <c r="K249" s="15">
        <v>0</v>
      </c>
    </row>
    <row r="250" spans="1:11" x14ac:dyDescent="0.3">
      <c r="A250" s="13">
        <v>46219</v>
      </c>
      <c r="B250" s="14" t="s">
        <v>19</v>
      </c>
      <c r="C250" s="123" t="s">
        <v>94</v>
      </c>
      <c r="D250" s="123" t="s">
        <v>97</v>
      </c>
      <c r="E250" s="14">
        <v>3.6659999999999999</v>
      </c>
      <c r="F250" s="14">
        <v>3.6000000000000032</v>
      </c>
      <c r="G250" s="14">
        <v>3.6000000000000032</v>
      </c>
      <c r="H250" s="14">
        <v>0.14400000000000013</v>
      </c>
      <c r="I250" s="14">
        <v>0.36000000000000476</v>
      </c>
      <c r="J250" s="14">
        <v>-2.7000000000000135</v>
      </c>
      <c r="K250" s="15">
        <v>0.64999999999999503</v>
      </c>
    </row>
    <row r="251" spans="1:11" x14ac:dyDescent="0.3">
      <c r="A251" s="13">
        <v>46219</v>
      </c>
      <c r="B251" s="14" t="s">
        <v>10</v>
      </c>
      <c r="C251" s="123" t="s">
        <v>97</v>
      </c>
      <c r="D251" s="123" t="s">
        <v>107</v>
      </c>
      <c r="E251" s="14">
        <v>3.7850000000000001</v>
      </c>
      <c r="F251" s="14">
        <v>11.900000000000022</v>
      </c>
      <c r="G251" s="14">
        <v>15.500000000000025</v>
      </c>
      <c r="H251" s="14">
        <v>0.62000000000000099</v>
      </c>
      <c r="I251" s="14">
        <v>1.4600000000000168</v>
      </c>
      <c r="J251" s="14">
        <v>-3.1600000000000072</v>
      </c>
      <c r="K251" s="15">
        <v>7.0699999999999985</v>
      </c>
    </row>
    <row r="252" spans="1:11" x14ac:dyDescent="0.3">
      <c r="A252" s="13">
        <v>46219</v>
      </c>
      <c r="B252" s="14" t="s">
        <v>11</v>
      </c>
      <c r="C252" s="123" t="s">
        <v>107</v>
      </c>
      <c r="D252" s="123" t="s">
        <v>111</v>
      </c>
      <c r="E252" s="14">
        <v>3.8338000000000001</v>
      </c>
      <c r="F252" s="14">
        <v>4.8799999999999955</v>
      </c>
      <c r="G252" s="14">
        <v>20.38000000000002</v>
      </c>
      <c r="H252" s="14">
        <v>0.81520000000000081</v>
      </c>
      <c r="I252" s="14">
        <v>1.2399999999999967</v>
      </c>
      <c r="J252" s="14">
        <v>-4.0499999999999758</v>
      </c>
      <c r="K252" s="15">
        <v>8.8600000000000012</v>
      </c>
    </row>
    <row r="253" spans="1:11" x14ac:dyDescent="0.3">
      <c r="A253" s="13">
        <v>46219</v>
      </c>
      <c r="B253" s="14" t="s">
        <v>13</v>
      </c>
      <c r="C253" s="123" t="s">
        <v>111</v>
      </c>
      <c r="D253" s="123" t="s">
        <v>118</v>
      </c>
      <c r="E253" s="14">
        <v>3.9129999999999998</v>
      </c>
      <c r="F253" s="14">
        <v>7.9199999999999715</v>
      </c>
      <c r="G253" s="14">
        <v>28.29999999999999</v>
      </c>
      <c r="H253" s="14">
        <v>1.1319999999999997</v>
      </c>
      <c r="I253" s="14">
        <v>0.90999999999996639</v>
      </c>
      <c r="J253" s="14">
        <v>-5.8699999999999974</v>
      </c>
      <c r="K253" s="15">
        <v>8.2799999999999763</v>
      </c>
    </row>
    <row r="254" spans="1:11" x14ac:dyDescent="0.3">
      <c r="A254" s="13">
        <v>46219</v>
      </c>
      <c r="B254" s="14" t="s">
        <v>28</v>
      </c>
      <c r="C254" s="123" t="s">
        <v>118</v>
      </c>
      <c r="D254" s="123" t="s">
        <v>119</v>
      </c>
      <c r="E254" s="14">
        <v>3.9529000000000001</v>
      </c>
      <c r="F254" s="14">
        <v>3.9900000000000269</v>
      </c>
      <c r="G254" s="14">
        <v>32.29000000000002</v>
      </c>
      <c r="H254" s="14">
        <v>1.2916000000000007</v>
      </c>
      <c r="I254" s="14">
        <v>0.95000000000000639</v>
      </c>
      <c r="J254" s="14">
        <v>-5.9900000000000286</v>
      </c>
      <c r="K254" s="15">
        <v>8.4900000000000198</v>
      </c>
    </row>
    <row r="255" spans="1:11" x14ac:dyDescent="0.3">
      <c r="A255" s="13">
        <v>46219</v>
      </c>
      <c r="B255" s="14" t="s">
        <v>15</v>
      </c>
      <c r="C255" s="123" t="s">
        <v>119</v>
      </c>
      <c r="D255" s="123" t="s">
        <v>122</v>
      </c>
      <c r="E255" s="14">
        <v>4.0023</v>
      </c>
      <c r="F255" s="14">
        <v>4.9399999999999888</v>
      </c>
      <c r="G255" s="14">
        <v>37.230000000000004</v>
      </c>
      <c r="H255" s="14">
        <v>1.4892000000000001</v>
      </c>
      <c r="I255" s="14">
        <v>0.42999999999997485</v>
      </c>
      <c r="J255" s="14">
        <v>-5.769999999999964</v>
      </c>
      <c r="K255" s="15">
        <v>8.230000000000004</v>
      </c>
    </row>
    <row r="256" spans="1:11" x14ac:dyDescent="0.3">
      <c r="A256" s="13">
        <v>46219</v>
      </c>
      <c r="B256" s="14" t="s">
        <v>16</v>
      </c>
      <c r="C256" s="123" t="s">
        <v>122</v>
      </c>
      <c r="D256" s="123" t="s">
        <v>126</v>
      </c>
      <c r="E256" s="14">
        <v>4.0255999999999998</v>
      </c>
      <c r="F256" s="14">
        <v>2.3299999999999876</v>
      </c>
      <c r="G256" s="14">
        <v>39.559999999999995</v>
      </c>
      <c r="H256" s="14">
        <v>1.5823999999999998</v>
      </c>
      <c r="I256" s="14">
        <v>0.56000000000002714</v>
      </c>
      <c r="J256" s="14">
        <v>-4.550000000000054</v>
      </c>
      <c r="K256" s="15">
        <v>10.199999999999987</v>
      </c>
    </row>
    <row r="257" spans="1:11" x14ac:dyDescent="0.3">
      <c r="A257" s="13">
        <v>46219</v>
      </c>
      <c r="B257" s="14" t="s">
        <v>18</v>
      </c>
      <c r="C257" s="123" t="s">
        <v>126</v>
      </c>
      <c r="D257" s="123" t="s">
        <v>145</v>
      </c>
      <c r="E257" s="14">
        <v>4.0265000000000004</v>
      </c>
      <c r="F257" s="14">
        <v>9.0000000000056701E-2</v>
      </c>
      <c r="G257" s="14">
        <v>39.650000000000048</v>
      </c>
      <c r="H257" s="14">
        <v>1.5860000000000019</v>
      </c>
      <c r="I257" s="14">
        <v>0.55000000000005045</v>
      </c>
      <c r="J257" s="14">
        <v>-3.1799999999999606</v>
      </c>
      <c r="K257" s="15">
        <v>9.8500000000000476</v>
      </c>
    </row>
    <row r="258" spans="1:11" x14ac:dyDescent="0.3">
      <c r="A258" s="13">
        <v>46219</v>
      </c>
      <c r="B258" s="14" t="s">
        <v>19</v>
      </c>
      <c r="C258" s="123" t="s">
        <v>145</v>
      </c>
      <c r="D258" s="123" t="s">
        <v>150</v>
      </c>
      <c r="E258" s="14">
        <v>4.0110000000000001</v>
      </c>
      <c r="F258" s="14">
        <v>-1.5500000000000291</v>
      </c>
      <c r="G258" s="14">
        <v>38.100000000000023</v>
      </c>
      <c r="H258" s="14">
        <v>1.5240000000000009</v>
      </c>
      <c r="I258" s="14">
        <v>0.99999999999997868</v>
      </c>
      <c r="J258" s="14" t="s">
        <v>41</v>
      </c>
      <c r="K258" s="15" t="s">
        <v>41</v>
      </c>
    </row>
    <row r="259" spans="1:11" x14ac:dyDescent="0.3">
      <c r="A259" s="13">
        <v>46219</v>
      </c>
      <c r="B259" s="14"/>
      <c r="C259" s="123"/>
      <c r="D259" s="123"/>
      <c r="E259" s="14"/>
      <c r="F259" s="14"/>
      <c r="G259" s="14"/>
      <c r="H259" s="14"/>
      <c r="I259" s="14">
        <v>0</v>
      </c>
      <c r="J259" s="14" t="s">
        <v>41</v>
      </c>
      <c r="K259" s="15">
        <v>0</v>
      </c>
    </row>
    <row r="260" spans="1:11" x14ac:dyDescent="0.3">
      <c r="A260" s="13">
        <v>46219</v>
      </c>
      <c r="B260" s="14"/>
      <c r="C260" s="123"/>
      <c r="D260" s="123"/>
      <c r="E260" s="14"/>
      <c r="F260" s="14"/>
      <c r="G260" s="14"/>
      <c r="H260" s="14"/>
      <c r="I260" s="14">
        <v>0</v>
      </c>
      <c r="J260" s="14" t="s">
        <v>41</v>
      </c>
      <c r="K260" s="15">
        <v>0</v>
      </c>
    </row>
    <row r="261" spans="1:11" x14ac:dyDescent="0.3">
      <c r="A261" s="13">
        <v>46219</v>
      </c>
      <c r="B261" s="14"/>
      <c r="C261" s="123"/>
      <c r="D261" s="123"/>
      <c r="E261" s="14"/>
      <c r="F261" s="14"/>
      <c r="G261" s="14"/>
      <c r="H261" s="14"/>
      <c r="I261" s="14">
        <v>0</v>
      </c>
      <c r="J261" s="14" t="s">
        <v>41</v>
      </c>
      <c r="K261" s="15">
        <v>0</v>
      </c>
    </row>
    <row r="262" spans="1:11" x14ac:dyDescent="0.3">
      <c r="A262" s="494">
        <v>46220</v>
      </c>
      <c r="B262" s="495" t="s">
        <v>19</v>
      </c>
      <c r="C262" s="496" t="s">
        <v>94</v>
      </c>
      <c r="D262" s="496" t="s">
        <v>97</v>
      </c>
      <c r="E262" s="495">
        <v>3.6627000000000001</v>
      </c>
      <c r="F262" s="495">
        <v>3.2700000000000173</v>
      </c>
      <c r="G262" s="495">
        <v>3.2700000000000173</v>
      </c>
      <c r="H262" s="495">
        <v>0.13080000000000069</v>
      </c>
      <c r="I262" s="495">
        <v>-0.32999999999998586</v>
      </c>
      <c r="J262" s="495">
        <v>-2.8999999999999915</v>
      </c>
      <c r="K262" s="497">
        <v>3.9999999999995595E-2</v>
      </c>
    </row>
    <row r="263" spans="1:11" x14ac:dyDescent="0.3">
      <c r="A263" s="494">
        <v>46220</v>
      </c>
      <c r="B263" s="495" t="s">
        <v>10</v>
      </c>
      <c r="C263" s="496" t="s">
        <v>97</v>
      </c>
      <c r="D263" s="496" t="s">
        <v>107</v>
      </c>
      <c r="E263" s="495">
        <v>3.7793999999999999</v>
      </c>
      <c r="F263" s="495">
        <v>11.66999999999998</v>
      </c>
      <c r="G263" s="495">
        <v>14.939999999999998</v>
      </c>
      <c r="H263" s="495">
        <v>0.59759999999999991</v>
      </c>
      <c r="I263" s="495">
        <v>-0.56000000000002714</v>
      </c>
      <c r="J263" s="495">
        <v>-3.1900000000000261</v>
      </c>
      <c r="K263" s="497">
        <v>6.0299999999999798</v>
      </c>
    </row>
    <row r="264" spans="1:11" x14ac:dyDescent="0.3">
      <c r="A264" s="494">
        <v>46220</v>
      </c>
      <c r="B264" s="495" t="s">
        <v>11</v>
      </c>
      <c r="C264" s="496" t="s">
        <v>107</v>
      </c>
      <c r="D264" s="496" t="s">
        <v>111</v>
      </c>
      <c r="E264" s="495">
        <v>3.8315999999999999</v>
      </c>
      <c r="F264" s="495">
        <v>5.2200000000000024</v>
      </c>
      <c r="G264" s="495">
        <v>20.16</v>
      </c>
      <c r="H264" s="495">
        <v>0.80640000000000001</v>
      </c>
      <c r="I264" s="495">
        <v>-0.22000000000002018</v>
      </c>
      <c r="J264" s="495">
        <v>-3.5099999999999909</v>
      </c>
      <c r="K264" s="497">
        <v>7.649999999999979</v>
      </c>
    </row>
    <row r="265" spans="1:11" x14ac:dyDescent="0.3">
      <c r="A265" s="494">
        <v>46220</v>
      </c>
      <c r="B265" s="495" t="s">
        <v>13</v>
      </c>
      <c r="C265" s="496" t="s">
        <v>111</v>
      </c>
      <c r="D265" s="496" t="s">
        <v>118</v>
      </c>
      <c r="E265" s="495">
        <v>3.9127999999999998</v>
      </c>
      <c r="F265" s="495">
        <v>8.1199999999999939</v>
      </c>
      <c r="G265" s="495">
        <v>28.279999999999994</v>
      </c>
      <c r="H265" s="495">
        <v>1.1311999999999998</v>
      </c>
      <c r="I265" s="495">
        <v>-1.9999999999997797E-2</v>
      </c>
      <c r="J265" s="495">
        <v>-4.7200000000000131</v>
      </c>
      <c r="K265" s="497">
        <v>7.2200000000000042</v>
      </c>
    </row>
    <row r="266" spans="1:11" x14ac:dyDescent="0.3">
      <c r="A266" s="494">
        <v>46220</v>
      </c>
      <c r="B266" s="495" t="s">
        <v>28</v>
      </c>
      <c r="C266" s="496" t="s">
        <v>118</v>
      </c>
      <c r="D266" s="496" t="s">
        <v>119</v>
      </c>
      <c r="E266" s="495">
        <v>3.9481000000000002</v>
      </c>
      <c r="F266" s="495">
        <v>3.5300000000000331</v>
      </c>
      <c r="G266" s="495">
        <v>31.810000000000027</v>
      </c>
      <c r="H266" s="495">
        <v>1.2724000000000011</v>
      </c>
      <c r="I266" s="495">
        <v>-0.47999999999999154</v>
      </c>
      <c r="J266" s="495">
        <v>-5.2900000000000169</v>
      </c>
      <c r="K266" s="497">
        <v>7.26</v>
      </c>
    </row>
    <row r="267" spans="1:11" x14ac:dyDescent="0.3">
      <c r="A267" s="494">
        <v>46220</v>
      </c>
      <c r="B267" s="495" t="s">
        <v>15</v>
      </c>
      <c r="C267" s="496" t="s">
        <v>119</v>
      </c>
      <c r="D267" s="496" t="s">
        <v>122</v>
      </c>
      <c r="E267" s="495">
        <v>3.9927000000000001</v>
      </c>
      <c r="F267" s="495">
        <v>4.4599999999999973</v>
      </c>
      <c r="G267" s="495">
        <v>36.270000000000024</v>
      </c>
      <c r="H267" s="495">
        <v>1.450800000000001</v>
      </c>
      <c r="I267" s="495">
        <v>-0.95999999999998309</v>
      </c>
      <c r="J267" s="495">
        <v>-5.8300000000000018</v>
      </c>
      <c r="K267" s="497">
        <v>7.2700000000000209</v>
      </c>
    </row>
    <row r="268" spans="1:11" x14ac:dyDescent="0.3">
      <c r="A268" s="494">
        <v>46220</v>
      </c>
      <c r="B268" s="495" t="s">
        <v>16</v>
      </c>
      <c r="C268" s="496" t="s">
        <v>122</v>
      </c>
      <c r="D268" s="496" t="s">
        <v>126</v>
      </c>
      <c r="E268" s="495">
        <v>4.0069999999999997</v>
      </c>
      <c r="F268" s="495">
        <v>1.4299999999999535</v>
      </c>
      <c r="G268" s="495">
        <v>37.699999999999974</v>
      </c>
      <c r="H268" s="495">
        <v>1.5079999999999989</v>
      </c>
      <c r="I268" s="495">
        <v>-1.8600000000000172</v>
      </c>
      <c r="J268" s="495">
        <v>-5.9000000000000163</v>
      </c>
      <c r="K268" s="497">
        <v>8.3499999999999464</v>
      </c>
    </row>
    <row r="269" spans="1:11" x14ac:dyDescent="0.3">
      <c r="A269" s="494">
        <v>46220</v>
      </c>
      <c r="B269" s="495" t="s">
        <v>18</v>
      </c>
      <c r="C269" s="496" t="s">
        <v>126</v>
      </c>
      <c r="D269" s="496" t="s">
        <v>145</v>
      </c>
      <c r="E269" s="495">
        <v>4.0019999999999998</v>
      </c>
      <c r="F269" s="495">
        <v>-0.49999999999998934</v>
      </c>
      <c r="G269" s="495">
        <v>37.199999999999989</v>
      </c>
      <c r="H269" s="495">
        <v>1.4879999999999995</v>
      </c>
      <c r="I269" s="495">
        <v>-2.4500000000000632</v>
      </c>
      <c r="J269" s="495">
        <v>-6.0000000000000497</v>
      </c>
      <c r="K269" s="497">
        <v>7.8999999999999737</v>
      </c>
    </row>
    <row r="270" spans="1:11" x14ac:dyDescent="0.3">
      <c r="A270" s="494">
        <v>46220</v>
      </c>
      <c r="B270" s="495" t="s">
        <v>19</v>
      </c>
      <c r="C270" s="496" t="s">
        <v>145</v>
      </c>
      <c r="D270" s="496" t="s">
        <v>150</v>
      </c>
      <c r="E270" s="495">
        <v>3.972</v>
      </c>
      <c r="F270" s="495">
        <v>-2.9999999999999805</v>
      </c>
      <c r="G270" s="495">
        <v>34.20000000000001</v>
      </c>
      <c r="H270" s="495">
        <v>1.3680000000000003</v>
      </c>
      <c r="I270" s="495">
        <v>-3.9000000000000146</v>
      </c>
      <c r="J270" s="495">
        <v>-6.800000000000006</v>
      </c>
      <c r="K270" s="497" t="s">
        <v>41</v>
      </c>
    </row>
    <row r="271" spans="1:11" x14ac:dyDescent="0.3">
      <c r="A271" s="494">
        <v>46220</v>
      </c>
      <c r="B271" s="495"/>
      <c r="C271" s="496"/>
      <c r="D271" s="496"/>
      <c r="E271" s="495"/>
      <c r="F271" s="495"/>
      <c r="G271" s="495"/>
      <c r="H271" s="495"/>
      <c r="I271" s="495">
        <v>0</v>
      </c>
      <c r="J271" s="495">
        <v>0</v>
      </c>
      <c r="K271" s="497">
        <v>0</v>
      </c>
    </row>
    <row r="272" spans="1:11" x14ac:dyDescent="0.3">
      <c r="A272" s="494">
        <v>46220</v>
      </c>
      <c r="B272" s="495"/>
      <c r="C272" s="496"/>
      <c r="D272" s="496"/>
      <c r="E272" s="495"/>
      <c r="F272" s="495"/>
      <c r="G272" s="495"/>
      <c r="H272" s="495"/>
      <c r="I272" s="495">
        <v>0</v>
      </c>
      <c r="J272" s="495">
        <v>0</v>
      </c>
      <c r="K272" s="497">
        <v>0</v>
      </c>
    </row>
    <row r="273" spans="1:11" x14ac:dyDescent="0.3">
      <c r="A273" s="494">
        <v>46220</v>
      </c>
      <c r="B273" s="495"/>
      <c r="C273" s="496"/>
      <c r="D273" s="496"/>
      <c r="E273" s="495"/>
      <c r="F273" s="495"/>
      <c r="G273" s="495"/>
      <c r="H273" s="495"/>
      <c r="I273" s="495">
        <v>0</v>
      </c>
      <c r="J273" s="495">
        <v>0</v>
      </c>
      <c r="K273" s="497">
        <v>0</v>
      </c>
    </row>
    <row r="274" spans="1:11" x14ac:dyDescent="0.3">
      <c r="A274" s="494">
        <v>46223</v>
      </c>
      <c r="B274" s="495" t="s">
        <v>19</v>
      </c>
      <c r="C274" s="496" t="s">
        <v>94</v>
      </c>
      <c r="D274" s="496" t="s">
        <v>97</v>
      </c>
      <c r="E274" s="495">
        <v>3.6726999999999999</v>
      </c>
      <c r="F274" s="495">
        <v>4.269999999999996</v>
      </c>
      <c r="G274" s="495">
        <v>4.269999999999996</v>
      </c>
      <c r="H274" s="495">
        <v>0.17079999999999984</v>
      </c>
      <c r="I274" s="495">
        <v>0.99999999999997868</v>
      </c>
      <c r="J274" s="495">
        <v>-5.7200000000000362</v>
      </c>
      <c r="K274" s="497">
        <v>1.0399999999999743</v>
      </c>
    </row>
    <row r="275" spans="1:11" x14ac:dyDescent="0.3">
      <c r="A275" s="494">
        <v>46223</v>
      </c>
      <c r="B275" s="495" t="s">
        <v>10</v>
      </c>
      <c r="C275" s="496" t="s">
        <v>97</v>
      </c>
      <c r="D275" s="496" t="s">
        <v>107</v>
      </c>
      <c r="E275" s="495">
        <v>3.8121</v>
      </c>
      <c r="F275" s="495">
        <v>13.940000000000019</v>
      </c>
      <c r="G275" s="495">
        <v>18.210000000000015</v>
      </c>
      <c r="H275" s="495">
        <v>0.7284000000000006</v>
      </c>
      <c r="I275" s="495">
        <v>3.2700000000000173</v>
      </c>
      <c r="J275" s="495">
        <v>-5.1400000000000112</v>
      </c>
      <c r="K275" s="497">
        <v>9.2999999999999972</v>
      </c>
    </row>
    <row r="276" spans="1:11" x14ac:dyDescent="0.3">
      <c r="A276" s="494">
        <v>46223</v>
      </c>
      <c r="B276" s="495" t="s">
        <v>11</v>
      </c>
      <c r="C276" s="496" t="s">
        <v>107</v>
      </c>
      <c r="D276" s="496" t="s">
        <v>111</v>
      </c>
      <c r="E276" s="495">
        <v>3.8765999999999998</v>
      </c>
      <c r="F276" s="495">
        <v>6.449999999999978</v>
      </c>
      <c r="G276" s="495">
        <v>24.659999999999993</v>
      </c>
      <c r="H276" s="495">
        <v>0.98639999999999972</v>
      </c>
      <c r="I276" s="495">
        <v>4.4999999999999929</v>
      </c>
      <c r="J276" s="495">
        <v>-5.5400000000000116</v>
      </c>
      <c r="K276" s="497">
        <v>12.149999999999972</v>
      </c>
    </row>
    <row r="277" spans="1:11" x14ac:dyDescent="0.3">
      <c r="A277" s="494">
        <v>46223</v>
      </c>
      <c r="B277" s="495" t="s">
        <v>13</v>
      </c>
      <c r="C277" s="496" t="s">
        <v>111</v>
      </c>
      <c r="D277" s="496" t="s">
        <v>118</v>
      </c>
      <c r="E277" s="495">
        <v>3.9748000000000001</v>
      </c>
      <c r="F277" s="495">
        <v>9.8200000000000287</v>
      </c>
      <c r="G277" s="495">
        <v>34.480000000000018</v>
      </c>
      <c r="H277" s="495">
        <v>1.3792000000000006</v>
      </c>
      <c r="I277" s="495">
        <v>6.2000000000000277</v>
      </c>
      <c r="J277" s="495">
        <v>-5.7999999999999829</v>
      </c>
      <c r="K277" s="497">
        <v>13.420000000000032</v>
      </c>
    </row>
    <row r="278" spans="1:11" x14ac:dyDescent="0.3">
      <c r="A278" s="494">
        <v>46223</v>
      </c>
      <c r="B278" s="495" t="s">
        <v>28</v>
      </c>
      <c r="C278" s="496" t="s">
        <v>118</v>
      </c>
      <c r="D278" s="496" t="s">
        <v>119</v>
      </c>
      <c r="E278" s="495">
        <v>4.0190000000000001</v>
      </c>
      <c r="F278" s="495">
        <v>4.4200000000000017</v>
      </c>
      <c r="G278" s="495">
        <v>38.90000000000002</v>
      </c>
      <c r="H278" s="495">
        <v>1.5560000000000007</v>
      </c>
      <c r="I278" s="495">
        <v>7.0899999999999963</v>
      </c>
      <c r="J278" s="495">
        <v>-5.9800000000000075</v>
      </c>
      <c r="K278" s="497">
        <v>14.349999999999996</v>
      </c>
    </row>
    <row r="279" spans="1:11" x14ac:dyDescent="0.3">
      <c r="A279" s="494">
        <v>46223</v>
      </c>
      <c r="B279" s="495" t="s">
        <v>15</v>
      </c>
      <c r="C279" s="496" t="s">
        <v>119</v>
      </c>
      <c r="D279" s="496" t="s">
        <v>122</v>
      </c>
      <c r="E279" s="495">
        <v>4.0704000000000002</v>
      </c>
      <c r="F279" s="495">
        <v>5.1400000000000112</v>
      </c>
      <c r="G279" s="495">
        <v>44.040000000000035</v>
      </c>
      <c r="H279" s="495">
        <v>1.7616000000000014</v>
      </c>
      <c r="I279" s="495">
        <v>7.7700000000000102</v>
      </c>
      <c r="J279" s="495">
        <v>-5.8699999999999974</v>
      </c>
      <c r="K279" s="497">
        <v>15.040000000000031</v>
      </c>
    </row>
    <row r="280" spans="1:11" x14ac:dyDescent="0.3">
      <c r="A280" s="494">
        <v>46223</v>
      </c>
      <c r="B280" s="495" t="s">
        <v>16</v>
      </c>
      <c r="C280" s="496" t="s">
        <v>122</v>
      </c>
      <c r="D280" s="496" t="s">
        <v>126</v>
      </c>
      <c r="E280" s="495">
        <v>4.09</v>
      </c>
      <c r="F280" s="495">
        <v>1.9599999999999618</v>
      </c>
      <c r="G280" s="495">
        <v>46</v>
      </c>
      <c r="H280" s="495">
        <v>1.84</v>
      </c>
      <c r="I280" s="495">
        <v>8.3000000000000185</v>
      </c>
      <c r="J280" s="495">
        <v>-5.200000000000049</v>
      </c>
      <c r="K280" s="497">
        <v>16.649999999999963</v>
      </c>
    </row>
    <row r="281" spans="1:11" x14ac:dyDescent="0.3">
      <c r="A281" s="494">
        <v>46223</v>
      </c>
      <c r="B281" s="495" t="s">
        <v>18</v>
      </c>
      <c r="C281" s="496" t="s">
        <v>126</v>
      </c>
      <c r="D281" s="496" t="s">
        <v>145</v>
      </c>
      <c r="E281" s="495">
        <v>4.0890000000000004</v>
      </c>
      <c r="F281" s="495">
        <v>-9.9999999999944578E-2</v>
      </c>
      <c r="G281" s="495">
        <v>45.900000000000048</v>
      </c>
      <c r="H281" s="495">
        <v>1.8360000000000019</v>
      </c>
      <c r="I281" s="495">
        <v>8.7000000000000632</v>
      </c>
      <c r="J281" s="495">
        <v>-4.5999999999999375</v>
      </c>
      <c r="K281" s="497">
        <v>16.600000000000037</v>
      </c>
    </row>
    <row r="282" spans="1:11" x14ac:dyDescent="0.3">
      <c r="A282" s="494">
        <v>46223</v>
      </c>
      <c r="B282" s="495" t="s">
        <v>19</v>
      </c>
      <c r="C282" s="496" t="s">
        <v>145</v>
      </c>
      <c r="D282" s="496" t="s">
        <v>150</v>
      </c>
      <c r="E282" s="495">
        <v>4.0616000000000003</v>
      </c>
      <c r="F282" s="495">
        <v>-2.7400000000000091</v>
      </c>
      <c r="G282" s="495">
        <v>43.160000000000039</v>
      </c>
      <c r="H282" s="495">
        <v>1.7264000000000015</v>
      </c>
      <c r="I282" s="495">
        <v>8.9600000000000346</v>
      </c>
      <c r="J282" s="495">
        <v>-4.6399999999999331</v>
      </c>
      <c r="K282" s="497" t="s">
        <v>41</v>
      </c>
    </row>
    <row r="283" spans="1:11" x14ac:dyDescent="0.3">
      <c r="A283" s="494">
        <v>46223</v>
      </c>
      <c r="B283" s="495"/>
      <c r="C283" s="496"/>
      <c r="D283" s="496"/>
      <c r="E283" s="495"/>
      <c r="F283" s="495"/>
      <c r="G283" s="495"/>
      <c r="H283" s="495"/>
      <c r="I283" s="495">
        <v>0</v>
      </c>
      <c r="J283" s="495">
        <v>0</v>
      </c>
      <c r="K283" s="497">
        <v>0</v>
      </c>
    </row>
    <row r="284" spans="1:11" x14ac:dyDescent="0.3">
      <c r="A284" s="494">
        <v>46223</v>
      </c>
      <c r="B284" s="495"/>
      <c r="C284" s="496"/>
      <c r="D284" s="496"/>
      <c r="E284" s="495"/>
      <c r="F284" s="495"/>
      <c r="G284" s="495"/>
      <c r="H284" s="495"/>
      <c r="I284" s="495">
        <v>0</v>
      </c>
      <c r="J284" s="495">
        <v>0</v>
      </c>
      <c r="K284" s="497">
        <v>0</v>
      </c>
    </row>
    <row r="285" spans="1:11" x14ac:dyDescent="0.3">
      <c r="A285" s="494">
        <v>46223</v>
      </c>
      <c r="B285" s="495"/>
      <c r="C285" s="496"/>
      <c r="D285" s="496"/>
      <c r="E285" s="495"/>
      <c r="F285" s="495"/>
      <c r="G285" s="495"/>
      <c r="H285" s="495"/>
      <c r="I285" s="495">
        <v>0</v>
      </c>
      <c r="J285" s="495">
        <v>0</v>
      </c>
      <c r="K285" s="497">
        <v>0</v>
      </c>
    </row>
    <row r="286" spans="1:11" x14ac:dyDescent="0.3">
      <c r="A286" s="494">
        <v>46224</v>
      </c>
      <c r="B286" s="495" t="s">
        <v>19</v>
      </c>
      <c r="C286" s="496" t="s">
        <v>94</v>
      </c>
      <c r="D286" s="496" t="s">
        <v>97</v>
      </c>
      <c r="E286" s="495">
        <v>3.6905999999999999</v>
      </c>
      <c r="F286" s="495">
        <v>6.0599999999999987</v>
      </c>
      <c r="G286" s="495">
        <v>6.0599999999999987</v>
      </c>
      <c r="H286" s="495">
        <v>0.24239999999999995</v>
      </c>
      <c r="I286" s="495">
        <v>1.7900000000000027</v>
      </c>
      <c r="J286" s="495">
        <v>2.3600000000000065</v>
      </c>
      <c r="K286" s="497">
        <v>-5.2300000000000235</v>
      </c>
    </row>
    <row r="287" spans="1:11" x14ac:dyDescent="0.3">
      <c r="A287" s="494">
        <v>46224</v>
      </c>
      <c r="B287" s="495" t="s">
        <v>10</v>
      </c>
      <c r="C287" s="496" t="s">
        <v>97</v>
      </c>
      <c r="D287" s="496" t="s">
        <v>107</v>
      </c>
      <c r="E287" s="495">
        <v>3.8348</v>
      </c>
      <c r="F287" s="495">
        <v>14.420000000000011</v>
      </c>
      <c r="G287" s="495">
        <v>20.480000000000011</v>
      </c>
      <c r="H287" s="495">
        <v>0.81920000000000048</v>
      </c>
      <c r="I287" s="495">
        <v>2.2699999999999942</v>
      </c>
      <c r="J287" s="495">
        <v>3.6700000000000177</v>
      </c>
      <c r="K287" s="497">
        <v>-4.5300000000000118</v>
      </c>
    </row>
    <row r="288" spans="1:11" x14ac:dyDescent="0.3">
      <c r="A288" s="494">
        <v>46224</v>
      </c>
      <c r="B288" s="495" t="s">
        <v>11</v>
      </c>
      <c r="C288" s="496" t="s">
        <v>107</v>
      </c>
      <c r="D288" s="496" t="s">
        <v>111</v>
      </c>
      <c r="E288" s="495">
        <v>3.9073000000000002</v>
      </c>
      <c r="F288" s="495">
        <v>7.2500000000000231</v>
      </c>
      <c r="G288" s="495">
        <v>27.730000000000032</v>
      </c>
      <c r="H288" s="495">
        <v>1.1092000000000013</v>
      </c>
      <c r="I288" s="495">
        <v>3.0700000000000394</v>
      </c>
      <c r="J288" s="495">
        <v>4.9400000000000333</v>
      </c>
      <c r="K288" s="497">
        <v>-4.369999999999985</v>
      </c>
    </row>
    <row r="289" spans="1:11" x14ac:dyDescent="0.3">
      <c r="A289" s="494">
        <v>46224</v>
      </c>
      <c r="B289" s="495" t="s">
        <v>13</v>
      </c>
      <c r="C289" s="496" t="s">
        <v>111</v>
      </c>
      <c r="D289" s="496" t="s">
        <v>118</v>
      </c>
      <c r="E289" s="495">
        <v>4.0068999999999999</v>
      </c>
      <c r="F289" s="495">
        <v>9.9599999999999689</v>
      </c>
      <c r="G289" s="495">
        <v>37.69</v>
      </c>
      <c r="H289" s="495">
        <v>1.5075999999999998</v>
      </c>
      <c r="I289" s="495">
        <v>3.2099999999999795</v>
      </c>
      <c r="J289" s="495">
        <v>5.5099999999999927</v>
      </c>
      <c r="K289" s="497">
        <v>-4.7100000000000364</v>
      </c>
    </row>
    <row r="290" spans="1:11" x14ac:dyDescent="0.3">
      <c r="A290" s="494">
        <v>46224</v>
      </c>
      <c r="B290" s="495" t="s">
        <v>28</v>
      </c>
      <c r="C290" s="496" t="s">
        <v>118</v>
      </c>
      <c r="D290" s="496" t="s">
        <v>119</v>
      </c>
      <c r="E290" s="495">
        <v>4.0522</v>
      </c>
      <c r="F290" s="495">
        <v>4.5300000000000118</v>
      </c>
      <c r="G290" s="495">
        <v>42.220000000000013</v>
      </c>
      <c r="H290" s="495">
        <v>1.6888000000000005</v>
      </c>
      <c r="I290" s="495">
        <v>3.3199999999999896</v>
      </c>
      <c r="J290" s="495">
        <v>5.5699999999999861</v>
      </c>
      <c r="K290" s="497">
        <v>-4.8700000000000188</v>
      </c>
    </row>
    <row r="291" spans="1:11" x14ac:dyDescent="0.3">
      <c r="A291" s="494">
        <v>46224</v>
      </c>
      <c r="B291" s="495" t="s">
        <v>15</v>
      </c>
      <c r="C291" s="496" t="s">
        <v>119</v>
      </c>
      <c r="D291" s="496" t="s">
        <v>122</v>
      </c>
      <c r="E291" s="495">
        <v>4.1064999999999996</v>
      </c>
      <c r="F291" s="495">
        <v>5.4299999999999571</v>
      </c>
      <c r="G291" s="495">
        <v>47.64999999999997</v>
      </c>
      <c r="H291" s="495">
        <v>1.9059999999999988</v>
      </c>
      <c r="I291" s="495">
        <v>3.6099999999999355</v>
      </c>
      <c r="J291" s="495">
        <v>5.4499999999999993</v>
      </c>
      <c r="K291" s="497">
        <v>-3.1900000000000261</v>
      </c>
    </row>
    <row r="292" spans="1:11" x14ac:dyDescent="0.3">
      <c r="A292" s="494">
        <v>46224</v>
      </c>
      <c r="B292" s="495" t="s">
        <v>16</v>
      </c>
      <c r="C292" s="496" t="s">
        <v>122</v>
      </c>
      <c r="D292" s="496" t="s">
        <v>126</v>
      </c>
      <c r="E292" s="495">
        <v>4.1219999999999999</v>
      </c>
      <c r="F292" s="495">
        <v>1.5500000000000291</v>
      </c>
      <c r="G292" s="495">
        <v>49.2</v>
      </c>
      <c r="H292" s="495">
        <v>1.9680000000000002</v>
      </c>
      <c r="I292" s="495">
        <v>3.2000000000000028</v>
      </c>
      <c r="J292" s="495">
        <v>4.9999999999999822</v>
      </c>
      <c r="K292" s="497">
        <v>-1.6200000000000436</v>
      </c>
    </row>
    <row r="293" spans="1:11" x14ac:dyDescent="0.3">
      <c r="A293" s="494">
        <v>46224</v>
      </c>
      <c r="B293" s="495" t="s">
        <v>18</v>
      </c>
      <c r="C293" s="496" t="s">
        <v>126</v>
      </c>
      <c r="D293" s="496" t="s">
        <v>145</v>
      </c>
      <c r="E293" s="495">
        <v>4.1210000000000004</v>
      </c>
      <c r="F293" s="495">
        <v>-9.9999999999944578E-2</v>
      </c>
      <c r="G293" s="495">
        <v>49.100000000000051</v>
      </c>
      <c r="H293" s="495">
        <v>1.964000000000002</v>
      </c>
      <c r="I293" s="495">
        <v>3.2000000000000028</v>
      </c>
      <c r="J293" s="495">
        <v>4.9300000000000566</v>
      </c>
      <c r="K293" s="497">
        <v>0.61000000000008825</v>
      </c>
    </row>
    <row r="294" spans="1:11" x14ac:dyDescent="0.3">
      <c r="A294" s="494">
        <v>46224</v>
      </c>
      <c r="B294" s="495" t="s">
        <v>19</v>
      </c>
      <c r="C294" s="496" t="s">
        <v>145</v>
      </c>
      <c r="D294" s="496" t="s">
        <v>150</v>
      </c>
      <c r="E294" s="495">
        <v>4.0941999999999998</v>
      </c>
      <c r="F294" s="495">
        <v>-2.6800000000000601</v>
      </c>
      <c r="G294" s="495">
        <v>46.419999999999995</v>
      </c>
      <c r="H294" s="495">
        <v>1.8567999999999998</v>
      </c>
      <c r="I294" s="495">
        <v>3.2599999999999518</v>
      </c>
      <c r="J294" s="495">
        <v>4.2899999999999494</v>
      </c>
      <c r="K294" s="497">
        <v>1.3199999999999434</v>
      </c>
    </row>
    <row r="295" spans="1:11" x14ac:dyDescent="0.3">
      <c r="A295" s="494">
        <v>46224</v>
      </c>
      <c r="B295" s="495"/>
      <c r="C295" s="496"/>
      <c r="D295" s="496"/>
      <c r="E295" s="495"/>
      <c r="F295" s="495"/>
      <c r="G295" s="495"/>
      <c r="H295" s="495"/>
      <c r="I295" s="495">
        <v>0</v>
      </c>
      <c r="J295" s="495">
        <v>0</v>
      </c>
      <c r="K295" s="497">
        <v>0</v>
      </c>
    </row>
    <row r="296" spans="1:11" x14ac:dyDescent="0.3">
      <c r="A296" s="494">
        <v>46224</v>
      </c>
      <c r="B296" s="495"/>
      <c r="C296" s="496"/>
      <c r="D296" s="496"/>
      <c r="E296" s="495"/>
      <c r="F296" s="495"/>
      <c r="G296" s="495"/>
      <c r="H296" s="495"/>
      <c r="I296" s="495">
        <v>0</v>
      </c>
      <c r="J296" s="495">
        <v>0</v>
      </c>
      <c r="K296" s="497">
        <v>0</v>
      </c>
    </row>
    <row r="297" spans="1:11" x14ac:dyDescent="0.3">
      <c r="A297" s="494">
        <v>46224</v>
      </c>
      <c r="B297" s="495"/>
      <c r="C297" s="496"/>
      <c r="D297" s="496"/>
      <c r="E297" s="495"/>
      <c r="F297" s="495"/>
      <c r="G297" s="495"/>
      <c r="H297" s="495"/>
      <c r="I297" s="495">
        <v>0</v>
      </c>
      <c r="J297" s="495">
        <v>0</v>
      </c>
      <c r="K297" s="497">
        <v>0</v>
      </c>
    </row>
    <row r="298" spans="1:11" x14ac:dyDescent="0.3">
      <c r="A298" s="509">
        <v>46225</v>
      </c>
      <c r="B298" s="510" t="s">
        <v>19</v>
      </c>
      <c r="C298" s="511" t="s">
        <v>94</v>
      </c>
      <c r="D298" s="511" t="s">
        <v>97</v>
      </c>
      <c r="E298" s="510">
        <v>3.7214999999999998</v>
      </c>
      <c r="F298" s="510">
        <v>9.1499999999999915</v>
      </c>
      <c r="G298" s="510">
        <v>9.1499999999999915</v>
      </c>
      <c r="H298" s="510">
        <v>0.36599999999999966</v>
      </c>
      <c r="I298" s="510">
        <v>3.0899999999999928</v>
      </c>
      <c r="J298" s="510">
        <v>5.909999999999993</v>
      </c>
      <c r="K298" s="512">
        <v>-1.5500000000000291</v>
      </c>
    </row>
    <row r="299" spans="1:11" x14ac:dyDescent="0.3">
      <c r="A299" s="509">
        <v>46225</v>
      </c>
      <c r="B299" s="510" t="s">
        <v>10</v>
      </c>
      <c r="C299" s="511" t="s">
        <v>97</v>
      </c>
      <c r="D299" s="511" t="s">
        <v>107</v>
      </c>
      <c r="E299" s="510">
        <v>3.8771</v>
      </c>
      <c r="F299" s="510">
        <v>15.560000000000018</v>
      </c>
      <c r="G299" s="510">
        <v>24.710000000000008</v>
      </c>
      <c r="H299" s="510">
        <v>0.98840000000000028</v>
      </c>
      <c r="I299" s="510">
        <v>4.2300000000000004</v>
      </c>
      <c r="J299" s="510">
        <v>10.670000000000002</v>
      </c>
      <c r="K299" s="512">
        <v>-0.49000000000001265</v>
      </c>
    </row>
    <row r="300" spans="1:11" x14ac:dyDescent="0.3">
      <c r="A300" s="509">
        <v>46225</v>
      </c>
      <c r="B300" s="510" t="s">
        <v>11</v>
      </c>
      <c r="C300" s="511" t="s">
        <v>107</v>
      </c>
      <c r="D300" s="511" t="s">
        <v>111</v>
      </c>
      <c r="E300" s="510">
        <v>3.9550000000000001</v>
      </c>
      <c r="F300" s="510">
        <v>7.790000000000008</v>
      </c>
      <c r="G300" s="510">
        <v>32.500000000000014</v>
      </c>
      <c r="H300" s="510">
        <v>1.3000000000000005</v>
      </c>
      <c r="I300" s="510">
        <v>4.7699999999999854</v>
      </c>
      <c r="J300" s="510">
        <v>13.359999999999994</v>
      </c>
      <c r="K300" s="512">
        <v>-0.49999999999998934</v>
      </c>
    </row>
    <row r="301" spans="1:11" x14ac:dyDescent="0.3">
      <c r="A301" s="509">
        <v>46225</v>
      </c>
      <c r="B301" s="510" t="s">
        <v>13</v>
      </c>
      <c r="C301" s="511" t="s">
        <v>111</v>
      </c>
      <c r="D301" s="511" t="s">
        <v>118</v>
      </c>
      <c r="E301" s="510">
        <v>4.0570000000000004</v>
      </c>
      <c r="F301" s="510">
        <v>10.200000000000031</v>
      </c>
      <c r="G301" s="510">
        <v>42.700000000000045</v>
      </c>
      <c r="H301" s="510">
        <v>1.7080000000000017</v>
      </c>
      <c r="I301" s="510">
        <v>5.0100000000000477</v>
      </c>
      <c r="J301" s="510">
        <v>15.310000000000024</v>
      </c>
      <c r="K301" s="512">
        <v>-0.49999999999998934</v>
      </c>
    </row>
    <row r="302" spans="1:11" x14ac:dyDescent="0.3">
      <c r="A302" s="509">
        <v>46225</v>
      </c>
      <c r="B302" s="510" t="s">
        <v>28</v>
      </c>
      <c r="C302" s="511" t="s">
        <v>118</v>
      </c>
      <c r="D302" s="511" t="s">
        <v>119</v>
      </c>
      <c r="E302" s="510">
        <v>4.1100000000000003</v>
      </c>
      <c r="F302" s="510">
        <v>5.2999999999999936</v>
      </c>
      <c r="G302" s="510">
        <v>48.000000000000043</v>
      </c>
      <c r="H302" s="510">
        <v>1.9200000000000017</v>
      </c>
      <c r="I302" s="510">
        <v>5.7800000000000296</v>
      </c>
      <c r="J302" s="510">
        <v>16.660000000000032</v>
      </c>
      <c r="K302" s="512">
        <v>-0.30000000000001137</v>
      </c>
    </row>
    <row r="303" spans="1:11" x14ac:dyDescent="0.3">
      <c r="A303" s="509">
        <v>46225</v>
      </c>
      <c r="B303" s="510" t="s">
        <v>15</v>
      </c>
      <c r="C303" s="511" t="s">
        <v>119</v>
      </c>
      <c r="D303" s="511" t="s">
        <v>122</v>
      </c>
      <c r="E303" s="510">
        <v>4.1689999999999996</v>
      </c>
      <c r="F303" s="510">
        <v>5.8999999999999275</v>
      </c>
      <c r="G303" s="510">
        <v>53.89999999999997</v>
      </c>
      <c r="H303" s="510">
        <v>2.1559999999999988</v>
      </c>
      <c r="I303" s="510">
        <v>6.25</v>
      </c>
      <c r="J303" s="510">
        <v>17.099999999999937</v>
      </c>
      <c r="K303" s="512">
        <v>1.2999999999999901</v>
      </c>
    </row>
    <row r="304" spans="1:11" x14ac:dyDescent="0.3">
      <c r="A304" s="509">
        <v>46225</v>
      </c>
      <c r="B304" s="510" t="s">
        <v>16</v>
      </c>
      <c r="C304" s="511" t="s">
        <v>122</v>
      </c>
      <c r="D304" s="511" t="s">
        <v>126</v>
      </c>
      <c r="E304" s="510">
        <v>4.1920000000000002</v>
      </c>
      <c r="F304" s="510">
        <v>2.3000000000000576</v>
      </c>
      <c r="G304" s="510">
        <v>56.200000000000031</v>
      </c>
      <c r="H304" s="510">
        <v>2.2480000000000011</v>
      </c>
      <c r="I304" s="510">
        <v>7.0000000000000284</v>
      </c>
      <c r="J304" s="510">
        <v>17.20000000000006</v>
      </c>
      <c r="K304" s="512">
        <v>4.0000000000000036</v>
      </c>
    </row>
    <row r="305" spans="1:11" x14ac:dyDescent="0.3">
      <c r="A305" s="509">
        <v>46225</v>
      </c>
      <c r="B305" s="510" t="s">
        <v>18</v>
      </c>
      <c r="C305" s="511" t="s">
        <v>126</v>
      </c>
      <c r="D305" s="511" t="s">
        <v>145</v>
      </c>
      <c r="E305" s="510">
        <v>4.1900000000000004</v>
      </c>
      <c r="F305" s="510">
        <v>-0.19999999999997797</v>
      </c>
      <c r="G305" s="510">
        <v>56.00000000000005</v>
      </c>
      <c r="H305" s="510">
        <v>2.240000000000002</v>
      </c>
      <c r="I305" s="510">
        <v>6.899999999999995</v>
      </c>
      <c r="J305" s="510">
        <v>16.900000000000048</v>
      </c>
      <c r="K305" s="512">
        <v>4.9000000000000377</v>
      </c>
    </row>
    <row r="306" spans="1:11" x14ac:dyDescent="0.3">
      <c r="A306" s="509">
        <v>46225</v>
      </c>
      <c r="B306" s="510" t="s">
        <v>19</v>
      </c>
      <c r="C306" s="511" t="s">
        <v>145</v>
      </c>
      <c r="D306" s="511" t="s">
        <v>150</v>
      </c>
      <c r="E306" s="510">
        <v>4.165</v>
      </c>
      <c r="F306" s="510">
        <v>-2.5000000000000355</v>
      </c>
      <c r="G306" s="510">
        <v>53.500000000000014</v>
      </c>
      <c r="H306" s="510">
        <v>2.1400000000000006</v>
      </c>
      <c r="I306" s="510">
        <v>7.0800000000000196</v>
      </c>
      <c r="J306" s="510">
        <v>16.39999999999997</v>
      </c>
      <c r="K306" s="512">
        <v>7.099999999999973</v>
      </c>
    </row>
    <row r="307" spans="1:11" x14ac:dyDescent="0.3">
      <c r="A307" s="509">
        <v>46225</v>
      </c>
      <c r="B307" s="510"/>
      <c r="C307" s="511"/>
      <c r="D307" s="511"/>
      <c r="E307" s="510"/>
      <c r="F307" s="510"/>
      <c r="G307" s="510"/>
      <c r="H307" s="510"/>
      <c r="I307" s="510">
        <v>0</v>
      </c>
      <c r="J307" s="510">
        <v>0</v>
      </c>
      <c r="K307" s="512">
        <v>0</v>
      </c>
    </row>
    <row r="308" spans="1:11" x14ac:dyDescent="0.3">
      <c r="A308" s="509">
        <v>46225</v>
      </c>
      <c r="B308" s="510"/>
      <c r="C308" s="511"/>
      <c r="D308" s="511"/>
      <c r="E308" s="510"/>
      <c r="F308" s="510"/>
      <c r="G308" s="510"/>
      <c r="H308" s="510"/>
      <c r="I308" s="510">
        <v>0</v>
      </c>
      <c r="J308" s="510">
        <v>0</v>
      </c>
      <c r="K308" s="512">
        <v>0</v>
      </c>
    </row>
    <row r="309" spans="1:11" x14ac:dyDescent="0.3">
      <c r="A309" s="509">
        <v>46225</v>
      </c>
      <c r="B309" s="510"/>
      <c r="C309" s="511"/>
      <c r="D309" s="511"/>
      <c r="E309" s="510"/>
      <c r="F309" s="510"/>
      <c r="G309" s="510"/>
      <c r="H309" s="510"/>
      <c r="I309" s="510">
        <v>0</v>
      </c>
      <c r="J309" s="510">
        <v>0</v>
      </c>
      <c r="K309" s="512">
        <v>0</v>
      </c>
    </row>
    <row r="310" spans="1:11" x14ac:dyDescent="0.3">
      <c r="A310" s="13">
        <v>46226</v>
      </c>
      <c r="B310" s="14" t="s">
        <v>19</v>
      </c>
      <c r="C310" s="123" t="s">
        <v>94</v>
      </c>
      <c r="D310" s="123" t="s">
        <v>97</v>
      </c>
      <c r="E310" s="14">
        <v>3.7269999999999999</v>
      </c>
      <c r="F310" s="14">
        <v>9.6999999999999975</v>
      </c>
      <c r="G310" s="14">
        <v>9.6999999999999975</v>
      </c>
      <c r="H310" s="14">
        <v>0.3879999999999999</v>
      </c>
      <c r="I310" s="14">
        <v>0.55000000000000604</v>
      </c>
      <c r="J310" s="14">
        <v>6.0999999999999943</v>
      </c>
      <c r="K310" s="15">
        <v>-0.1000000000000334</v>
      </c>
    </row>
    <row r="311" spans="1:11" x14ac:dyDescent="0.3">
      <c r="A311" s="13">
        <v>46226</v>
      </c>
      <c r="B311" s="14" t="s">
        <v>10</v>
      </c>
      <c r="C311" s="123" t="s">
        <v>97</v>
      </c>
      <c r="D311" s="123" t="s">
        <v>107</v>
      </c>
      <c r="E311" s="14">
        <v>3.9064999999999999</v>
      </c>
      <c r="F311" s="14">
        <v>17.95</v>
      </c>
      <c r="G311" s="14">
        <v>27.65</v>
      </c>
      <c r="H311" s="14">
        <v>1.1059999999999999</v>
      </c>
      <c r="I311" s="14">
        <v>2.9399999999999871</v>
      </c>
      <c r="J311" s="14">
        <v>12.149999999999972</v>
      </c>
      <c r="K311" s="15">
        <v>5.1499999999999879</v>
      </c>
    </row>
    <row r="312" spans="1:11" x14ac:dyDescent="0.3">
      <c r="A312" s="13">
        <v>46226</v>
      </c>
      <c r="B312" s="14" t="s">
        <v>11</v>
      </c>
      <c r="C312" s="123" t="s">
        <v>107</v>
      </c>
      <c r="D312" s="123" t="s">
        <v>111</v>
      </c>
      <c r="E312" s="14">
        <v>3.9866000000000001</v>
      </c>
      <c r="F312" s="14">
        <v>8.0100000000000282</v>
      </c>
      <c r="G312" s="14">
        <v>35.660000000000025</v>
      </c>
      <c r="H312" s="14">
        <v>1.426400000000001</v>
      </c>
      <c r="I312" s="14">
        <v>3.1600000000000072</v>
      </c>
      <c r="J312" s="14">
        <v>15.280000000000005</v>
      </c>
      <c r="K312" s="15">
        <v>6.4700000000000202</v>
      </c>
    </row>
    <row r="313" spans="1:11" x14ac:dyDescent="0.3">
      <c r="A313" s="13">
        <v>46226</v>
      </c>
      <c r="B313" s="14" t="s">
        <v>13</v>
      </c>
      <c r="C313" s="123" t="s">
        <v>111</v>
      </c>
      <c r="D313" s="123" t="s">
        <v>118</v>
      </c>
      <c r="E313" s="14">
        <v>4.0862999999999996</v>
      </c>
      <c r="F313" s="14">
        <v>9.9699999999999456</v>
      </c>
      <c r="G313" s="14">
        <v>45.629999999999967</v>
      </c>
      <c r="H313" s="14">
        <v>1.8251999999999986</v>
      </c>
      <c r="I313" s="14">
        <v>2.9299999999999216</v>
      </c>
      <c r="J313" s="14">
        <v>17.329999999999977</v>
      </c>
      <c r="K313" s="15">
        <v>6.9299999999999251</v>
      </c>
    </row>
    <row r="314" spans="1:11" x14ac:dyDescent="0.3">
      <c r="A314" s="13">
        <v>46226</v>
      </c>
      <c r="B314" s="14" t="s">
        <v>28</v>
      </c>
      <c r="C314" s="123" t="s">
        <v>118</v>
      </c>
      <c r="D314" s="123" t="s">
        <v>119</v>
      </c>
      <c r="E314" s="14">
        <v>4.1390000000000002</v>
      </c>
      <c r="F314" s="14">
        <v>5.2700000000000635</v>
      </c>
      <c r="G314" s="14">
        <v>50.900000000000034</v>
      </c>
      <c r="H314" s="14">
        <v>2.0360000000000014</v>
      </c>
      <c r="I314" s="14">
        <v>2.8999999999999915</v>
      </c>
      <c r="J314" s="14">
        <v>18.610000000000014</v>
      </c>
      <c r="K314" s="15">
        <v>8.2600000000000229</v>
      </c>
    </row>
    <row r="315" spans="1:11" x14ac:dyDescent="0.3">
      <c r="A315" s="13">
        <v>46226</v>
      </c>
      <c r="B315" s="14" t="s">
        <v>15</v>
      </c>
      <c r="C315" s="123" t="s">
        <v>119</v>
      </c>
      <c r="D315" s="123" t="s">
        <v>122</v>
      </c>
      <c r="E315" s="14">
        <v>4.2026000000000003</v>
      </c>
      <c r="F315" s="14">
        <v>6.3600000000000101</v>
      </c>
      <c r="G315" s="14">
        <v>57.260000000000048</v>
      </c>
      <c r="H315" s="14">
        <v>2.2904000000000018</v>
      </c>
      <c r="I315" s="14">
        <v>3.360000000000074</v>
      </c>
      <c r="J315" s="14">
        <v>20.030000000000037</v>
      </c>
      <c r="K315" s="15">
        <v>10.760000000000058</v>
      </c>
    </row>
    <row r="316" spans="1:11" x14ac:dyDescent="0.3">
      <c r="A316" s="13">
        <v>46226</v>
      </c>
      <c r="B316" s="14" t="s">
        <v>16</v>
      </c>
      <c r="C316" s="123" t="s">
        <v>122</v>
      </c>
      <c r="D316" s="123" t="s">
        <v>126</v>
      </c>
      <c r="E316" s="14">
        <v>4.2359999999999998</v>
      </c>
      <c r="F316" s="14">
        <v>3.339999999999943</v>
      </c>
      <c r="G316" s="14">
        <v>60.599999999999987</v>
      </c>
      <c r="H316" s="14">
        <v>2.4239999999999995</v>
      </c>
      <c r="I316" s="14">
        <v>4.3999999999999595</v>
      </c>
      <c r="J316" s="14">
        <v>21.039999999999992</v>
      </c>
      <c r="K316" s="15">
        <v>13.199999999999967</v>
      </c>
    </row>
    <row r="317" spans="1:11" x14ac:dyDescent="0.3">
      <c r="A317" s="13">
        <v>46226</v>
      </c>
      <c r="B317" s="14" t="s">
        <v>18</v>
      </c>
      <c r="C317" s="123" t="s">
        <v>126</v>
      </c>
      <c r="D317" s="123" t="s">
        <v>145</v>
      </c>
      <c r="E317" s="14">
        <v>4.242</v>
      </c>
      <c r="F317" s="14">
        <v>0.60000000000002274</v>
      </c>
      <c r="G317" s="14">
        <v>61.20000000000001</v>
      </c>
      <c r="H317" s="14">
        <v>2.4480000000000004</v>
      </c>
      <c r="I317" s="14">
        <v>5.1999999999999602</v>
      </c>
      <c r="J317" s="14">
        <v>21.549999999999958</v>
      </c>
      <c r="K317" s="15">
        <v>14.869999999999983</v>
      </c>
    </row>
    <row r="318" spans="1:11" x14ac:dyDescent="0.3">
      <c r="A318" s="13">
        <v>46226</v>
      </c>
      <c r="B318" s="14" t="s">
        <v>19</v>
      </c>
      <c r="C318" s="123" t="s">
        <v>145</v>
      </c>
      <c r="D318" s="123" t="s">
        <v>150</v>
      </c>
      <c r="E318" s="14">
        <v>4.2290000000000001</v>
      </c>
      <c r="F318" s="14">
        <v>-1.2999999999999901</v>
      </c>
      <c r="G318" s="14">
        <v>59.90000000000002</v>
      </c>
      <c r="H318" s="14">
        <v>2.3960000000000008</v>
      </c>
      <c r="I318" s="14">
        <v>6.4000000000000057</v>
      </c>
      <c r="J318" s="14">
        <v>21.799999999999997</v>
      </c>
      <c r="K318" s="15">
        <v>16.019999999999968</v>
      </c>
    </row>
    <row r="319" spans="1:11" x14ac:dyDescent="0.3">
      <c r="A319" s="13">
        <v>46226</v>
      </c>
      <c r="B319" s="14"/>
      <c r="C319" s="123"/>
      <c r="D319" s="123"/>
      <c r="E319" s="14"/>
      <c r="F319" s="14"/>
      <c r="G319" s="14"/>
      <c r="H319" s="14"/>
      <c r="I319" s="14">
        <v>0</v>
      </c>
      <c r="J319" s="14">
        <v>0</v>
      </c>
      <c r="K319" s="15">
        <v>0</v>
      </c>
    </row>
    <row r="320" spans="1:11" x14ac:dyDescent="0.3">
      <c r="A320" s="13">
        <v>46226</v>
      </c>
      <c r="B320" s="14"/>
      <c r="C320" s="123"/>
      <c r="D320" s="123"/>
      <c r="E320" s="14"/>
      <c r="F320" s="14"/>
      <c r="G320" s="14"/>
      <c r="H320" s="14"/>
      <c r="I320" s="14">
        <v>0</v>
      </c>
      <c r="J320" s="14">
        <v>0</v>
      </c>
      <c r="K320" s="15">
        <v>0</v>
      </c>
    </row>
    <row r="321" spans="1:11" x14ac:dyDescent="0.3">
      <c r="A321" s="13">
        <v>46226</v>
      </c>
      <c r="B321" s="14"/>
      <c r="C321" s="123"/>
      <c r="D321" s="123"/>
      <c r="E321" s="14"/>
      <c r="F321" s="14"/>
      <c r="G321" s="14"/>
      <c r="H321" s="14"/>
      <c r="I321" s="14">
        <v>0</v>
      </c>
      <c r="J321" s="14">
        <v>0</v>
      </c>
      <c r="K321" s="15">
        <v>0</v>
      </c>
    </row>
    <row r="322" spans="1:11" x14ac:dyDescent="0.3">
      <c r="A322" s="527">
        <v>46227</v>
      </c>
      <c r="B322" s="528" t="s">
        <v>19</v>
      </c>
      <c r="C322" s="529" t="s">
        <v>94</v>
      </c>
      <c r="D322" s="529" t="s">
        <v>97</v>
      </c>
      <c r="E322" s="528">
        <v>3.7170000000000001</v>
      </c>
      <c r="F322" s="528">
        <v>8.7000000000000188</v>
      </c>
      <c r="G322" s="528">
        <v>8.7000000000000188</v>
      </c>
      <c r="H322" s="528">
        <v>0.34800000000000075</v>
      </c>
      <c r="I322" s="528">
        <v>-0.99999999999997868</v>
      </c>
      <c r="J322" s="528">
        <v>5.4300000000000015</v>
      </c>
      <c r="K322" s="530">
        <v>-0.22999999999999687</v>
      </c>
    </row>
    <row r="323" spans="1:11" x14ac:dyDescent="0.3">
      <c r="A323" s="527">
        <v>46227</v>
      </c>
      <c r="B323" s="528" t="s">
        <v>10</v>
      </c>
      <c r="C323" s="529" t="s">
        <v>97</v>
      </c>
      <c r="D323" s="529" t="s">
        <v>107</v>
      </c>
      <c r="E323" s="528">
        <v>3.8860000000000001</v>
      </c>
      <c r="F323" s="528">
        <v>16.900000000000006</v>
      </c>
      <c r="G323" s="528">
        <v>25.600000000000023</v>
      </c>
      <c r="H323" s="528">
        <v>1.0240000000000009</v>
      </c>
      <c r="I323" s="528">
        <v>-2.0499999999999741</v>
      </c>
      <c r="J323" s="528">
        <v>10.660000000000025</v>
      </c>
      <c r="K323" s="530">
        <v>4.0500000000000203</v>
      </c>
    </row>
    <row r="324" spans="1:11" x14ac:dyDescent="0.3">
      <c r="A324" s="527">
        <v>46227</v>
      </c>
      <c r="B324" s="528" t="s">
        <v>11</v>
      </c>
      <c r="C324" s="529" t="s">
        <v>107</v>
      </c>
      <c r="D324" s="529" t="s">
        <v>111</v>
      </c>
      <c r="E324" s="528">
        <v>3.9578000000000002</v>
      </c>
      <c r="F324" s="528">
        <v>7.1800000000000086</v>
      </c>
      <c r="G324" s="528">
        <v>32.78000000000003</v>
      </c>
      <c r="H324" s="528">
        <v>1.3112000000000013</v>
      </c>
      <c r="I324" s="528">
        <v>-2.8799999999999937</v>
      </c>
      <c r="J324" s="528">
        <v>12.620000000000031</v>
      </c>
      <c r="K324" s="530">
        <v>5.1000000000000156</v>
      </c>
    </row>
    <row r="325" spans="1:11" x14ac:dyDescent="0.3">
      <c r="A325" s="527">
        <v>46227</v>
      </c>
      <c r="B325" s="528" t="s">
        <v>13</v>
      </c>
      <c r="C325" s="529" t="s">
        <v>111</v>
      </c>
      <c r="D325" s="529" t="s">
        <v>118</v>
      </c>
      <c r="E325" s="528">
        <v>4.0571000000000002</v>
      </c>
      <c r="F325" s="528">
        <v>9.9299999999999944</v>
      </c>
      <c r="G325" s="528">
        <v>42.710000000000022</v>
      </c>
      <c r="H325" s="528">
        <v>1.7084000000000008</v>
      </c>
      <c r="I325" s="528">
        <v>-2.9199999999999449</v>
      </c>
      <c r="J325" s="528">
        <v>14.430000000000032</v>
      </c>
      <c r="K325" s="530">
        <v>6.4200000000000035</v>
      </c>
    </row>
    <row r="326" spans="1:11" x14ac:dyDescent="0.3">
      <c r="A326" s="527">
        <v>46227</v>
      </c>
      <c r="B326" s="528" t="s">
        <v>28</v>
      </c>
      <c r="C326" s="529" t="s">
        <v>118</v>
      </c>
      <c r="D326" s="529" t="s">
        <v>119</v>
      </c>
      <c r="E326" s="528">
        <v>4.1055000000000001</v>
      </c>
      <c r="F326" s="528">
        <v>4.84</v>
      </c>
      <c r="G326" s="528">
        <v>47.550000000000026</v>
      </c>
      <c r="H326" s="528">
        <v>1.902000000000001</v>
      </c>
      <c r="I326" s="528">
        <v>-3.3500000000000085</v>
      </c>
      <c r="J326" s="528">
        <v>15.739999999999998</v>
      </c>
      <c r="K326" s="530">
        <v>8.2799999999999763</v>
      </c>
    </row>
    <row r="327" spans="1:11" x14ac:dyDescent="0.3">
      <c r="A327" s="527">
        <v>46227</v>
      </c>
      <c r="B327" s="528" t="s">
        <v>15</v>
      </c>
      <c r="C327" s="529" t="s">
        <v>119</v>
      </c>
      <c r="D327" s="529" t="s">
        <v>122</v>
      </c>
      <c r="E327" s="528">
        <v>4.165</v>
      </c>
      <c r="F327" s="528">
        <v>5.9499999999999886</v>
      </c>
      <c r="G327" s="528">
        <v>53.500000000000014</v>
      </c>
      <c r="H327" s="528">
        <v>2.1400000000000006</v>
      </c>
      <c r="I327" s="528">
        <v>-3.76000000000003</v>
      </c>
      <c r="J327" s="528">
        <v>17.22999999999999</v>
      </c>
      <c r="K327" s="530">
        <v>11.319999999999997</v>
      </c>
    </row>
    <row r="328" spans="1:11" x14ac:dyDescent="0.3">
      <c r="A328" s="527">
        <v>46227</v>
      </c>
      <c r="B328" s="528" t="s">
        <v>16</v>
      </c>
      <c r="C328" s="529" t="s">
        <v>122</v>
      </c>
      <c r="D328" s="529" t="s">
        <v>126</v>
      </c>
      <c r="E328" s="528">
        <v>4.1909999999999998</v>
      </c>
      <c r="F328" s="528">
        <v>2.5999999999999801</v>
      </c>
      <c r="G328" s="528">
        <v>56.099999999999994</v>
      </c>
      <c r="H328" s="528">
        <v>2.2439999999999998</v>
      </c>
      <c r="I328" s="528">
        <v>-4.4999999999999929</v>
      </c>
      <c r="J328" s="528">
        <v>18.400000000000016</v>
      </c>
      <c r="K328" s="530">
        <v>14.700000000000024</v>
      </c>
    </row>
    <row r="329" spans="1:11" x14ac:dyDescent="0.3">
      <c r="A329" s="527">
        <v>46227</v>
      </c>
      <c r="B329" s="528" t="s">
        <v>18</v>
      </c>
      <c r="C329" s="529" t="s">
        <v>126</v>
      </c>
      <c r="D329" s="529" t="s">
        <v>145</v>
      </c>
      <c r="E329" s="528">
        <v>4.1959999999999997</v>
      </c>
      <c r="F329" s="528">
        <v>0.49999999999998934</v>
      </c>
      <c r="G329" s="528">
        <v>56.59999999999998</v>
      </c>
      <c r="H329" s="528">
        <v>2.2639999999999993</v>
      </c>
      <c r="I329" s="528">
        <v>-4.6000000000000263</v>
      </c>
      <c r="J329" s="528">
        <v>19.399999999999995</v>
      </c>
      <c r="K329" s="530">
        <v>16.420000000000012</v>
      </c>
    </row>
    <row r="330" spans="1:11" x14ac:dyDescent="0.3">
      <c r="A330" s="527">
        <v>46227</v>
      </c>
      <c r="B330" s="528" t="s">
        <v>19</v>
      </c>
      <c r="C330" s="529" t="s">
        <v>145</v>
      </c>
      <c r="D330" s="529" t="s">
        <v>150</v>
      </c>
      <c r="E330" s="528">
        <v>4.1749999999999998</v>
      </c>
      <c r="F330" s="528">
        <v>-2.0999999999999908</v>
      </c>
      <c r="G330" s="528">
        <v>54.499999999999993</v>
      </c>
      <c r="H330" s="528">
        <v>2.1799999999999997</v>
      </c>
      <c r="I330" s="528">
        <v>-5.400000000000027</v>
      </c>
      <c r="J330" s="528">
        <v>20.299999999999983</v>
      </c>
      <c r="K330" s="530">
        <v>17.69999999999996</v>
      </c>
    </row>
    <row r="331" spans="1:11" x14ac:dyDescent="0.3">
      <c r="A331" s="527">
        <v>46227</v>
      </c>
      <c r="B331" s="528"/>
      <c r="C331" s="529"/>
      <c r="D331" s="529"/>
      <c r="E331" s="528"/>
      <c r="F331" s="528"/>
      <c r="G331" s="528"/>
      <c r="H331" s="528"/>
      <c r="I331" s="528">
        <v>0</v>
      </c>
      <c r="J331" s="528">
        <v>0</v>
      </c>
      <c r="K331" s="530">
        <v>0</v>
      </c>
    </row>
    <row r="332" spans="1:11" x14ac:dyDescent="0.3">
      <c r="A332" s="527">
        <v>46227</v>
      </c>
      <c r="B332" s="528"/>
      <c r="C332" s="529"/>
      <c r="D332" s="529"/>
      <c r="E332" s="528"/>
      <c r="F332" s="528"/>
      <c r="G332" s="528"/>
      <c r="H332" s="528"/>
      <c r="I332" s="528">
        <v>0</v>
      </c>
      <c r="J332" s="528">
        <v>0</v>
      </c>
      <c r="K332" s="530">
        <v>0</v>
      </c>
    </row>
    <row r="333" spans="1:11" x14ac:dyDescent="0.3">
      <c r="A333" s="527">
        <v>46227</v>
      </c>
      <c r="B333" s="528"/>
      <c r="C333" s="529"/>
      <c r="D333" s="529"/>
      <c r="E333" s="528"/>
      <c r="F333" s="528"/>
      <c r="G333" s="528"/>
      <c r="H333" s="528"/>
      <c r="I333" s="528">
        <v>0</v>
      </c>
      <c r="J333" s="528">
        <v>0</v>
      </c>
      <c r="K333" s="530">
        <v>0</v>
      </c>
    </row>
    <row r="334" spans="1:11" x14ac:dyDescent="0.3">
      <c r="A334" s="527">
        <v>46230</v>
      </c>
      <c r="B334" s="528" t="s">
        <v>19</v>
      </c>
      <c r="C334" s="529" t="s">
        <v>94</v>
      </c>
      <c r="D334" s="529" t="s">
        <v>97</v>
      </c>
      <c r="E334" s="528">
        <v>3.7271999999999998</v>
      </c>
      <c r="F334" s="528">
        <v>9.7199999999999953</v>
      </c>
      <c r="G334" s="528">
        <v>9.7199999999999953</v>
      </c>
      <c r="H334" s="528">
        <v>0.38879999999999981</v>
      </c>
      <c r="I334" s="528">
        <v>1.0199999999999765</v>
      </c>
      <c r="J334" s="528">
        <v>5.4499999999999993</v>
      </c>
      <c r="K334" s="530">
        <v>0.78999999999997961</v>
      </c>
    </row>
    <row r="335" spans="1:11" x14ac:dyDescent="0.3">
      <c r="A335" s="527">
        <v>46230</v>
      </c>
      <c r="B335" s="528" t="s">
        <v>10</v>
      </c>
      <c r="C335" s="529" t="s">
        <v>97</v>
      </c>
      <c r="D335" s="529" t="s">
        <v>107</v>
      </c>
      <c r="E335" s="528">
        <v>3.8963999999999999</v>
      </c>
      <c r="F335" s="528">
        <v>16.920000000000002</v>
      </c>
      <c r="G335" s="528">
        <v>26.639999999999997</v>
      </c>
      <c r="H335" s="528">
        <v>1.0655999999999999</v>
      </c>
      <c r="I335" s="528">
        <v>1.0399999999999743</v>
      </c>
      <c r="J335" s="528">
        <v>8.429999999999982</v>
      </c>
      <c r="K335" s="530">
        <v>5.0899999999999945</v>
      </c>
    </row>
    <row r="336" spans="1:11" x14ac:dyDescent="0.3">
      <c r="A336" s="527">
        <v>46230</v>
      </c>
      <c r="B336" s="528" t="s">
        <v>11</v>
      </c>
      <c r="C336" s="529" t="s">
        <v>107</v>
      </c>
      <c r="D336" s="529" t="s">
        <v>111</v>
      </c>
      <c r="E336" s="528">
        <v>3.976</v>
      </c>
      <c r="F336" s="528">
        <v>7.9600000000000115</v>
      </c>
      <c r="G336" s="528">
        <v>34.600000000000009</v>
      </c>
      <c r="H336" s="528">
        <v>1.3840000000000003</v>
      </c>
      <c r="I336" s="528">
        <v>1.8199999999999772</v>
      </c>
      <c r="J336" s="528">
        <v>9.9400000000000155</v>
      </c>
      <c r="K336" s="530">
        <v>6.9199999999999928</v>
      </c>
    </row>
    <row r="337" spans="1:11" x14ac:dyDescent="0.3">
      <c r="A337" s="527">
        <v>46230</v>
      </c>
      <c r="B337" s="528" t="s">
        <v>13</v>
      </c>
      <c r="C337" s="529" t="s">
        <v>111</v>
      </c>
      <c r="D337" s="529" t="s">
        <v>118</v>
      </c>
      <c r="E337" s="528">
        <v>4.0728</v>
      </c>
      <c r="F337" s="528">
        <v>9.68</v>
      </c>
      <c r="G337" s="528">
        <v>44.280000000000008</v>
      </c>
      <c r="H337" s="528">
        <v>1.7712000000000003</v>
      </c>
      <c r="I337" s="528">
        <v>1.5699999999999825</v>
      </c>
      <c r="J337" s="528">
        <v>9.7999999999999865</v>
      </c>
      <c r="K337" s="530">
        <v>7.989999999999986</v>
      </c>
    </row>
    <row r="338" spans="1:11" x14ac:dyDescent="0.3">
      <c r="A338" s="527">
        <v>46230</v>
      </c>
      <c r="B338" s="528" t="s">
        <v>28</v>
      </c>
      <c r="C338" s="529" t="s">
        <v>118</v>
      </c>
      <c r="D338" s="529" t="s">
        <v>119</v>
      </c>
      <c r="E338" s="528">
        <v>4.12</v>
      </c>
      <c r="F338" s="528">
        <v>4.7200000000000131</v>
      </c>
      <c r="G338" s="528">
        <v>49.000000000000021</v>
      </c>
      <c r="H338" s="528">
        <v>1.9600000000000009</v>
      </c>
      <c r="I338" s="528">
        <v>1.4499999999999957</v>
      </c>
      <c r="J338" s="528">
        <v>10.099999999999998</v>
      </c>
      <c r="K338" s="530">
        <v>9.729999999999972</v>
      </c>
    </row>
    <row r="339" spans="1:11" x14ac:dyDescent="0.3">
      <c r="A339" s="527">
        <v>46230</v>
      </c>
      <c r="B339" s="528" t="s">
        <v>15</v>
      </c>
      <c r="C339" s="529" t="s">
        <v>119</v>
      </c>
      <c r="D339" s="529" t="s">
        <v>122</v>
      </c>
      <c r="E339" s="528">
        <v>4.1761999999999997</v>
      </c>
      <c r="F339" s="528">
        <v>5.6199999999999584</v>
      </c>
      <c r="G339" s="528">
        <v>54.619999999999976</v>
      </c>
      <c r="H339" s="528">
        <v>2.1847999999999992</v>
      </c>
      <c r="I339" s="528">
        <v>1.1199999999999655</v>
      </c>
      <c r="J339" s="528">
        <v>10.579999999999945</v>
      </c>
      <c r="K339" s="530">
        <v>12.439999999999962</v>
      </c>
    </row>
    <row r="340" spans="1:11" x14ac:dyDescent="0.3">
      <c r="A340" s="527">
        <v>46230</v>
      </c>
      <c r="B340" s="528" t="s">
        <v>16</v>
      </c>
      <c r="C340" s="529" t="s">
        <v>122</v>
      </c>
      <c r="D340" s="529" t="s">
        <v>126</v>
      </c>
      <c r="E340" s="528">
        <v>4.2009999999999996</v>
      </c>
      <c r="F340" s="528">
        <v>2.4799999999999933</v>
      </c>
      <c r="G340" s="528">
        <v>57.099999999999973</v>
      </c>
      <c r="H340" s="528">
        <v>2.2839999999999989</v>
      </c>
      <c r="I340" s="528">
        <v>0.99999999999997868</v>
      </c>
      <c r="J340" s="528">
        <v>11.099999999999977</v>
      </c>
      <c r="K340" s="530">
        <v>15.700000000000003</v>
      </c>
    </row>
    <row r="341" spans="1:11" x14ac:dyDescent="0.3">
      <c r="A341" s="527">
        <v>46230</v>
      </c>
      <c r="B341" s="528" t="s">
        <v>18</v>
      </c>
      <c r="C341" s="529" t="s">
        <v>126</v>
      </c>
      <c r="D341" s="529" t="s">
        <v>145</v>
      </c>
      <c r="E341" s="528">
        <v>4.2030000000000003</v>
      </c>
      <c r="F341" s="528">
        <v>0.20000000000006679</v>
      </c>
      <c r="G341" s="528">
        <v>57.30000000000004</v>
      </c>
      <c r="H341" s="528">
        <v>2.2920000000000016</v>
      </c>
      <c r="I341" s="528">
        <v>0.70000000000005613</v>
      </c>
      <c r="J341" s="528">
        <v>11.399999999999988</v>
      </c>
      <c r="K341" s="530">
        <v>17.120000000000068</v>
      </c>
    </row>
    <row r="342" spans="1:11" x14ac:dyDescent="0.3">
      <c r="A342" s="527">
        <v>46230</v>
      </c>
      <c r="B342" s="528" t="s">
        <v>19</v>
      </c>
      <c r="C342" s="529" t="s">
        <v>145</v>
      </c>
      <c r="D342" s="529" t="s">
        <v>150</v>
      </c>
      <c r="E342" s="528">
        <v>4.1769999999999996</v>
      </c>
      <c r="F342" s="528">
        <v>-2.6000000000000689</v>
      </c>
      <c r="G342" s="528">
        <v>54.699999999999974</v>
      </c>
      <c r="H342" s="528">
        <v>2.1879999999999988</v>
      </c>
      <c r="I342" s="528">
        <v>0.19999999999997797</v>
      </c>
      <c r="J342" s="528">
        <v>11.539999999999928</v>
      </c>
      <c r="K342" s="530">
        <v>17.899999999999938</v>
      </c>
    </row>
    <row r="343" spans="1:11" x14ac:dyDescent="0.3">
      <c r="A343" s="527">
        <v>46230</v>
      </c>
      <c r="B343" s="528"/>
      <c r="C343" s="529"/>
      <c r="D343" s="529"/>
      <c r="E343" s="528"/>
      <c r="F343" s="528"/>
      <c r="G343" s="528"/>
      <c r="H343" s="528"/>
      <c r="I343" s="528">
        <v>0</v>
      </c>
      <c r="J343" s="528">
        <v>0</v>
      </c>
      <c r="K343" s="530">
        <v>0</v>
      </c>
    </row>
    <row r="344" spans="1:11" x14ac:dyDescent="0.3">
      <c r="A344" s="527">
        <v>46230</v>
      </c>
      <c r="B344" s="528"/>
      <c r="C344" s="529"/>
      <c r="D344" s="529"/>
      <c r="E344" s="528"/>
      <c r="F344" s="528"/>
      <c r="G344" s="528"/>
      <c r="H344" s="528"/>
      <c r="I344" s="528">
        <v>0</v>
      </c>
      <c r="J344" s="528">
        <v>0</v>
      </c>
      <c r="K344" s="530">
        <v>0</v>
      </c>
    </row>
    <row r="345" spans="1:11" x14ac:dyDescent="0.3">
      <c r="A345" s="527">
        <v>46230</v>
      </c>
      <c r="B345" s="528"/>
      <c r="C345" s="529"/>
      <c r="D345" s="529"/>
      <c r="E345" s="528"/>
      <c r="F345" s="528"/>
      <c r="G345" s="528"/>
      <c r="H345" s="528"/>
      <c r="I345" s="528">
        <v>0</v>
      </c>
      <c r="J345" s="528">
        <v>0</v>
      </c>
      <c r="K345" s="530">
        <v>0</v>
      </c>
    </row>
    <row r="346" spans="1:11" x14ac:dyDescent="0.3">
      <c r="A346" s="13">
        <v>46231</v>
      </c>
      <c r="B346" s="14" t="s">
        <v>19</v>
      </c>
      <c r="C346" s="123" t="s">
        <v>94</v>
      </c>
      <c r="D346" s="123" t="s">
        <v>97</v>
      </c>
      <c r="E346" s="14">
        <v>3.7122000000000002</v>
      </c>
      <c r="F346" s="14">
        <v>8.2200000000000273</v>
      </c>
      <c r="G346" s="14">
        <v>8.2200000000000273</v>
      </c>
      <c r="H346" s="14">
        <v>0.32880000000000109</v>
      </c>
      <c r="I346" s="14">
        <v>-1.499999999999968</v>
      </c>
      <c r="J346" s="14">
        <v>2.1600000000000286</v>
      </c>
      <c r="K346" s="15">
        <v>0.22000000000002018</v>
      </c>
    </row>
    <row r="347" spans="1:11" x14ac:dyDescent="0.3">
      <c r="A347" s="13">
        <v>46231</v>
      </c>
      <c r="B347" s="14" t="s">
        <v>10</v>
      </c>
      <c r="C347" s="123" t="s">
        <v>97</v>
      </c>
      <c r="D347" s="123" t="s">
        <v>107</v>
      </c>
      <c r="E347" s="14">
        <v>3.8736000000000002</v>
      </c>
      <c r="F347" s="14">
        <v>16.14</v>
      </c>
      <c r="G347" s="14">
        <v>24.360000000000028</v>
      </c>
      <c r="H347" s="14">
        <v>0.97440000000000115</v>
      </c>
      <c r="I347" s="14">
        <v>-2.2799999999999709</v>
      </c>
      <c r="J347" s="14">
        <v>3.8800000000000168</v>
      </c>
      <c r="K347" s="15">
        <v>5.7700000000000085</v>
      </c>
    </row>
    <row r="348" spans="1:11" x14ac:dyDescent="0.3">
      <c r="A348" s="13">
        <v>46231</v>
      </c>
      <c r="B348" s="14" t="s">
        <v>11</v>
      </c>
      <c r="C348" s="123" t="s">
        <v>107</v>
      </c>
      <c r="D348" s="123" t="s">
        <v>111</v>
      </c>
      <c r="E348" s="14">
        <v>3.9512</v>
      </c>
      <c r="F348" s="14">
        <v>7.7599999999999891</v>
      </c>
      <c r="G348" s="14">
        <v>32.120000000000019</v>
      </c>
      <c r="H348" s="14">
        <v>1.2848000000000008</v>
      </c>
      <c r="I348" s="14">
        <v>-2.4799999999999933</v>
      </c>
      <c r="J348" s="14">
        <v>4.3899999999999828</v>
      </c>
      <c r="K348" s="15">
        <v>8.7400000000000144</v>
      </c>
    </row>
    <row r="349" spans="1:11" x14ac:dyDescent="0.3">
      <c r="A349" s="13">
        <v>46231</v>
      </c>
      <c r="B349" s="14" t="s">
        <v>13</v>
      </c>
      <c r="C349" s="123" t="s">
        <v>111</v>
      </c>
      <c r="D349" s="123" t="s">
        <v>118</v>
      </c>
      <c r="E349" s="14">
        <v>4.0411999999999999</v>
      </c>
      <c r="F349" s="14">
        <v>8.9999999999999858</v>
      </c>
      <c r="G349" s="14">
        <v>41.120000000000005</v>
      </c>
      <c r="H349" s="14">
        <v>1.6448000000000003</v>
      </c>
      <c r="I349" s="14">
        <v>-3.1600000000000072</v>
      </c>
      <c r="J349" s="14">
        <v>3.4299999999999997</v>
      </c>
      <c r="K349" s="15">
        <v>10.409999999999986</v>
      </c>
    </row>
    <row r="350" spans="1:11" x14ac:dyDescent="0.3">
      <c r="A350" s="13">
        <v>46231</v>
      </c>
      <c r="B350" s="14" t="s">
        <v>28</v>
      </c>
      <c r="C350" s="123" t="s">
        <v>118</v>
      </c>
      <c r="D350" s="123" t="s">
        <v>119</v>
      </c>
      <c r="E350" s="14">
        <v>4.0792000000000002</v>
      </c>
      <c r="F350" s="14">
        <v>3.8000000000000256</v>
      </c>
      <c r="G350" s="14">
        <v>44.92000000000003</v>
      </c>
      <c r="H350" s="14">
        <v>1.7968000000000013</v>
      </c>
      <c r="I350" s="14">
        <v>-4.0799999999999947</v>
      </c>
      <c r="J350" s="14">
        <v>2.7000000000000135</v>
      </c>
      <c r="K350" s="15">
        <v>12.870000000000026</v>
      </c>
    </row>
    <row r="351" spans="1:11" x14ac:dyDescent="0.3">
      <c r="A351" s="13">
        <v>46231</v>
      </c>
      <c r="B351" s="14" t="s">
        <v>15</v>
      </c>
      <c r="C351" s="123" t="s">
        <v>119</v>
      </c>
      <c r="D351" s="123" t="s">
        <v>122</v>
      </c>
      <c r="E351" s="14">
        <v>4.1289999999999996</v>
      </c>
      <c r="F351" s="14">
        <v>4.97999999999994</v>
      </c>
      <c r="G351" s="14">
        <v>49.899999999999963</v>
      </c>
      <c r="H351" s="14">
        <v>1.9959999999999984</v>
      </c>
      <c r="I351" s="14">
        <v>-4.7200000000000131</v>
      </c>
      <c r="J351" s="14">
        <v>2.2499999999999964</v>
      </c>
      <c r="K351" s="15">
        <v>15.769999999999973</v>
      </c>
    </row>
    <row r="352" spans="1:11" x14ac:dyDescent="0.3">
      <c r="A352" s="13">
        <v>46231</v>
      </c>
      <c r="B352" s="14" t="s">
        <v>16</v>
      </c>
      <c r="C352" s="123" t="s">
        <v>122</v>
      </c>
      <c r="D352" s="123" t="s">
        <v>126</v>
      </c>
      <c r="E352" s="14">
        <v>4.1487999999999996</v>
      </c>
      <c r="F352" s="14">
        <v>1.980000000000004</v>
      </c>
      <c r="G352" s="14">
        <v>51.879999999999967</v>
      </c>
      <c r="H352" s="14">
        <v>2.0751999999999988</v>
      </c>
      <c r="I352" s="14">
        <v>-5.2200000000000024</v>
      </c>
      <c r="J352" s="14">
        <v>2.6799999999999713</v>
      </c>
      <c r="K352" s="15">
        <v>18.879999999999963</v>
      </c>
    </row>
    <row r="353" spans="1:11" x14ac:dyDescent="0.3">
      <c r="A353" s="13">
        <v>46231</v>
      </c>
      <c r="B353" s="14" t="s">
        <v>18</v>
      </c>
      <c r="C353" s="123" t="s">
        <v>126</v>
      </c>
      <c r="D353" s="123" t="s">
        <v>145</v>
      </c>
      <c r="E353" s="14">
        <v>4.1482000000000001</v>
      </c>
      <c r="F353" s="14">
        <v>-5.9999999999948983E-2</v>
      </c>
      <c r="G353" s="14">
        <v>51.820000000000022</v>
      </c>
      <c r="H353" s="14">
        <v>2.0728000000000009</v>
      </c>
      <c r="I353" s="14">
        <v>-5.4800000000000182</v>
      </c>
      <c r="J353" s="14">
        <v>2.7199999999999669</v>
      </c>
      <c r="K353" s="15">
        <v>20.840000000000014</v>
      </c>
    </row>
    <row r="354" spans="1:11" x14ac:dyDescent="0.3">
      <c r="A354" s="13">
        <v>46231</v>
      </c>
      <c r="B354" s="14" t="s">
        <v>19</v>
      </c>
      <c r="C354" s="123" t="s">
        <v>145</v>
      </c>
      <c r="D354" s="123" t="s">
        <v>150</v>
      </c>
      <c r="E354" s="14">
        <v>4.1239999999999997</v>
      </c>
      <c r="F354" s="14">
        <v>-2.4200000000000443</v>
      </c>
      <c r="G354" s="14">
        <v>49.399999999999977</v>
      </c>
      <c r="H354" s="14">
        <v>1.9759999999999991</v>
      </c>
      <c r="I354" s="14">
        <v>-5.2999999999999936</v>
      </c>
      <c r="J354" s="14">
        <v>2.9799999999999827</v>
      </c>
      <c r="K354" s="15">
        <v>21.999999999999975</v>
      </c>
    </row>
    <row r="355" spans="1:11" x14ac:dyDescent="0.3">
      <c r="A355" s="13">
        <v>46231</v>
      </c>
      <c r="B355" s="14"/>
      <c r="C355" s="123"/>
      <c r="D355" s="123"/>
      <c r="E355" s="14"/>
      <c r="F355" s="14"/>
      <c r="G355" s="14"/>
      <c r="H355" s="14"/>
      <c r="I355" s="14">
        <v>0</v>
      </c>
      <c r="J355" s="14">
        <v>0</v>
      </c>
      <c r="K355" s="15">
        <v>0</v>
      </c>
    </row>
    <row r="356" spans="1:11" x14ac:dyDescent="0.3">
      <c r="A356" s="13">
        <v>46231</v>
      </c>
      <c r="B356" s="14"/>
      <c r="C356" s="123"/>
      <c r="D356" s="123"/>
      <c r="E356" s="14"/>
      <c r="F356" s="14"/>
      <c r="G356" s="14"/>
      <c r="H356" s="14"/>
      <c r="I356" s="14">
        <v>0</v>
      </c>
      <c r="J356" s="14">
        <v>0</v>
      </c>
      <c r="K356" s="15">
        <v>0</v>
      </c>
    </row>
    <row r="357" spans="1:11" x14ac:dyDescent="0.3">
      <c r="A357" s="13">
        <v>46231</v>
      </c>
      <c r="B357" s="14"/>
      <c r="C357" s="123"/>
      <c r="D357" s="123"/>
      <c r="E357" s="14"/>
      <c r="F357" s="14"/>
      <c r="G357" s="14"/>
      <c r="H357" s="14"/>
      <c r="I357" s="14">
        <v>0</v>
      </c>
      <c r="J357" s="14">
        <v>0</v>
      </c>
      <c r="K357" s="15">
        <v>0</v>
      </c>
    </row>
    <row r="358" spans="1:11" x14ac:dyDescent="0.3">
      <c r="A358" s="13">
        <v>46232</v>
      </c>
      <c r="B358" s="14" t="s">
        <v>19</v>
      </c>
      <c r="C358" s="123" t="s">
        <v>94</v>
      </c>
      <c r="D358" s="123" t="s">
        <v>97</v>
      </c>
      <c r="E358" s="14">
        <v>3.7208000000000001</v>
      </c>
      <c r="F358" s="14">
        <v>9.0800000000000214</v>
      </c>
      <c r="G358" s="14">
        <v>9.0800000000000214</v>
      </c>
      <c r="H358" s="14">
        <v>0.36320000000000086</v>
      </c>
      <c r="I358" s="14">
        <v>0.8599999999999941</v>
      </c>
      <c r="J358" s="14">
        <v>-6.9999999999970086E-2</v>
      </c>
      <c r="K358" s="15">
        <v>1.0800000000000143</v>
      </c>
    </row>
    <row r="359" spans="1:11" x14ac:dyDescent="0.3">
      <c r="A359" s="13">
        <v>46232</v>
      </c>
      <c r="B359" s="14" t="s">
        <v>10</v>
      </c>
      <c r="C359" s="123" t="s">
        <v>97</v>
      </c>
      <c r="D359" s="123" t="s">
        <v>107</v>
      </c>
      <c r="E359" s="14">
        <v>3.8957999999999999</v>
      </c>
      <c r="F359" s="14">
        <v>17.499999999999982</v>
      </c>
      <c r="G359" s="14">
        <v>26.580000000000005</v>
      </c>
      <c r="H359" s="14">
        <v>1.0632000000000001</v>
      </c>
      <c r="I359" s="14">
        <v>2.2199999999999775</v>
      </c>
      <c r="J359" s="14">
        <v>1.8699999999999939</v>
      </c>
      <c r="K359" s="15">
        <v>7.4999999999999734</v>
      </c>
    </row>
    <row r="360" spans="1:11" x14ac:dyDescent="0.3">
      <c r="A360" s="13">
        <v>46232</v>
      </c>
      <c r="B360" s="14" t="s">
        <v>11</v>
      </c>
      <c r="C360" s="123" t="s">
        <v>107</v>
      </c>
      <c r="D360" s="123" t="s">
        <v>111</v>
      </c>
      <c r="E360" s="14">
        <v>3.9782999999999999</v>
      </c>
      <c r="F360" s="14">
        <v>8.2500000000000018</v>
      </c>
      <c r="G360" s="14">
        <v>34.830000000000005</v>
      </c>
      <c r="H360" s="14">
        <v>1.3932000000000002</v>
      </c>
      <c r="I360" s="14">
        <v>2.7099999999999902</v>
      </c>
      <c r="J360" s="14">
        <v>2.3299999999999876</v>
      </c>
      <c r="K360" s="15">
        <v>10.130000000000017</v>
      </c>
    </row>
    <row r="361" spans="1:11" x14ac:dyDescent="0.3">
      <c r="A361" s="13">
        <v>46232</v>
      </c>
      <c r="B361" s="14" t="s">
        <v>13</v>
      </c>
      <c r="C361" s="123" t="s">
        <v>111</v>
      </c>
      <c r="D361" s="123" t="s">
        <v>118</v>
      </c>
      <c r="E361" s="14">
        <v>4.0759999999999996</v>
      </c>
      <c r="F361" s="14">
        <v>9.7699999999999676</v>
      </c>
      <c r="G361" s="14">
        <v>44.599999999999973</v>
      </c>
      <c r="H361" s="14">
        <v>1.7839999999999989</v>
      </c>
      <c r="I361" s="14">
        <v>3.479999999999972</v>
      </c>
      <c r="J361" s="14">
        <v>1.899999999999924</v>
      </c>
      <c r="K361" s="15">
        <v>11.119999999999974</v>
      </c>
    </row>
    <row r="362" spans="1:11" x14ac:dyDescent="0.3">
      <c r="A362" s="13">
        <v>46232</v>
      </c>
      <c r="B362" s="14" t="s">
        <v>28</v>
      </c>
      <c r="C362" s="123" t="s">
        <v>118</v>
      </c>
      <c r="D362" s="123" t="s">
        <v>119</v>
      </c>
      <c r="E362" s="14">
        <v>4.1212999999999997</v>
      </c>
      <c r="F362" s="14">
        <v>4.5300000000000118</v>
      </c>
      <c r="G362" s="14">
        <v>49.129999999999981</v>
      </c>
      <c r="H362" s="14">
        <v>1.9651999999999992</v>
      </c>
      <c r="I362" s="14">
        <v>4.2099999999999582</v>
      </c>
      <c r="J362" s="14">
        <v>1.1299999999999422</v>
      </c>
      <c r="K362" s="15">
        <v>13.639999999999963</v>
      </c>
    </row>
    <row r="363" spans="1:11" x14ac:dyDescent="0.3">
      <c r="A363" s="13">
        <v>46232</v>
      </c>
      <c r="B363" s="14" t="s">
        <v>15</v>
      </c>
      <c r="C363" s="123" t="s">
        <v>119</v>
      </c>
      <c r="D363" s="123" t="s">
        <v>122</v>
      </c>
      <c r="E363" s="14">
        <v>4.1740000000000004</v>
      </c>
      <c r="F363" s="14">
        <v>5.2700000000000635</v>
      </c>
      <c r="G363" s="14">
        <v>54.400000000000048</v>
      </c>
      <c r="H363" s="14">
        <v>2.1760000000000019</v>
      </c>
      <c r="I363" s="14">
        <v>4.5000000000000817</v>
      </c>
      <c r="J363" s="14">
        <v>0.50000000000007816</v>
      </c>
      <c r="K363" s="15">
        <v>15.860000000000074</v>
      </c>
    </row>
    <row r="364" spans="1:11" x14ac:dyDescent="0.3">
      <c r="A364" s="13">
        <v>46232</v>
      </c>
      <c r="B364" s="14" t="s">
        <v>16</v>
      </c>
      <c r="C364" s="123" t="s">
        <v>122</v>
      </c>
      <c r="D364" s="123" t="s">
        <v>126</v>
      </c>
      <c r="E364" s="14">
        <v>4.1989999999999998</v>
      </c>
      <c r="F364" s="14">
        <v>2.4999999999999467</v>
      </c>
      <c r="G364" s="14">
        <v>56.899999999999991</v>
      </c>
      <c r="H364" s="14">
        <v>2.2759999999999998</v>
      </c>
      <c r="I364" s="14">
        <v>5.0200000000000244</v>
      </c>
      <c r="J364" s="14">
        <v>0.69999999999996732</v>
      </c>
      <c r="K364" s="15">
        <v>19.999999999999972</v>
      </c>
    </row>
    <row r="365" spans="1:11" x14ac:dyDescent="0.3">
      <c r="A365" s="13">
        <v>46232</v>
      </c>
      <c r="B365" s="14" t="s">
        <v>18</v>
      </c>
      <c r="C365" s="123" t="s">
        <v>126</v>
      </c>
      <c r="D365" s="123" t="s">
        <v>145</v>
      </c>
      <c r="E365" s="14">
        <v>4.1989999999999998</v>
      </c>
      <c r="F365" s="14">
        <v>0</v>
      </c>
      <c r="G365" s="14">
        <v>56.899999999999991</v>
      </c>
      <c r="H365" s="14">
        <v>2.2759999999999998</v>
      </c>
      <c r="I365" s="14">
        <v>5.0799999999999734</v>
      </c>
      <c r="J365" s="14">
        <v>0.89999999999994529</v>
      </c>
      <c r="K365" s="15">
        <v>21.769999999999978</v>
      </c>
    </row>
    <row r="366" spans="1:11" x14ac:dyDescent="0.3">
      <c r="A366" s="13">
        <v>46232</v>
      </c>
      <c r="B366" s="14" t="s">
        <v>19</v>
      </c>
      <c r="C366" s="123" t="s">
        <v>145</v>
      </c>
      <c r="D366" s="123" t="s">
        <v>150</v>
      </c>
      <c r="E366" s="14">
        <v>4.18</v>
      </c>
      <c r="F366" s="14">
        <v>-1.9000000000000128</v>
      </c>
      <c r="G366" s="14">
        <v>54.999999999999986</v>
      </c>
      <c r="H366" s="14">
        <v>2.1999999999999993</v>
      </c>
      <c r="I366" s="14">
        <v>5.600000000000005</v>
      </c>
      <c r="J366" s="14">
        <v>1.499999999999968</v>
      </c>
      <c r="K366" s="15">
        <v>23.399999999999956</v>
      </c>
    </row>
    <row r="367" spans="1:11" x14ac:dyDescent="0.3">
      <c r="A367" s="13">
        <v>46232</v>
      </c>
      <c r="B367" s="14"/>
      <c r="C367" s="123"/>
      <c r="D367" s="123"/>
      <c r="E367" s="14"/>
      <c r="F367" s="14"/>
      <c r="G367" s="14"/>
      <c r="H367" s="14"/>
      <c r="I367" s="14">
        <v>0</v>
      </c>
      <c r="J367" s="14">
        <v>0</v>
      </c>
      <c r="K367" s="15">
        <v>0</v>
      </c>
    </row>
    <row r="368" spans="1:11" x14ac:dyDescent="0.3">
      <c r="A368" s="13">
        <v>46232</v>
      </c>
      <c r="B368" s="14"/>
      <c r="C368" s="123"/>
      <c r="D368" s="123"/>
      <c r="E368" s="14"/>
      <c r="F368" s="14"/>
      <c r="G368" s="14"/>
      <c r="H368" s="14"/>
      <c r="I368" s="14">
        <v>0</v>
      </c>
      <c r="J368" s="14">
        <v>0</v>
      </c>
      <c r="K368" s="15">
        <v>0</v>
      </c>
    </row>
    <row r="369" spans="1:11" x14ac:dyDescent="0.3">
      <c r="A369" s="13">
        <v>46232</v>
      </c>
      <c r="B369" s="14"/>
      <c r="C369" s="123"/>
      <c r="D369" s="123"/>
      <c r="E369" s="14"/>
      <c r="F369" s="14"/>
      <c r="G369" s="14"/>
      <c r="H369" s="14"/>
      <c r="I369" s="14">
        <v>0</v>
      </c>
      <c r="J369" s="14">
        <v>0</v>
      </c>
      <c r="K369" s="15">
        <v>0</v>
      </c>
    </row>
    <row r="370" spans="1:11" x14ac:dyDescent="0.3">
      <c r="A370" s="13">
        <v>46233</v>
      </c>
      <c r="B370" s="14" t="s">
        <v>10</v>
      </c>
      <c r="C370" s="123" t="s">
        <v>97</v>
      </c>
      <c r="D370" s="123" t="s">
        <v>107</v>
      </c>
      <c r="E370" s="14">
        <v>3.7982</v>
      </c>
      <c r="F370" s="14">
        <v>16.820000000000014</v>
      </c>
      <c r="G370" s="14">
        <v>16.820000000000014</v>
      </c>
      <c r="H370" s="14">
        <v>0.67280000000000062</v>
      </c>
      <c r="I370" s="14">
        <v>-9.7599999999999909</v>
      </c>
      <c r="J370" s="14">
        <v>-10.829999999999984</v>
      </c>
      <c r="K370" s="15">
        <v>-4.4399999999999995</v>
      </c>
    </row>
    <row r="371" spans="1:11" x14ac:dyDescent="0.3">
      <c r="A371" s="13">
        <v>46233</v>
      </c>
      <c r="B371" s="14" t="s">
        <v>11</v>
      </c>
      <c r="C371" s="123" t="s">
        <v>107</v>
      </c>
      <c r="D371" s="123" t="s">
        <v>111</v>
      </c>
      <c r="E371" s="14">
        <v>3.8706</v>
      </c>
      <c r="F371" s="14">
        <v>7.240000000000002</v>
      </c>
      <c r="G371" s="14">
        <v>24.060000000000016</v>
      </c>
      <c r="H371" s="14">
        <v>0.9624000000000007</v>
      </c>
      <c r="I371" s="14">
        <v>-10.769999999999991</v>
      </c>
      <c r="J371" s="14">
        <v>-11.60000000000001</v>
      </c>
      <c r="K371" s="15">
        <v>-2.6399999999999757</v>
      </c>
    </row>
    <row r="372" spans="1:11" x14ac:dyDescent="0.3">
      <c r="A372" s="13">
        <v>46233</v>
      </c>
      <c r="B372" s="14" t="s">
        <v>13</v>
      </c>
      <c r="C372" s="123" t="s">
        <v>111</v>
      </c>
      <c r="D372" s="123" t="s">
        <v>118</v>
      </c>
      <c r="E372" s="14">
        <v>3.9710999999999999</v>
      </c>
      <c r="F372" s="14">
        <v>10.049999999999981</v>
      </c>
      <c r="G372" s="14">
        <v>34.11</v>
      </c>
      <c r="H372" s="14">
        <v>1.3644000000000001</v>
      </c>
      <c r="I372" s="14">
        <v>-10.489999999999977</v>
      </c>
      <c r="J372" s="14">
        <v>-11.519999999999975</v>
      </c>
      <c r="K372" s="15">
        <v>-1.4800000000000146</v>
      </c>
    </row>
    <row r="373" spans="1:11" x14ac:dyDescent="0.3">
      <c r="A373" s="13">
        <v>46233</v>
      </c>
      <c r="B373" s="14" t="s">
        <v>28</v>
      </c>
      <c r="C373" s="123" t="s">
        <v>118</v>
      </c>
      <c r="D373" s="123" t="s">
        <v>119</v>
      </c>
      <c r="E373" s="14">
        <v>4.0191999999999997</v>
      </c>
      <c r="F373" s="14">
        <v>4.809999999999981</v>
      </c>
      <c r="G373" s="14">
        <v>38.919999999999973</v>
      </c>
      <c r="H373" s="14">
        <v>1.5567999999999989</v>
      </c>
      <c r="I373" s="14">
        <v>-10.210000000000008</v>
      </c>
      <c r="J373" s="14">
        <v>-11.980000000000057</v>
      </c>
      <c r="K373" s="15">
        <v>0.83999999999999631</v>
      </c>
    </row>
    <row r="374" spans="1:11" x14ac:dyDescent="0.3">
      <c r="A374" s="13">
        <v>46233</v>
      </c>
      <c r="B374" s="14" t="s">
        <v>15</v>
      </c>
      <c r="C374" s="123" t="s">
        <v>119</v>
      </c>
      <c r="D374" s="123" t="s">
        <v>122</v>
      </c>
      <c r="E374" s="14">
        <v>4.0815999999999999</v>
      </c>
      <c r="F374" s="14">
        <v>6.2400000000000233</v>
      </c>
      <c r="G374" s="14">
        <v>45.16</v>
      </c>
      <c r="H374" s="14">
        <v>1.8063999999999998</v>
      </c>
      <c r="I374" s="14">
        <v>-9.2400000000000482</v>
      </c>
      <c r="J374" s="14">
        <v>-12.100000000000044</v>
      </c>
      <c r="K374" s="15">
        <v>3.5700000000000287</v>
      </c>
    </row>
    <row r="375" spans="1:11" x14ac:dyDescent="0.3">
      <c r="A375" s="13">
        <v>46233</v>
      </c>
      <c r="B375" s="14" t="s">
        <v>16</v>
      </c>
      <c r="C375" s="123" t="s">
        <v>122</v>
      </c>
      <c r="D375" s="123" t="s">
        <v>126</v>
      </c>
      <c r="E375" s="14">
        <v>4.1106999999999996</v>
      </c>
      <c r="F375" s="14">
        <v>2.9099999999999682</v>
      </c>
      <c r="G375" s="14">
        <v>48.069999999999965</v>
      </c>
      <c r="H375" s="14">
        <v>1.9227999999999985</v>
      </c>
      <c r="I375" s="14">
        <v>-8.8300000000000267</v>
      </c>
      <c r="J375" s="14">
        <v>-12.530000000000019</v>
      </c>
      <c r="K375" s="15">
        <v>7.3699999999999655</v>
      </c>
    </row>
    <row r="376" spans="1:11" x14ac:dyDescent="0.3">
      <c r="A376" s="13">
        <v>46233</v>
      </c>
      <c r="B376" s="14" t="s">
        <v>18</v>
      </c>
      <c r="C376" s="123" t="s">
        <v>126</v>
      </c>
      <c r="D376" s="123" t="s">
        <v>145</v>
      </c>
      <c r="E376" s="14">
        <v>4.1193</v>
      </c>
      <c r="F376" s="14">
        <v>0.86000000000003851</v>
      </c>
      <c r="G376" s="14">
        <v>48.930000000000007</v>
      </c>
      <c r="H376" s="14">
        <v>1.9572000000000003</v>
      </c>
      <c r="I376" s="14">
        <v>-7.9699999999999882</v>
      </c>
      <c r="J376" s="14">
        <v>-12.270000000000003</v>
      </c>
      <c r="K376" s="15">
        <v>10.280000000000022</v>
      </c>
    </row>
    <row r="377" spans="1:11" x14ac:dyDescent="0.3">
      <c r="A377" s="13">
        <v>46233</v>
      </c>
      <c r="B377" s="14" t="s">
        <v>19</v>
      </c>
      <c r="C377" s="123" t="s">
        <v>145</v>
      </c>
      <c r="D377" s="123" t="s">
        <v>150</v>
      </c>
      <c r="E377" s="14">
        <v>4.1040000000000001</v>
      </c>
      <c r="F377" s="14">
        <v>-1.5299999999999869</v>
      </c>
      <c r="G377" s="14">
        <v>47.40000000000002</v>
      </c>
      <c r="H377" s="14">
        <v>1.8960000000000008</v>
      </c>
      <c r="I377" s="14">
        <v>-7.5999999999999623</v>
      </c>
      <c r="J377" s="14">
        <v>-12.5</v>
      </c>
      <c r="K377" s="15">
        <v>12.5</v>
      </c>
    </row>
    <row r="378" spans="1:11" x14ac:dyDescent="0.3">
      <c r="A378" s="13">
        <v>46233</v>
      </c>
      <c r="B378" s="14" t="s">
        <v>10</v>
      </c>
      <c r="C378" s="123" t="s">
        <v>150</v>
      </c>
      <c r="D378" s="123" t="s">
        <v>200</v>
      </c>
      <c r="E378" s="14">
        <v>4.0810000000000004</v>
      </c>
      <c r="F378" s="14">
        <v>-2.2999999999999687</v>
      </c>
      <c r="G378" s="14">
        <v>45.100000000000051</v>
      </c>
      <c r="H378" s="14">
        <v>1.804000000000002</v>
      </c>
      <c r="I378" s="14" t="s">
        <v>41</v>
      </c>
      <c r="J378" s="14" t="s">
        <v>41</v>
      </c>
      <c r="K378" s="15" t="s">
        <v>41</v>
      </c>
    </row>
    <row r="379" spans="1:11" x14ac:dyDescent="0.3">
      <c r="A379" s="13">
        <v>46233</v>
      </c>
      <c r="B379" s="14"/>
      <c r="C379" s="123"/>
      <c r="D379" s="123"/>
      <c r="E379" s="14"/>
      <c r="F379" s="14"/>
      <c r="G379" s="14"/>
      <c r="H379" s="14"/>
      <c r="I379" s="14">
        <v>0</v>
      </c>
      <c r="J379" s="14">
        <v>0</v>
      </c>
      <c r="K379" s="15">
        <v>0</v>
      </c>
    </row>
    <row r="380" spans="1:11" x14ac:dyDescent="0.3">
      <c r="A380" s="13">
        <v>46233</v>
      </c>
      <c r="B380" s="14"/>
      <c r="C380" s="123"/>
      <c r="D380" s="123"/>
      <c r="E380" s="14"/>
      <c r="F380" s="14"/>
      <c r="G380" s="14"/>
      <c r="H380" s="14"/>
      <c r="I380" s="14">
        <v>0</v>
      </c>
      <c r="J380" s="14">
        <v>0</v>
      </c>
      <c r="K380" s="15">
        <v>0</v>
      </c>
    </row>
    <row r="381" spans="1:11" x14ac:dyDescent="0.3">
      <c r="A381" s="13">
        <v>46233</v>
      </c>
      <c r="B381" s="14"/>
      <c r="C381" s="123"/>
      <c r="D381" s="123"/>
      <c r="E381" s="14"/>
      <c r="F381" s="14"/>
      <c r="G381" s="14"/>
      <c r="H381" s="14"/>
      <c r="I381" s="14">
        <v>0</v>
      </c>
      <c r="J381" s="14">
        <v>0</v>
      </c>
      <c r="K381" s="15">
        <v>0</v>
      </c>
    </row>
    <row r="382" spans="1:11" x14ac:dyDescent="0.3">
      <c r="A382" s="539">
        <v>46234</v>
      </c>
      <c r="B382" s="540" t="s">
        <v>10</v>
      </c>
      <c r="C382" s="541" t="s">
        <v>97</v>
      </c>
      <c r="D382" s="541" t="s">
        <v>107</v>
      </c>
      <c r="E382" s="540">
        <v>3.8014000000000001</v>
      </c>
      <c r="F382" s="540">
        <v>17.140000000000022</v>
      </c>
      <c r="G382" s="540">
        <v>17.140000000000022</v>
      </c>
      <c r="H382" s="540">
        <v>0.68560000000000088</v>
      </c>
      <c r="I382" s="540">
        <v>0.32000000000000917</v>
      </c>
      <c r="J382" s="540">
        <v>-8.4600000000000009</v>
      </c>
      <c r="K382" s="542">
        <v>-4.1199999999999903</v>
      </c>
    </row>
    <row r="383" spans="1:11" x14ac:dyDescent="0.3">
      <c r="A383" s="539">
        <v>46234</v>
      </c>
      <c r="B383" s="540" t="s">
        <v>11</v>
      </c>
      <c r="C383" s="541" t="s">
        <v>107</v>
      </c>
      <c r="D383" s="541" t="s">
        <v>111</v>
      </c>
      <c r="E383" s="540">
        <v>3.8824000000000001</v>
      </c>
      <c r="F383" s="540">
        <v>8.0999999999999961</v>
      </c>
      <c r="G383" s="540">
        <v>25.240000000000016</v>
      </c>
      <c r="H383" s="540">
        <v>1.0096000000000007</v>
      </c>
      <c r="I383" s="540">
        <v>1.1800000000000033</v>
      </c>
      <c r="J383" s="540">
        <v>-7.5400000000000134</v>
      </c>
      <c r="K383" s="542">
        <v>-1.4599999999999724</v>
      </c>
    </row>
    <row r="384" spans="1:11" x14ac:dyDescent="0.3">
      <c r="A384" s="539">
        <v>46234</v>
      </c>
      <c r="B384" s="540" t="s">
        <v>13</v>
      </c>
      <c r="C384" s="541" t="s">
        <v>111</v>
      </c>
      <c r="D384" s="541" t="s">
        <v>118</v>
      </c>
      <c r="E384" s="540">
        <v>3.9996999999999998</v>
      </c>
      <c r="F384" s="540">
        <v>11.729999999999974</v>
      </c>
      <c r="G384" s="540">
        <v>36.969999999999992</v>
      </c>
      <c r="H384" s="540">
        <v>1.4787999999999997</v>
      </c>
      <c r="I384" s="540">
        <v>2.8599999999999959</v>
      </c>
      <c r="J384" s="540">
        <v>-5.740000000000034</v>
      </c>
      <c r="K384" s="542">
        <v>1.3799999999999812</v>
      </c>
    </row>
    <row r="385" spans="1:11" x14ac:dyDescent="0.3">
      <c r="A385" s="539">
        <v>46234</v>
      </c>
      <c r="B385" s="540" t="s">
        <v>28</v>
      </c>
      <c r="C385" s="541" t="s">
        <v>118</v>
      </c>
      <c r="D385" s="541" t="s">
        <v>119</v>
      </c>
      <c r="E385" s="540">
        <v>4.0590000000000002</v>
      </c>
      <c r="F385" s="540">
        <v>5.9300000000000352</v>
      </c>
      <c r="G385" s="540">
        <v>42.900000000000027</v>
      </c>
      <c r="H385" s="540">
        <v>1.7160000000000011</v>
      </c>
      <c r="I385" s="540">
        <v>3.9800000000000502</v>
      </c>
      <c r="J385" s="540">
        <v>-4.6499999999999986</v>
      </c>
      <c r="K385" s="542">
        <v>4.8200000000000465</v>
      </c>
    </row>
    <row r="386" spans="1:11" x14ac:dyDescent="0.3">
      <c r="A386" s="539">
        <v>46234</v>
      </c>
      <c r="B386" s="540" t="s">
        <v>15</v>
      </c>
      <c r="C386" s="541" t="s">
        <v>119</v>
      </c>
      <c r="D386" s="541" t="s">
        <v>122</v>
      </c>
      <c r="E386" s="540">
        <v>4.1345999999999998</v>
      </c>
      <c r="F386" s="540">
        <v>7.5599999999999667</v>
      </c>
      <c r="G386" s="540">
        <v>50.459999999999994</v>
      </c>
      <c r="H386" s="540">
        <v>2.0183999999999997</v>
      </c>
      <c r="I386" s="540">
        <v>5.2999999999999936</v>
      </c>
      <c r="J386" s="540">
        <v>-3.0400000000000205</v>
      </c>
      <c r="K386" s="542">
        <v>8.8700000000000223</v>
      </c>
    </row>
    <row r="387" spans="1:11" x14ac:dyDescent="0.3">
      <c r="A387" s="539">
        <v>46234</v>
      </c>
      <c r="B387" s="540" t="s">
        <v>16</v>
      </c>
      <c r="C387" s="541" t="s">
        <v>122</v>
      </c>
      <c r="D387" s="541" t="s">
        <v>126</v>
      </c>
      <c r="E387" s="540">
        <v>4.1715</v>
      </c>
      <c r="F387" s="540">
        <v>3.6900000000000155</v>
      </c>
      <c r="G387" s="540">
        <v>54.150000000000006</v>
      </c>
      <c r="H387" s="540">
        <v>2.1660000000000004</v>
      </c>
      <c r="I387" s="540">
        <v>6.0800000000000409</v>
      </c>
      <c r="J387" s="540">
        <v>-1.9499999999999851</v>
      </c>
      <c r="K387" s="542">
        <v>13.450000000000006</v>
      </c>
    </row>
    <row r="388" spans="1:11" x14ac:dyDescent="0.3">
      <c r="A388" s="539">
        <v>46234</v>
      </c>
      <c r="B388" s="540" t="s">
        <v>18</v>
      </c>
      <c r="C388" s="541" t="s">
        <v>126</v>
      </c>
      <c r="D388" s="541" t="s">
        <v>145</v>
      </c>
      <c r="E388" s="540">
        <v>4.1769999999999996</v>
      </c>
      <c r="F388" s="540">
        <v>0.54999999999996163</v>
      </c>
      <c r="G388" s="540">
        <v>54.699999999999974</v>
      </c>
      <c r="H388" s="540">
        <v>2.1879999999999988</v>
      </c>
      <c r="I388" s="540">
        <v>5.769999999999964</v>
      </c>
      <c r="J388" s="540">
        <v>-1.9000000000000128</v>
      </c>
      <c r="K388" s="542">
        <v>16.049999999999986</v>
      </c>
    </row>
    <row r="389" spans="1:11" x14ac:dyDescent="0.3">
      <c r="A389" s="539">
        <v>46234</v>
      </c>
      <c r="B389" s="540" t="s">
        <v>19</v>
      </c>
      <c r="C389" s="541" t="s">
        <v>145</v>
      </c>
      <c r="D389" s="541" t="s">
        <v>150</v>
      </c>
      <c r="E389" s="540">
        <v>4.1631999999999998</v>
      </c>
      <c r="F389" s="540">
        <v>-1.3799999999999812</v>
      </c>
      <c r="G389" s="540">
        <v>53.319999999999993</v>
      </c>
      <c r="H389" s="540">
        <v>2.1327999999999996</v>
      </c>
      <c r="I389" s="540">
        <v>5.9199999999999697</v>
      </c>
      <c r="J389" s="540">
        <v>-1.1800000000000033</v>
      </c>
      <c r="K389" s="542">
        <v>18.41999999999997</v>
      </c>
    </row>
    <row r="390" spans="1:11" x14ac:dyDescent="0.3">
      <c r="A390" s="539">
        <v>46234</v>
      </c>
      <c r="B390" s="540" t="s">
        <v>10</v>
      </c>
      <c r="C390" s="541" t="s">
        <v>150</v>
      </c>
      <c r="D390" s="541" t="s">
        <v>200</v>
      </c>
      <c r="E390" s="540">
        <v>4.1422999999999996</v>
      </c>
      <c r="F390" s="540">
        <v>-2.0900000000000141</v>
      </c>
      <c r="G390" s="540">
        <v>51.229999999999976</v>
      </c>
      <c r="H390" s="540">
        <v>2.049199999999999</v>
      </c>
      <c r="I390" s="540">
        <v>6.1299999999999244</v>
      </c>
      <c r="J390" s="540" t="s">
        <v>41</v>
      </c>
      <c r="K390" s="542" t="s">
        <v>41</v>
      </c>
    </row>
    <row r="391" spans="1:11" x14ac:dyDescent="0.3">
      <c r="A391" s="539">
        <v>46234</v>
      </c>
      <c r="B391" s="540"/>
      <c r="C391" s="541"/>
      <c r="D391" s="541"/>
      <c r="E391" s="540"/>
      <c r="F391" s="540"/>
      <c r="G391" s="540"/>
      <c r="H391" s="540"/>
      <c r="I391" s="540">
        <v>0</v>
      </c>
      <c r="J391" s="540">
        <v>0</v>
      </c>
      <c r="K391" s="542">
        <v>0</v>
      </c>
    </row>
    <row r="392" spans="1:11" x14ac:dyDescent="0.3">
      <c r="A392" s="539">
        <v>46234</v>
      </c>
      <c r="B392" s="540"/>
      <c r="C392" s="541"/>
      <c r="D392" s="541"/>
      <c r="E392" s="540"/>
      <c r="F392" s="540"/>
      <c r="G392" s="540"/>
      <c r="H392" s="540"/>
      <c r="I392" s="540">
        <v>0</v>
      </c>
      <c r="J392" s="540">
        <v>0</v>
      </c>
      <c r="K392" s="542">
        <v>0</v>
      </c>
    </row>
    <row r="393" spans="1:11" x14ac:dyDescent="0.3">
      <c r="A393" s="539">
        <v>46234</v>
      </c>
      <c r="B393" s="540"/>
      <c r="C393" s="541"/>
      <c r="D393" s="541"/>
      <c r="E393" s="540"/>
      <c r="F393" s="540"/>
      <c r="G393" s="540"/>
      <c r="H393" s="540"/>
      <c r="I393" s="540">
        <v>0</v>
      </c>
      <c r="J393" s="540">
        <v>0</v>
      </c>
      <c r="K393" s="542">
        <v>0</v>
      </c>
    </row>
    <row r="394" spans="1:11" x14ac:dyDescent="0.3">
      <c r="A394" s="539">
        <v>46237</v>
      </c>
      <c r="B394" s="540" t="s">
        <v>10</v>
      </c>
      <c r="C394" s="541" t="s">
        <v>97</v>
      </c>
      <c r="D394" s="541" t="s">
        <v>107</v>
      </c>
      <c r="E394" s="540">
        <v>3.8</v>
      </c>
      <c r="F394" s="540">
        <v>16.999999999999993</v>
      </c>
      <c r="G394" s="540">
        <v>16.999999999999993</v>
      </c>
      <c r="H394" s="540">
        <v>0.67999999999999972</v>
      </c>
      <c r="I394" s="540">
        <v>-0.14000000000002899</v>
      </c>
      <c r="J394" s="540">
        <v>-9.6400000000000041</v>
      </c>
      <c r="K394" s="542">
        <v>1.18999999999998</v>
      </c>
    </row>
    <row r="395" spans="1:11" x14ac:dyDescent="0.3">
      <c r="A395" s="539">
        <v>46237</v>
      </c>
      <c r="B395" s="540" t="s">
        <v>11</v>
      </c>
      <c r="C395" s="541" t="s">
        <v>107</v>
      </c>
      <c r="D395" s="541" t="s">
        <v>111</v>
      </c>
      <c r="E395" s="540">
        <v>3.8763000000000001</v>
      </c>
      <c r="F395" s="540">
        <v>7.6300000000000257</v>
      </c>
      <c r="G395" s="540">
        <v>24.630000000000017</v>
      </c>
      <c r="H395" s="540">
        <v>0.98520000000000063</v>
      </c>
      <c r="I395" s="540">
        <v>-0.60999999999999943</v>
      </c>
      <c r="J395" s="540">
        <v>-9.96999999999999</v>
      </c>
      <c r="K395" s="542">
        <v>3.3800000000000274</v>
      </c>
    </row>
    <row r="396" spans="1:11" x14ac:dyDescent="0.3">
      <c r="A396" s="539">
        <v>46237</v>
      </c>
      <c r="B396" s="540" t="s">
        <v>13</v>
      </c>
      <c r="C396" s="541" t="s">
        <v>111</v>
      </c>
      <c r="D396" s="541" t="s">
        <v>118</v>
      </c>
      <c r="E396" s="540">
        <v>3.9899</v>
      </c>
      <c r="F396" s="540">
        <v>11.359999999999992</v>
      </c>
      <c r="G396" s="540">
        <v>35.990000000000009</v>
      </c>
      <c r="H396" s="540">
        <v>1.4396000000000004</v>
      </c>
      <c r="I396" s="540">
        <v>-0.97999999999998089</v>
      </c>
      <c r="J396" s="540">
        <v>-8.2899999999999974</v>
      </c>
      <c r="K396" s="542">
        <v>5.2900000000000169</v>
      </c>
    </row>
    <row r="397" spans="1:11" x14ac:dyDescent="0.3">
      <c r="A397" s="539">
        <v>46237</v>
      </c>
      <c r="B397" s="540" t="s">
        <v>28</v>
      </c>
      <c r="C397" s="541" t="s">
        <v>118</v>
      </c>
      <c r="D397" s="541" t="s">
        <v>119</v>
      </c>
      <c r="E397" s="540">
        <v>4.0358999999999998</v>
      </c>
      <c r="F397" s="540">
        <v>4.5999999999999819</v>
      </c>
      <c r="G397" s="540">
        <v>40.589999999999989</v>
      </c>
      <c r="H397" s="540">
        <v>1.6235999999999995</v>
      </c>
      <c r="I397" s="540">
        <v>-2.3100000000000342</v>
      </c>
      <c r="J397" s="540">
        <v>-8.4100000000000286</v>
      </c>
      <c r="K397" s="542">
        <v>6.6899999999999959</v>
      </c>
    </row>
    <row r="398" spans="1:11" x14ac:dyDescent="0.3">
      <c r="A398" s="539">
        <v>46237</v>
      </c>
      <c r="B398" s="540" t="s">
        <v>15</v>
      </c>
      <c r="C398" s="541" t="s">
        <v>119</v>
      </c>
      <c r="D398" s="541" t="s">
        <v>122</v>
      </c>
      <c r="E398" s="540">
        <v>4.1052999999999997</v>
      </c>
      <c r="F398" s="540">
        <v>6.9399999999999906</v>
      </c>
      <c r="G398" s="540">
        <v>47.529999999999987</v>
      </c>
      <c r="H398" s="540">
        <v>1.9011999999999996</v>
      </c>
      <c r="I398" s="540">
        <v>-2.9300000000000104</v>
      </c>
      <c r="J398" s="540">
        <v>-7.0899999999999963</v>
      </c>
      <c r="K398" s="542">
        <v>9.1299999999999493</v>
      </c>
    </row>
    <row r="399" spans="1:11" x14ac:dyDescent="0.3">
      <c r="A399" s="539">
        <v>46237</v>
      </c>
      <c r="B399" s="540" t="s">
        <v>16</v>
      </c>
      <c r="C399" s="541" t="s">
        <v>122</v>
      </c>
      <c r="D399" s="541" t="s">
        <v>126</v>
      </c>
      <c r="E399" s="540">
        <v>4.1318000000000001</v>
      </c>
      <c r="F399" s="540">
        <v>2.6500000000000412</v>
      </c>
      <c r="G399" s="540">
        <v>50.180000000000021</v>
      </c>
      <c r="H399" s="540">
        <v>2.007200000000001</v>
      </c>
      <c r="I399" s="540">
        <v>-3.9699999999999847</v>
      </c>
      <c r="J399" s="540">
        <v>-6.9199999999999484</v>
      </c>
      <c r="K399" s="542">
        <v>11.080000000000023</v>
      </c>
    </row>
    <row r="400" spans="1:11" x14ac:dyDescent="0.3">
      <c r="A400" s="539">
        <v>46237</v>
      </c>
      <c r="B400" s="540" t="s">
        <v>18</v>
      </c>
      <c r="C400" s="541" t="s">
        <v>126</v>
      </c>
      <c r="D400" s="541" t="s">
        <v>145</v>
      </c>
      <c r="E400" s="540">
        <v>4.1441999999999997</v>
      </c>
      <c r="F400" s="540">
        <v>1.2399999999999523</v>
      </c>
      <c r="G400" s="540">
        <v>51.419999999999973</v>
      </c>
      <c r="H400" s="540">
        <v>2.0567999999999991</v>
      </c>
      <c r="I400" s="540">
        <v>-3.279999999999994</v>
      </c>
      <c r="J400" s="540">
        <v>-5.880000000000063</v>
      </c>
      <c r="K400" s="542">
        <v>13.719999999999999</v>
      </c>
    </row>
    <row r="401" spans="1:11" x14ac:dyDescent="0.3">
      <c r="A401" s="539">
        <v>46237</v>
      </c>
      <c r="B401" s="540" t="s">
        <v>19</v>
      </c>
      <c r="C401" s="541" t="s">
        <v>145</v>
      </c>
      <c r="D401" s="541" t="s">
        <v>150</v>
      </c>
      <c r="E401" s="540">
        <v>4.1310000000000002</v>
      </c>
      <c r="F401" s="540">
        <v>-1.3199999999999434</v>
      </c>
      <c r="G401" s="540">
        <v>50.100000000000037</v>
      </c>
      <c r="H401" s="540">
        <v>2.0040000000000013</v>
      </c>
      <c r="I401" s="540">
        <v>-3.2199999999999562</v>
      </c>
      <c r="J401" s="540">
        <v>-4.5999999999999375</v>
      </c>
      <c r="K401" s="542">
        <v>15.200000000000014</v>
      </c>
    </row>
    <row r="402" spans="1:11" x14ac:dyDescent="0.3">
      <c r="A402" s="539">
        <v>46237</v>
      </c>
      <c r="B402" s="540" t="s">
        <v>10</v>
      </c>
      <c r="C402" s="541" t="s">
        <v>150</v>
      </c>
      <c r="D402" s="541" t="s">
        <v>200</v>
      </c>
      <c r="E402" s="540">
        <v>4.1060999999999996</v>
      </c>
      <c r="F402" s="540">
        <v>-2.4900000000000588</v>
      </c>
      <c r="G402" s="540">
        <v>47.609999999999971</v>
      </c>
      <c r="H402" s="540">
        <v>1.9043999999999988</v>
      </c>
      <c r="I402" s="540">
        <v>-3.620000000000001</v>
      </c>
      <c r="J402" s="540" t="s">
        <v>41</v>
      </c>
      <c r="K402" s="542" t="s">
        <v>41</v>
      </c>
    </row>
    <row r="403" spans="1:11" x14ac:dyDescent="0.3">
      <c r="A403" s="539">
        <v>46237</v>
      </c>
      <c r="B403" s="540"/>
      <c r="C403" s="541"/>
      <c r="D403" s="541"/>
      <c r="E403" s="540"/>
      <c r="F403" s="540"/>
      <c r="G403" s="540"/>
      <c r="H403" s="540"/>
      <c r="I403" s="540">
        <v>0</v>
      </c>
      <c r="J403" s="540">
        <v>0</v>
      </c>
      <c r="K403" s="542">
        <v>0</v>
      </c>
    </row>
    <row r="404" spans="1:11" x14ac:dyDescent="0.3">
      <c r="A404" s="539">
        <v>46237</v>
      </c>
      <c r="B404" s="540"/>
      <c r="C404" s="541"/>
      <c r="D404" s="541"/>
      <c r="E404" s="540"/>
      <c r="F404" s="540"/>
      <c r="G404" s="540"/>
      <c r="H404" s="540"/>
      <c r="I404" s="540">
        <v>0</v>
      </c>
      <c r="J404" s="540">
        <v>0</v>
      </c>
      <c r="K404" s="542">
        <v>0</v>
      </c>
    </row>
    <row r="405" spans="1:11" x14ac:dyDescent="0.3">
      <c r="A405" s="539">
        <v>46237</v>
      </c>
      <c r="B405" s="540"/>
      <c r="C405" s="541"/>
      <c r="D405" s="541"/>
      <c r="E405" s="540"/>
      <c r="F405" s="540"/>
      <c r="G405" s="540"/>
      <c r="H405" s="540"/>
      <c r="I405" s="540">
        <v>0</v>
      </c>
      <c r="J405" s="540">
        <v>0</v>
      </c>
      <c r="K405" s="542">
        <v>0</v>
      </c>
    </row>
    <row r="406" spans="1:11" x14ac:dyDescent="0.3">
      <c r="A406" s="13">
        <v>46238</v>
      </c>
      <c r="B406" s="14" t="s">
        <v>10</v>
      </c>
      <c r="C406" s="123" t="s">
        <v>97</v>
      </c>
      <c r="D406" s="123" t="s">
        <v>107</v>
      </c>
      <c r="E406" s="14">
        <v>3.7823000000000002</v>
      </c>
      <c r="F406" s="14">
        <v>15.230000000000032</v>
      </c>
      <c r="G406" s="14">
        <v>15.230000000000032</v>
      </c>
      <c r="H406" s="14">
        <v>0.6092000000000013</v>
      </c>
      <c r="I406" s="14">
        <v>-1.7699999999999605</v>
      </c>
      <c r="J406" s="14">
        <v>-9.1299999999999937</v>
      </c>
      <c r="K406" s="15">
        <v>-4.7199999999999687</v>
      </c>
    </row>
    <row r="407" spans="1:11" x14ac:dyDescent="0.3">
      <c r="A407" s="13">
        <v>46238</v>
      </c>
      <c r="B407" s="14" t="s">
        <v>11</v>
      </c>
      <c r="C407" s="123" t="s">
        <v>107</v>
      </c>
      <c r="D407" s="123" t="s">
        <v>111</v>
      </c>
      <c r="E407" s="14">
        <v>3.8521000000000001</v>
      </c>
      <c r="F407" s="14">
        <v>6.9799999999999862</v>
      </c>
      <c r="G407" s="14">
        <v>22.210000000000019</v>
      </c>
      <c r="H407" s="14">
        <v>0.88840000000000074</v>
      </c>
      <c r="I407" s="14">
        <v>-2.42</v>
      </c>
      <c r="J407" s="14">
        <v>-9.9099999999999966</v>
      </c>
      <c r="K407" s="15">
        <v>-3.7799999999999834</v>
      </c>
    </row>
    <row r="408" spans="1:11" x14ac:dyDescent="0.3">
      <c r="A408" s="13">
        <v>46238</v>
      </c>
      <c r="B408" s="14" t="s">
        <v>13</v>
      </c>
      <c r="C408" s="123" t="s">
        <v>111</v>
      </c>
      <c r="D408" s="123" t="s">
        <v>118</v>
      </c>
      <c r="E408" s="14">
        <v>3.9590000000000001</v>
      </c>
      <c r="F408" s="14">
        <v>10.69</v>
      </c>
      <c r="G408" s="14">
        <v>32.90000000000002</v>
      </c>
      <c r="H408" s="14">
        <v>1.3160000000000007</v>
      </c>
      <c r="I408" s="14">
        <v>-3.0899999999999928</v>
      </c>
      <c r="J408" s="14">
        <v>-8.2199999999999829</v>
      </c>
      <c r="K408" s="15">
        <v>-2.42</v>
      </c>
    </row>
    <row r="409" spans="1:11" x14ac:dyDescent="0.3">
      <c r="A409" s="13">
        <v>46238</v>
      </c>
      <c r="B409" s="14" t="s">
        <v>28</v>
      </c>
      <c r="C409" s="123" t="s">
        <v>118</v>
      </c>
      <c r="D409" s="123" t="s">
        <v>119</v>
      </c>
      <c r="E409" s="14">
        <v>3.9939</v>
      </c>
      <c r="F409" s="14">
        <v>3.4899999999999931</v>
      </c>
      <c r="G409" s="14">
        <v>36.390000000000015</v>
      </c>
      <c r="H409" s="14">
        <v>1.4556000000000007</v>
      </c>
      <c r="I409" s="14">
        <v>-4.1999999999999815</v>
      </c>
      <c r="J409" s="14">
        <v>-8.5300000000000153</v>
      </c>
      <c r="K409" s="15">
        <v>-2.0100000000000229</v>
      </c>
    </row>
    <row r="410" spans="1:11" x14ac:dyDescent="0.3">
      <c r="A410" s="13">
        <v>46238</v>
      </c>
      <c r="B410" s="14" t="s">
        <v>15</v>
      </c>
      <c r="C410" s="123" t="s">
        <v>119</v>
      </c>
      <c r="D410" s="123" t="s">
        <v>122</v>
      </c>
      <c r="E410" s="14">
        <v>4.0541</v>
      </c>
      <c r="F410" s="14">
        <v>6.0200000000000031</v>
      </c>
      <c r="G410" s="14">
        <v>42.410000000000011</v>
      </c>
      <c r="H410" s="14">
        <v>1.6964000000000004</v>
      </c>
      <c r="I410" s="14">
        <v>-5.119999999999969</v>
      </c>
      <c r="J410" s="14">
        <v>-7.4899999999999523</v>
      </c>
      <c r="K410" s="15">
        <v>0.14000000000002899</v>
      </c>
    </row>
    <row r="411" spans="1:11" x14ac:dyDescent="0.3">
      <c r="A411" s="13">
        <v>46238</v>
      </c>
      <c r="B411" s="14" t="s">
        <v>16</v>
      </c>
      <c r="C411" s="123" t="s">
        <v>122</v>
      </c>
      <c r="D411" s="123" t="s">
        <v>126</v>
      </c>
      <c r="E411" s="14">
        <v>4.0731000000000002</v>
      </c>
      <c r="F411" s="14">
        <v>1.9000000000000128</v>
      </c>
      <c r="G411" s="14">
        <v>44.310000000000031</v>
      </c>
      <c r="H411" s="14">
        <v>1.7724000000000013</v>
      </c>
      <c r="I411" s="14">
        <v>-5.8699999999999974</v>
      </c>
      <c r="J411" s="14">
        <v>-7.5699999999999434</v>
      </c>
      <c r="K411" s="15">
        <v>1.9099999999999895</v>
      </c>
    </row>
    <row r="412" spans="1:11" x14ac:dyDescent="0.3">
      <c r="A412" s="13">
        <v>46238</v>
      </c>
      <c r="B412" s="14" t="s">
        <v>18</v>
      </c>
      <c r="C412" s="123" t="s">
        <v>126</v>
      </c>
      <c r="D412" s="123" t="s">
        <v>145</v>
      </c>
      <c r="E412" s="14">
        <v>4.0823</v>
      </c>
      <c r="F412" s="14">
        <v>0.91999999999998749</v>
      </c>
      <c r="G412" s="14">
        <v>45.230000000000018</v>
      </c>
      <c r="H412" s="14">
        <v>1.8092000000000008</v>
      </c>
      <c r="I412" s="14">
        <v>-6.1899999999999622</v>
      </c>
      <c r="J412" s="14">
        <v>-6.590000000000007</v>
      </c>
      <c r="K412" s="15">
        <v>5.2800000000000402</v>
      </c>
    </row>
    <row r="413" spans="1:11" x14ac:dyDescent="0.3">
      <c r="A413" s="13">
        <v>46238</v>
      </c>
      <c r="B413" s="14" t="s">
        <v>19</v>
      </c>
      <c r="C413" s="123" t="s">
        <v>145</v>
      </c>
      <c r="D413" s="123" t="s">
        <v>150</v>
      </c>
      <c r="E413" s="14">
        <v>4.0629999999999997</v>
      </c>
      <c r="F413" s="14">
        <v>-1.9300000000000317</v>
      </c>
      <c r="G413" s="14">
        <v>43.299999999999983</v>
      </c>
      <c r="H413" s="14">
        <v>1.7319999999999993</v>
      </c>
      <c r="I413" s="14">
        <v>-6.8000000000000504</v>
      </c>
      <c r="J413" s="14">
        <v>-6.0999999999999943</v>
      </c>
      <c r="K413" s="15">
        <v>6.6999999999999726</v>
      </c>
    </row>
    <row r="414" spans="1:11" x14ac:dyDescent="0.3">
      <c r="A414" s="13">
        <v>46238</v>
      </c>
      <c r="B414" s="14" t="s">
        <v>10</v>
      </c>
      <c r="C414" s="123" t="s">
        <v>150</v>
      </c>
      <c r="D414" s="123" t="s">
        <v>200</v>
      </c>
      <c r="E414" s="14">
        <v>4.04</v>
      </c>
      <c r="F414" s="14">
        <v>-2.2999999999999687</v>
      </c>
      <c r="G414" s="14">
        <v>41.000000000000014</v>
      </c>
      <c r="H414" s="14">
        <v>1.6400000000000006</v>
      </c>
      <c r="I414" s="14">
        <v>-6.6099999999999604</v>
      </c>
      <c r="J414" s="14" t="s">
        <v>41</v>
      </c>
      <c r="K414" s="15" t="s">
        <v>41</v>
      </c>
    </row>
    <row r="415" spans="1:11" x14ac:dyDescent="0.3">
      <c r="A415" s="13">
        <v>46238</v>
      </c>
      <c r="B415" s="14"/>
      <c r="C415" s="123"/>
      <c r="D415" s="123"/>
      <c r="E415" s="14"/>
      <c r="F415" s="14"/>
      <c r="G415" s="14"/>
      <c r="H415" s="14"/>
      <c r="I415" s="14">
        <v>0</v>
      </c>
      <c r="J415" s="14">
        <v>0</v>
      </c>
      <c r="K415" s="15">
        <v>0</v>
      </c>
    </row>
    <row r="416" spans="1:11" x14ac:dyDescent="0.3">
      <c r="A416" s="13">
        <v>46238</v>
      </c>
      <c r="B416" s="14"/>
      <c r="C416" s="123"/>
      <c r="D416" s="123"/>
      <c r="E416" s="14"/>
      <c r="F416" s="14"/>
      <c r="G416" s="14"/>
      <c r="H416" s="14"/>
      <c r="I416" s="14">
        <v>0</v>
      </c>
      <c r="J416" s="14">
        <v>0</v>
      </c>
      <c r="K416" s="15">
        <v>0</v>
      </c>
    </row>
    <row r="417" spans="1:11" x14ac:dyDescent="0.3">
      <c r="A417" s="13">
        <v>46238</v>
      </c>
      <c r="B417" s="14"/>
      <c r="C417" s="123"/>
      <c r="D417" s="123"/>
      <c r="E417" s="14"/>
      <c r="F417" s="14"/>
      <c r="G417" s="14"/>
      <c r="H417" s="14"/>
      <c r="I417" s="14">
        <v>0</v>
      </c>
      <c r="J417" s="14">
        <v>0</v>
      </c>
      <c r="K417" s="15">
        <v>0</v>
      </c>
    </row>
    <row r="418" spans="1:11" x14ac:dyDescent="0.3">
      <c r="A418" s="557">
        <v>46239</v>
      </c>
      <c r="B418" s="558" t="s">
        <v>10</v>
      </c>
      <c r="C418" s="559" t="s">
        <v>97</v>
      </c>
      <c r="D418" s="559" t="s">
        <v>107</v>
      </c>
      <c r="E418" s="558">
        <v>3.7801</v>
      </c>
      <c r="F418" s="558">
        <v>15.010000000000012</v>
      </c>
      <c r="G418" s="558">
        <v>15.010000000000012</v>
      </c>
      <c r="H418" s="558">
        <v>0.60040000000000049</v>
      </c>
      <c r="I418" s="558">
        <v>-0.22000000000002018</v>
      </c>
      <c r="J418" s="558">
        <v>-11.569999999999991</v>
      </c>
      <c r="K418" s="560">
        <v>-0.80000000000000071</v>
      </c>
    </row>
    <row r="419" spans="1:11" x14ac:dyDescent="0.3">
      <c r="A419" s="557">
        <v>46239</v>
      </c>
      <c r="B419" s="558" t="s">
        <v>11</v>
      </c>
      <c r="C419" s="559" t="s">
        <v>107</v>
      </c>
      <c r="D419" s="559" t="s">
        <v>111</v>
      </c>
      <c r="E419" s="558">
        <v>3.8521999999999998</v>
      </c>
      <c r="F419" s="558">
        <v>7.2099999999999831</v>
      </c>
      <c r="G419" s="558">
        <v>22.219999999999995</v>
      </c>
      <c r="H419" s="558">
        <v>0.88879999999999981</v>
      </c>
      <c r="I419" s="558">
        <v>9.9999999999766942E-3</v>
      </c>
      <c r="J419" s="558">
        <v>-12.61000000000001</v>
      </c>
      <c r="K419" s="560">
        <v>0.97000000000000419</v>
      </c>
    </row>
    <row r="420" spans="1:11" x14ac:dyDescent="0.3">
      <c r="A420" s="557">
        <v>46239</v>
      </c>
      <c r="B420" s="558" t="s">
        <v>13</v>
      </c>
      <c r="C420" s="559" t="s">
        <v>111</v>
      </c>
      <c r="D420" s="559" t="s">
        <v>118</v>
      </c>
      <c r="E420" s="558">
        <v>3.9643999999999999</v>
      </c>
      <c r="F420" s="558">
        <v>11.220000000000008</v>
      </c>
      <c r="G420" s="558">
        <v>33.440000000000005</v>
      </c>
      <c r="H420" s="558">
        <v>1.3376000000000001</v>
      </c>
      <c r="I420" s="558">
        <v>0.53999999999998494</v>
      </c>
      <c r="J420" s="558">
        <v>-11.15999999999997</v>
      </c>
      <c r="K420" s="560">
        <v>2.7400000000000091</v>
      </c>
    </row>
    <row r="421" spans="1:11" x14ac:dyDescent="0.3">
      <c r="A421" s="557">
        <v>46239</v>
      </c>
      <c r="B421" s="558" t="s">
        <v>28</v>
      </c>
      <c r="C421" s="559" t="s">
        <v>118</v>
      </c>
      <c r="D421" s="559" t="s">
        <v>119</v>
      </c>
      <c r="E421" s="558">
        <v>3.9996</v>
      </c>
      <c r="F421" s="558">
        <v>3.520000000000012</v>
      </c>
      <c r="G421" s="558">
        <v>36.960000000000015</v>
      </c>
      <c r="H421" s="558">
        <v>1.4784000000000006</v>
      </c>
      <c r="I421" s="558">
        <v>0.57000000000000384</v>
      </c>
      <c r="J421" s="558">
        <v>-12.16999999999997</v>
      </c>
      <c r="K421" s="560">
        <v>3.0600000000000183</v>
      </c>
    </row>
    <row r="422" spans="1:11" x14ac:dyDescent="0.3">
      <c r="A422" s="557">
        <v>46239</v>
      </c>
      <c r="B422" s="558" t="s">
        <v>15</v>
      </c>
      <c r="C422" s="559" t="s">
        <v>119</v>
      </c>
      <c r="D422" s="559" t="s">
        <v>122</v>
      </c>
      <c r="E422" s="558">
        <v>4.0646000000000004</v>
      </c>
      <c r="F422" s="558">
        <v>6.5000000000000391</v>
      </c>
      <c r="G422" s="558">
        <v>43.460000000000051</v>
      </c>
      <c r="H422" s="558">
        <v>1.7384000000000019</v>
      </c>
      <c r="I422" s="558">
        <v>1.0500000000000398</v>
      </c>
      <c r="J422" s="558">
        <v>-10.939999999999994</v>
      </c>
      <c r="K422" s="560">
        <v>5.06000000000002</v>
      </c>
    </row>
    <row r="423" spans="1:11" x14ac:dyDescent="0.3">
      <c r="A423" s="557">
        <v>46239</v>
      </c>
      <c r="B423" s="558" t="s">
        <v>16</v>
      </c>
      <c r="C423" s="559" t="s">
        <v>122</v>
      </c>
      <c r="D423" s="559" t="s">
        <v>126</v>
      </c>
      <c r="E423" s="558">
        <v>4.08</v>
      </c>
      <c r="F423" s="558">
        <v>1.5399999999999636</v>
      </c>
      <c r="G423" s="558">
        <v>45.000000000000014</v>
      </c>
      <c r="H423" s="558">
        <v>1.8000000000000005</v>
      </c>
      <c r="I423" s="558">
        <v>0.68999999999999062</v>
      </c>
      <c r="J423" s="558">
        <v>-11.899999999999977</v>
      </c>
      <c r="K423" s="560">
        <v>5.9000000000000163</v>
      </c>
    </row>
    <row r="424" spans="1:11" x14ac:dyDescent="0.3">
      <c r="A424" s="557">
        <v>46239</v>
      </c>
      <c r="B424" s="558" t="s">
        <v>18</v>
      </c>
      <c r="C424" s="559" t="s">
        <v>126</v>
      </c>
      <c r="D424" s="559" t="s">
        <v>145</v>
      </c>
      <c r="E424" s="558">
        <v>4.0918999999999999</v>
      </c>
      <c r="F424" s="558">
        <v>1.18999999999998</v>
      </c>
      <c r="G424" s="558">
        <v>46.19</v>
      </c>
      <c r="H424" s="558">
        <v>1.8475999999999999</v>
      </c>
      <c r="I424" s="558">
        <v>0.95999999999998309</v>
      </c>
      <c r="J424" s="558">
        <v>-10.709999999999997</v>
      </c>
      <c r="K424" s="560">
        <v>8.4900000000000198</v>
      </c>
    </row>
    <row r="425" spans="1:11" x14ac:dyDescent="0.3">
      <c r="A425" s="557">
        <v>46239</v>
      </c>
      <c r="B425" s="558" t="s">
        <v>19</v>
      </c>
      <c r="C425" s="559" t="s">
        <v>145</v>
      </c>
      <c r="D425" s="559" t="s">
        <v>150</v>
      </c>
      <c r="E425" s="558">
        <v>4.0789999999999997</v>
      </c>
      <c r="F425" s="558">
        <v>-1.2900000000000134</v>
      </c>
      <c r="G425" s="558">
        <v>44.899999999999984</v>
      </c>
      <c r="H425" s="558">
        <v>1.7959999999999994</v>
      </c>
      <c r="I425" s="558">
        <v>1.6000000000000014</v>
      </c>
      <c r="J425" s="558">
        <v>-10.099999999999998</v>
      </c>
      <c r="K425" s="560">
        <v>9.9999999999999645</v>
      </c>
    </row>
    <row r="426" spans="1:11" x14ac:dyDescent="0.3">
      <c r="A426" s="557">
        <v>46239</v>
      </c>
      <c r="B426" s="558" t="s">
        <v>10</v>
      </c>
      <c r="C426" s="559" t="s">
        <v>150</v>
      </c>
      <c r="D426" s="559" t="s">
        <v>200</v>
      </c>
      <c r="E426" s="558">
        <v>4.0566000000000004</v>
      </c>
      <c r="F426" s="558">
        <v>-2.2399999999999309</v>
      </c>
      <c r="G426" s="558">
        <v>42.660000000000053</v>
      </c>
      <c r="H426" s="558">
        <v>1.7064000000000021</v>
      </c>
      <c r="I426" s="558">
        <v>1.6600000000000392</v>
      </c>
      <c r="J426" s="558" t="s">
        <v>41</v>
      </c>
      <c r="K426" s="560" t="s">
        <v>41</v>
      </c>
    </row>
    <row r="427" spans="1:11" x14ac:dyDescent="0.3">
      <c r="A427" s="557">
        <v>46239</v>
      </c>
      <c r="B427" s="558"/>
      <c r="C427" s="559"/>
      <c r="D427" s="559"/>
      <c r="E427" s="558"/>
      <c r="F427" s="558"/>
      <c r="G427" s="558"/>
      <c r="H427" s="558"/>
      <c r="I427" s="558">
        <v>0</v>
      </c>
      <c r="J427" s="558">
        <v>0</v>
      </c>
      <c r="K427" s="560">
        <v>0</v>
      </c>
    </row>
    <row r="428" spans="1:11" x14ac:dyDescent="0.3">
      <c r="A428" s="557">
        <v>46239</v>
      </c>
      <c r="B428" s="558"/>
      <c r="C428" s="559"/>
      <c r="D428" s="559"/>
      <c r="E428" s="558"/>
      <c r="F428" s="558"/>
      <c r="G428" s="558"/>
      <c r="H428" s="558"/>
      <c r="I428" s="558">
        <v>0</v>
      </c>
      <c r="J428" s="558">
        <v>0</v>
      </c>
      <c r="K428" s="560">
        <v>0</v>
      </c>
    </row>
    <row r="429" spans="1:11" x14ac:dyDescent="0.3">
      <c r="A429" s="557">
        <v>46239</v>
      </c>
      <c r="B429" s="558"/>
      <c r="C429" s="559"/>
      <c r="D429" s="559"/>
      <c r="E429" s="558"/>
      <c r="F429" s="558"/>
      <c r="G429" s="558"/>
      <c r="H429" s="558"/>
      <c r="I429" s="558">
        <v>0</v>
      </c>
      <c r="J429" s="558">
        <v>0</v>
      </c>
      <c r="K429" s="560">
        <v>0</v>
      </c>
    </row>
    <row r="430" spans="1:11" x14ac:dyDescent="0.3">
      <c r="A430" s="557">
        <v>46240</v>
      </c>
      <c r="B430" s="558" t="s">
        <v>10</v>
      </c>
      <c r="C430" s="559" t="s">
        <v>97</v>
      </c>
      <c r="D430" s="559" t="s">
        <v>107</v>
      </c>
      <c r="E430" s="558">
        <v>3.7757999999999998</v>
      </c>
      <c r="F430" s="558">
        <v>14.579999999999993</v>
      </c>
      <c r="G430" s="558">
        <v>14.579999999999993</v>
      </c>
      <c r="H430" s="558">
        <v>0.58319999999999972</v>
      </c>
      <c r="I430" s="558">
        <v>-0.43000000000001926</v>
      </c>
      <c r="J430" s="558">
        <v>-2.2400000000000198</v>
      </c>
      <c r="K430" s="560">
        <v>-2.7300000000000324</v>
      </c>
    </row>
    <row r="431" spans="1:11" x14ac:dyDescent="0.3">
      <c r="A431" s="557">
        <v>46240</v>
      </c>
      <c r="B431" s="558" t="s">
        <v>11</v>
      </c>
      <c r="C431" s="559" t="s">
        <v>107</v>
      </c>
      <c r="D431" s="559" t="s">
        <v>111</v>
      </c>
      <c r="E431" s="558">
        <v>3.8534999999999999</v>
      </c>
      <c r="F431" s="558">
        <v>7.7700000000000102</v>
      </c>
      <c r="G431" s="558">
        <v>22.35</v>
      </c>
      <c r="H431" s="558">
        <v>0.89400000000000002</v>
      </c>
      <c r="I431" s="558">
        <v>0.13000000000000789</v>
      </c>
      <c r="J431" s="558">
        <v>-1.7100000000000115</v>
      </c>
      <c r="K431" s="560">
        <v>0.13999999999998458</v>
      </c>
    </row>
    <row r="432" spans="1:11" x14ac:dyDescent="0.3">
      <c r="A432" s="557">
        <v>46240</v>
      </c>
      <c r="B432" s="558" t="s">
        <v>13</v>
      </c>
      <c r="C432" s="559" t="s">
        <v>111</v>
      </c>
      <c r="D432" s="559" t="s">
        <v>118</v>
      </c>
      <c r="E432" s="558">
        <v>3.9738000000000002</v>
      </c>
      <c r="F432" s="558">
        <v>12.03000000000003</v>
      </c>
      <c r="G432" s="558">
        <v>34.380000000000031</v>
      </c>
      <c r="H432" s="558">
        <v>1.3752000000000013</v>
      </c>
      <c r="I432" s="558">
        <v>0.9400000000000297</v>
      </c>
      <c r="J432" s="558">
        <v>0.27000000000003688</v>
      </c>
      <c r="K432" s="560">
        <v>3.2400000000000428</v>
      </c>
    </row>
    <row r="433" spans="1:11" x14ac:dyDescent="0.3">
      <c r="A433" s="557">
        <v>46240</v>
      </c>
      <c r="B433" s="558" t="s">
        <v>28</v>
      </c>
      <c r="C433" s="559" t="s">
        <v>118</v>
      </c>
      <c r="D433" s="559" t="s">
        <v>119</v>
      </c>
      <c r="E433" s="558">
        <v>4.0186999999999999</v>
      </c>
      <c r="F433" s="558">
        <v>4.4899999999999718</v>
      </c>
      <c r="G433" s="558">
        <v>38.870000000000005</v>
      </c>
      <c r="H433" s="558">
        <v>1.5548000000000002</v>
      </c>
      <c r="I433" s="558">
        <v>1.9099999999999895</v>
      </c>
      <c r="J433" s="558">
        <v>-4.9999999999972289E-2</v>
      </c>
      <c r="K433" s="560">
        <v>4.369999999999985</v>
      </c>
    </row>
    <row r="434" spans="1:11" x14ac:dyDescent="0.3">
      <c r="A434" s="557">
        <v>46240</v>
      </c>
      <c r="B434" s="558" t="s">
        <v>15</v>
      </c>
      <c r="C434" s="559" t="s">
        <v>119</v>
      </c>
      <c r="D434" s="559" t="s">
        <v>122</v>
      </c>
      <c r="E434" s="558">
        <v>4.0835999999999997</v>
      </c>
      <c r="F434" s="558">
        <v>6.4899999999999736</v>
      </c>
      <c r="G434" s="558">
        <v>45.359999999999978</v>
      </c>
      <c r="H434" s="558">
        <v>1.8143999999999991</v>
      </c>
      <c r="I434" s="558">
        <v>1.899999999999924</v>
      </c>
      <c r="J434" s="558">
        <v>0.19999999999997797</v>
      </c>
      <c r="K434" s="560">
        <v>7.0899999999999963</v>
      </c>
    </row>
    <row r="435" spans="1:11" x14ac:dyDescent="0.3">
      <c r="A435" s="557">
        <v>46240</v>
      </c>
      <c r="B435" s="558" t="s">
        <v>16</v>
      </c>
      <c r="C435" s="559" t="s">
        <v>122</v>
      </c>
      <c r="D435" s="559" t="s">
        <v>126</v>
      </c>
      <c r="E435" s="558">
        <v>4.1050000000000004</v>
      </c>
      <c r="F435" s="558">
        <v>2.1400000000000752</v>
      </c>
      <c r="G435" s="558">
        <v>47.500000000000057</v>
      </c>
      <c r="H435" s="558">
        <v>1.9000000000000024</v>
      </c>
      <c r="I435" s="558">
        <v>2.5000000000000355</v>
      </c>
      <c r="J435" s="558">
        <v>-0.56999999999991502</v>
      </c>
      <c r="K435" s="560">
        <v>9.0000000000000746</v>
      </c>
    </row>
    <row r="436" spans="1:11" x14ac:dyDescent="0.3">
      <c r="A436" s="557">
        <v>46240</v>
      </c>
      <c r="B436" s="558" t="s">
        <v>18</v>
      </c>
      <c r="C436" s="559" t="s">
        <v>126</v>
      </c>
      <c r="D436" s="559" t="s">
        <v>145</v>
      </c>
      <c r="E436" s="558">
        <v>4.1219999999999999</v>
      </c>
      <c r="F436" s="558">
        <v>1.699999999999946</v>
      </c>
      <c r="G436" s="558">
        <v>49.2</v>
      </c>
      <c r="H436" s="558">
        <v>1.9680000000000002</v>
      </c>
      <c r="I436" s="558">
        <v>3.0100000000000016</v>
      </c>
      <c r="J436" s="558">
        <v>0.26999999999999247</v>
      </c>
      <c r="K436" s="560">
        <v>12.199999999999989</v>
      </c>
    </row>
    <row r="437" spans="1:11" x14ac:dyDescent="0.3">
      <c r="A437" s="557">
        <v>46240</v>
      </c>
      <c r="B437" s="558" t="s">
        <v>19</v>
      </c>
      <c r="C437" s="559" t="s">
        <v>145</v>
      </c>
      <c r="D437" s="559" t="s">
        <v>150</v>
      </c>
      <c r="E437" s="558">
        <v>4.1079999999999997</v>
      </c>
      <c r="F437" s="558">
        <v>-1.4000000000000234</v>
      </c>
      <c r="G437" s="558">
        <v>47.799999999999976</v>
      </c>
      <c r="H437" s="558">
        <v>1.911999999999999</v>
      </c>
      <c r="I437" s="558">
        <v>2.8999999999999915</v>
      </c>
      <c r="J437" s="558">
        <v>0.39999999999995595</v>
      </c>
      <c r="K437" s="560">
        <v>13.499999999999979</v>
      </c>
    </row>
    <row r="438" spans="1:11" x14ac:dyDescent="0.3">
      <c r="A438" s="557">
        <v>46240</v>
      </c>
      <c r="B438" s="558" t="s">
        <v>10</v>
      </c>
      <c r="C438" s="559" t="s">
        <v>150</v>
      </c>
      <c r="D438" s="559" t="s">
        <v>200</v>
      </c>
      <c r="E438" s="558">
        <v>4.0839999999999996</v>
      </c>
      <c r="F438" s="558">
        <v>-2.4000000000000021</v>
      </c>
      <c r="G438" s="558">
        <v>45.399999999999977</v>
      </c>
      <c r="H438" s="558">
        <v>1.8159999999999992</v>
      </c>
      <c r="I438" s="558">
        <v>2.7399999999999203</v>
      </c>
      <c r="J438" s="558">
        <v>0.29999999999992255</v>
      </c>
      <c r="K438" s="560" t="s">
        <v>41</v>
      </c>
    </row>
    <row r="439" spans="1:11" x14ac:dyDescent="0.3">
      <c r="A439" s="557">
        <v>46240</v>
      </c>
      <c r="B439" s="558"/>
      <c r="C439" s="559"/>
      <c r="D439" s="559"/>
      <c r="E439" s="558"/>
      <c r="F439" s="558"/>
      <c r="G439" s="558"/>
      <c r="H439" s="558"/>
      <c r="I439" s="558">
        <v>0</v>
      </c>
      <c r="J439" s="558">
        <v>0</v>
      </c>
      <c r="K439" s="560">
        <v>0</v>
      </c>
    </row>
    <row r="440" spans="1:11" x14ac:dyDescent="0.3">
      <c r="A440" s="557">
        <v>46240</v>
      </c>
      <c r="B440" s="558"/>
      <c r="C440" s="559"/>
      <c r="D440" s="559"/>
      <c r="E440" s="558"/>
      <c r="F440" s="558"/>
      <c r="G440" s="558"/>
      <c r="H440" s="558"/>
      <c r="I440" s="558">
        <v>0</v>
      </c>
      <c r="J440" s="558">
        <v>0</v>
      </c>
      <c r="K440" s="560">
        <v>0</v>
      </c>
    </row>
    <row r="441" spans="1:11" x14ac:dyDescent="0.3">
      <c r="A441" s="557">
        <v>46240</v>
      </c>
      <c r="B441" s="558"/>
      <c r="C441" s="559"/>
      <c r="D441" s="559"/>
      <c r="E441" s="558"/>
      <c r="F441" s="558"/>
      <c r="G441" s="558"/>
      <c r="H441" s="558"/>
      <c r="I441" s="558">
        <v>0</v>
      </c>
      <c r="J441" s="558">
        <v>0</v>
      </c>
      <c r="K441" s="560">
        <v>0</v>
      </c>
    </row>
    <row r="442" spans="1:11" x14ac:dyDescent="0.3">
      <c r="A442" s="13">
        <v>46241</v>
      </c>
      <c r="B442" s="14" t="s">
        <v>10</v>
      </c>
      <c r="C442" s="123" t="s">
        <v>97</v>
      </c>
      <c r="D442" s="123" t="s">
        <v>107</v>
      </c>
      <c r="E442" s="14">
        <v>3.7431999999999999</v>
      </c>
      <c r="F442" s="14">
        <v>11.319999999999997</v>
      </c>
      <c r="G442" s="14">
        <v>11.319999999999997</v>
      </c>
      <c r="H442" s="14">
        <v>0.45279999999999987</v>
      </c>
      <c r="I442" s="14">
        <v>-3.2599999999999962</v>
      </c>
      <c r="J442" s="14">
        <v>-5.8200000000000252</v>
      </c>
      <c r="K442" s="15">
        <v>-6.7400000000000126</v>
      </c>
    </row>
    <row r="443" spans="1:11" x14ac:dyDescent="0.3">
      <c r="A443" s="13">
        <v>46241</v>
      </c>
      <c r="B443" s="14" t="s">
        <v>11</v>
      </c>
      <c r="C443" s="123" t="s">
        <v>107</v>
      </c>
      <c r="D443" s="123" t="s">
        <v>111</v>
      </c>
      <c r="E443" s="14">
        <v>3.8088000000000002</v>
      </c>
      <c r="F443" s="14">
        <v>6.5600000000000325</v>
      </c>
      <c r="G443" s="14">
        <v>17.880000000000031</v>
      </c>
      <c r="H443" s="14">
        <v>0.71520000000000128</v>
      </c>
      <c r="I443" s="14">
        <v>-4.469999999999974</v>
      </c>
      <c r="J443" s="14">
        <v>-7.3599999999999888</v>
      </c>
      <c r="K443" s="15">
        <v>-5.1599999999999646</v>
      </c>
    </row>
    <row r="444" spans="1:11" x14ac:dyDescent="0.3">
      <c r="A444" s="13">
        <v>46241</v>
      </c>
      <c r="B444" s="14" t="s">
        <v>13</v>
      </c>
      <c r="C444" s="123" t="s">
        <v>111</v>
      </c>
      <c r="D444" s="123" t="s">
        <v>118</v>
      </c>
      <c r="E444" s="14">
        <v>3.9232</v>
      </c>
      <c r="F444" s="14">
        <v>11.439999999999984</v>
      </c>
      <c r="G444" s="14">
        <v>29.320000000000014</v>
      </c>
      <c r="H444" s="14">
        <v>1.1728000000000005</v>
      </c>
      <c r="I444" s="14">
        <v>-5.06000000000002</v>
      </c>
      <c r="J444" s="14">
        <v>-7.649999999999979</v>
      </c>
      <c r="K444" s="15">
        <v>-2.3800000000000043</v>
      </c>
    </row>
    <row r="445" spans="1:11" x14ac:dyDescent="0.3">
      <c r="A445" s="13">
        <v>46241</v>
      </c>
      <c r="B445" s="14" t="s">
        <v>28</v>
      </c>
      <c r="C445" s="123" t="s">
        <v>118</v>
      </c>
      <c r="D445" s="123" t="s">
        <v>119</v>
      </c>
      <c r="E445" s="14">
        <v>3.9649999999999999</v>
      </c>
      <c r="F445" s="14">
        <v>4.1799999999999837</v>
      </c>
      <c r="G445" s="14">
        <v>33.5</v>
      </c>
      <c r="H445" s="14">
        <v>1.34</v>
      </c>
      <c r="I445" s="14">
        <v>-5.3700000000000081</v>
      </c>
      <c r="J445" s="14">
        <v>-9.4000000000000306</v>
      </c>
      <c r="K445" s="15">
        <v>-1.4000000000000234</v>
      </c>
    </row>
    <row r="446" spans="1:11" x14ac:dyDescent="0.3">
      <c r="A446" s="13">
        <v>46241</v>
      </c>
      <c r="B446" s="14" t="s">
        <v>15</v>
      </c>
      <c r="C446" s="123" t="s">
        <v>119</v>
      </c>
      <c r="D446" s="123" t="s">
        <v>122</v>
      </c>
      <c r="E446" s="14">
        <v>4.0273000000000003</v>
      </c>
      <c r="F446" s="14">
        <v>6.2300000000000466</v>
      </c>
      <c r="G446" s="14">
        <v>39.730000000000047</v>
      </c>
      <c r="H446" s="14">
        <v>1.5892000000000019</v>
      </c>
      <c r="I446" s="14">
        <v>-5.6299999999999351</v>
      </c>
      <c r="J446" s="14">
        <v>-10.729999999999951</v>
      </c>
      <c r="K446" s="15">
        <v>0.92000000000007631</v>
      </c>
    </row>
    <row r="447" spans="1:11" x14ac:dyDescent="0.3">
      <c r="A447" s="13">
        <v>46241</v>
      </c>
      <c r="B447" s="14" t="s">
        <v>16</v>
      </c>
      <c r="C447" s="123" t="s">
        <v>122</v>
      </c>
      <c r="D447" s="123" t="s">
        <v>126</v>
      </c>
      <c r="E447" s="14">
        <v>4.0483000000000002</v>
      </c>
      <c r="F447" s="14">
        <v>2.0999999999999908</v>
      </c>
      <c r="G447" s="14">
        <v>41.830000000000034</v>
      </c>
      <c r="H447" s="14">
        <v>1.6732000000000014</v>
      </c>
      <c r="I447" s="14">
        <v>-5.6700000000000195</v>
      </c>
      <c r="J447" s="14">
        <v>-12.319999999999975</v>
      </c>
      <c r="K447" s="15">
        <v>2.6500000000000412</v>
      </c>
    </row>
    <row r="448" spans="1:11" x14ac:dyDescent="0.3">
      <c r="A448" s="13">
        <v>46241</v>
      </c>
      <c r="B448" s="14" t="s">
        <v>18</v>
      </c>
      <c r="C448" s="123" t="s">
        <v>126</v>
      </c>
      <c r="D448" s="123" t="s">
        <v>145</v>
      </c>
      <c r="E448" s="14">
        <v>4.0670000000000002</v>
      </c>
      <c r="F448" s="14">
        <v>1.8699999999999939</v>
      </c>
      <c r="G448" s="14">
        <v>43.700000000000031</v>
      </c>
      <c r="H448" s="14">
        <v>1.7480000000000013</v>
      </c>
      <c r="I448" s="14">
        <v>-5.4999999999999716</v>
      </c>
      <c r="J448" s="14">
        <v>-10.999999999999943</v>
      </c>
      <c r="K448" s="15">
        <v>6.0299999999999798</v>
      </c>
    </row>
    <row r="449" spans="1:11" x14ac:dyDescent="0.3">
      <c r="A449" s="13">
        <v>46241</v>
      </c>
      <c r="B449" s="14" t="s">
        <v>19</v>
      </c>
      <c r="C449" s="123" t="s">
        <v>145</v>
      </c>
      <c r="D449" s="123" t="s">
        <v>150</v>
      </c>
      <c r="E449" s="14">
        <v>4.0566000000000004</v>
      </c>
      <c r="F449" s="14">
        <v>-1.0399999999999743</v>
      </c>
      <c r="G449" s="14">
        <v>42.660000000000053</v>
      </c>
      <c r="H449" s="14">
        <v>1.7064000000000021</v>
      </c>
      <c r="I449" s="14">
        <v>-5.1399999999999224</v>
      </c>
      <c r="J449" s="14">
        <v>-10.659999999999936</v>
      </c>
      <c r="K449" s="15">
        <v>8.3600000000000563</v>
      </c>
    </row>
    <row r="450" spans="1:11" x14ac:dyDescent="0.3">
      <c r="A450" s="13">
        <v>46241</v>
      </c>
      <c r="B450" s="14" t="s">
        <v>10</v>
      </c>
      <c r="C450" s="123" t="s">
        <v>150</v>
      </c>
      <c r="D450" s="123" t="s">
        <v>200</v>
      </c>
      <c r="E450" s="14">
        <v>4.04</v>
      </c>
      <c r="F450" s="14">
        <v>-1.6600000000000392</v>
      </c>
      <c r="G450" s="14">
        <v>41.000000000000014</v>
      </c>
      <c r="H450" s="14">
        <v>1.6400000000000006</v>
      </c>
      <c r="I450" s="14">
        <v>-4.3999999999999595</v>
      </c>
      <c r="J450" s="14">
        <v>-10.229999999999961</v>
      </c>
      <c r="K450" s="15" t="s">
        <v>41</v>
      </c>
    </row>
    <row r="451" spans="1:11" x14ac:dyDescent="0.3">
      <c r="A451" s="13">
        <v>46241</v>
      </c>
      <c r="B451" s="14"/>
      <c r="C451" s="123"/>
      <c r="D451" s="123"/>
      <c r="E451" s="14"/>
      <c r="F451" s="14"/>
      <c r="G451" s="14"/>
      <c r="H451" s="14"/>
      <c r="I451" s="14">
        <v>0</v>
      </c>
      <c r="J451" s="14">
        <v>0</v>
      </c>
      <c r="K451" s="15">
        <v>0</v>
      </c>
    </row>
    <row r="452" spans="1:11" x14ac:dyDescent="0.3">
      <c r="A452" s="13">
        <v>46241</v>
      </c>
      <c r="B452" s="14"/>
      <c r="C452" s="123"/>
      <c r="D452" s="123"/>
      <c r="E452" s="14"/>
      <c r="F452" s="14"/>
      <c r="G452" s="14"/>
      <c r="H452" s="14"/>
      <c r="I452" s="14">
        <v>0</v>
      </c>
      <c r="J452" s="14">
        <v>0</v>
      </c>
      <c r="K452" s="15">
        <v>0</v>
      </c>
    </row>
    <row r="453" spans="1:11" x14ac:dyDescent="0.3">
      <c r="A453" s="13">
        <v>46241</v>
      </c>
      <c r="B453" s="14"/>
      <c r="C453" s="123"/>
      <c r="D453" s="123"/>
      <c r="E453" s="14"/>
      <c r="F453" s="14"/>
      <c r="G453" s="14"/>
      <c r="H453" s="14"/>
      <c r="I453" s="14">
        <v>0</v>
      </c>
      <c r="J453" s="14">
        <v>0</v>
      </c>
      <c r="K453" s="15">
        <v>0</v>
      </c>
    </row>
    <row r="454" spans="1:11" x14ac:dyDescent="0.3">
      <c r="A454" s="13">
        <v>46244</v>
      </c>
      <c r="B454" s="14" t="s">
        <v>10</v>
      </c>
      <c r="C454" s="123" t="s">
        <v>97</v>
      </c>
      <c r="D454" s="123" t="s">
        <v>107</v>
      </c>
      <c r="E454" s="14">
        <v>3.7538999999999998</v>
      </c>
      <c r="F454" s="14">
        <v>12.38999999999999</v>
      </c>
      <c r="G454" s="14">
        <v>12.38999999999999</v>
      </c>
      <c r="H454" s="14">
        <v>0.4955999999999996</v>
      </c>
      <c r="I454" s="14">
        <v>1.0699999999999932</v>
      </c>
      <c r="J454" s="14">
        <v>-4.610000000000003</v>
      </c>
      <c r="K454" s="15">
        <v>-5.740000000000034</v>
      </c>
    </row>
    <row r="455" spans="1:11" x14ac:dyDescent="0.3">
      <c r="A455" s="13">
        <v>46244</v>
      </c>
      <c r="B455" s="14" t="s">
        <v>11</v>
      </c>
      <c r="C455" s="123" t="s">
        <v>107</v>
      </c>
      <c r="D455" s="123" t="s">
        <v>111</v>
      </c>
      <c r="E455" s="14">
        <v>3.8212999999999999</v>
      </c>
      <c r="F455" s="14">
        <v>6.7400000000000126</v>
      </c>
      <c r="G455" s="14">
        <v>19.130000000000003</v>
      </c>
      <c r="H455" s="14">
        <v>0.7652000000000001</v>
      </c>
      <c r="I455" s="14">
        <v>1.2499999999999734</v>
      </c>
      <c r="J455" s="14">
        <v>-5.500000000000016</v>
      </c>
      <c r="K455" s="15">
        <v>-4.5399999999999885</v>
      </c>
    </row>
    <row r="456" spans="1:11" x14ac:dyDescent="0.3">
      <c r="A456" s="13">
        <v>46244</v>
      </c>
      <c r="B456" s="14" t="s">
        <v>13</v>
      </c>
      <c r="C456" s="123" t="s">
        <v>111</v>
      </c>
      <c r="D456" s="123" t="s">
        <v>118</v>
      </c>
      <c r="E456" s="14">
        <v>3.9388000000000001</v>
      </c>
      <c r="F456" s="14">
        <v>11.750000000000016</v>
      </c>
      <c r="G456" s="14">
        <v>30.880000000000017</v>
      </c>
      <c r="H456" s="14">
        <v>1.2352000000000007</v>
      </c>
      <c r="I456" s="14">
        <v>1.5600000000000058</v>
      </c>
      <c r="J456" s="14">
        <v>-5.1099999999999923</v>
      </c>
      <c r="K456" s="15">
        <v>-2.1199999999999886</v>
      </c>
    </row>
    <row r="457" spans="1:11" x14ac:dyDescent="0.3">
      <c r="A457" s="13">
        <v>46244</v>
      </c>
      <c r="B457" s="14" t="s">
        <v>28</v>
      </c>
      <c r="C457" s="123" t="s">
        <v>118</v>
      </c>
      <c r="D457" s="123" t="s">
        <v>119</v>
      </c>
      <c r="E457" s="14">
        <v>3.984</v>
      </c>
      <c r="F457" s="14">
        <v>4.5199999999999907</v>
      </c>
      <c r="G457" s="14">
        <v>35.400000000000006</v>
      </c>
      <c r="H457" s="14">
        <v>1.4160000000000001</v>
      </c>
      <c r="I457" s="14">
        <v>1.9000000000000128</v>
      </c>
      <c r="J457" s="14">
        <v>-5.1899999999999835</v>
      </c>
      <c r="K457" s="15">
        <v>-1.7000000000000348</v>
      </c>
    </row>
    <row r="458" spans="1:11" x14ac:dyDescent="0.3">
      <c r="A458" s="13">
        <v>46244</v>
      </c>
      <c r="B458" s="14" t="s">
        <v>15</v>
      </c>
      <c r="C458" s="123" t="s">
        <v>119</v>
      </c>
      <c r="D458" s="123" t="s">
        <v>122</v>
      </c>
      <c r="E458" s="14">
        <v>4.05</v>
      </c>
      <c r="F458" s="14">
        <v>6.5999999999999837</v>
      </c>
      <c r="G458" s="14">
        <v>41.999999999999993</v>
      </c>
      <c r="H458" s="14">
        <v>1.6799999999999997</v>
      </c>
      <c r="I458" s="14">
        <v>2.2699999999999498</v>
      </c>
      <c r="J458" s="14">
        <v>-5.5299999999999905</v>
      </c>
      <c r="K458" s="15">
        <v>-0.1000000000000334</v>
      </c>
    </row>
    <row r="459" spans="1:11" x14ac:dyDescent="0.3">
      <c r="A459" s="13">
        <v>46244</v>
      </c>
      <c r="B459" s="14" t="s">
        <v>16</v>
      </c>
      <c r="C459" s="123" t="s">
        <v>122</v>
      </c>
      <c r="D459" s="123" t="s">
        <v>126</v>
      </c>
      <c r="E459" s="14">
        <v>4.0720000000000001</v>
      </c>
      <c r="F459" s="14">
        <v>2.2000000000000242</v>
      </c>
      <c r="G459" s="14">
        <v>44.200000000000017</v>
      </c>
      <c r="H459" s="14">
        <v>1.7680000000000007</v>
      </c>
      <c r="I459" s="14">
        <v>2.3699999999999832</v>
      </c>
      <c r="J459" s="14">
        <v>-5.9800000000000075</v>
      </c>
      <c r="K459" s="15">
        <v>0.60000000000002274</v>
      </c>
    </row>
    <row r="460" spans="1:11" x14ac:dyDescent="0.3">
      <c r="A460" s="13">
        <v>46244</v>
      </c>
      <c r="B460" s="14" t="s">
        <v>18</v>
      </c>
      <c r="C460" s="123" t="s">
        <v>126</v>
      </c>
      <c r="D460" s="123" t="s">
        <v>145</v>
      </c>
      <c r="E460" s="14">
        <v>4.0945999999999998</v>
      </c>
      <c r="F460" s="14">
        <v>2.2599999999999731</v>
      </c>
      <c r="G460" s="14">
        <v>46.459999999999994</v>
      </c>
      <c r="H460" s="14">
        <v>1.8583999999999998</v>
      </c>
      <c r="I460" s="14">
        <v>2.7599999999999625</v>
      </c>
      <c r="J460" s="14">
        <v>-4.9599999999999866</v>
      </c>
      <c r="K460" s="15">
        <v>3.2599999999999518</v>
      </c>
    </row>
    <row r="461" spans="1:11" x14ac:dyDescent="0.3">
      <c r="A461" s="13">
        <v>46244</v>
      </c>
      <c r="B461" s="14" t="s">
        <v>19</v>
      </c>
      <c r="C461" s="123" t="s">
        <v>145</v>
      </c>
      <c r="D461" s="123" t="s">
        <v>150</v>
      </c>
      <c r="E461" s="14">
        <v>4.0922000000000001</v>
      </c>
      <c r="F461" s="14">
        <v>-0.23999999999997357</v>
      </c>
      <c r="G461" s="14">
        <v>46.220000000000013</v>
      </c>
      <c r="H461" s="14">
        <v>1.8488000000000004</v>
      </c>
      <c r="I461" s="14">
        <v>3.5599999999999632</v>
      </c>
      <c r="J461" s="14">
        <v>-3.8800000000000168</v>
      </c>
      <c r="K461" s="15">
        <v>5.2200000000000024</v>
      </c>
    </row>
    <row r="462" spans="1:11" x14ac:dyDescent="0.3">
      <c r="A462" s="13">
        <v>46244</v>
      </c>
      <c r="B462" s="14" t="s">
        <v>10</v>
      </c>
      <c r="C462" s="123" t="s">
        <v>150</v>
      </c>
      <c r="D462" s="123" t="s">
        <v>200</v>
      </c>
      <c r="E462" s="14">
        <v>4.0780000000000003</v>
      </c>
      <c r="F462" s="14">
        <v>-1.4199999999999768</v>
      </c>
      <c r="G462" s="14">
        <v>44.80000000000004</v>
      </c>
      <c r="H462" s="14">
        <v>1.7920000000000016</v>
      </c>
      <c r="I462" s="14">
        <v>3.8000000000000256</v>
      </c>
      <c r="J462" s="14">
        <v>-2.8099999999999348</v>
      </c>
      <c r="K462" s="15" t="s">
        <v>41</v>
      </c>
    </row>
    <row r="463" spans="1:11" x14ac:dyDescent="0.3">
      <c r="A463" s="13">
        <v>46244</v>
      </c>
      <c r="B463" s="14"/>
      <c r="C463" s="123"/>
      <c r="D463" s="123"/>
      <c r="E463" s="14"/>
      <c r="F463" s="14"/>
      <c r="G463" s="14"/>
      <c r="H463" s="14"/>
      <c r="I463" s="14">
        <v>0</v>
      </c>
      <c r="J463" s="14">
        <v>0</v>
      </c>
      <c r="K463" s="15">
        <v>0</v>
      </c>
    </row>
    <row r="464" spans="1:11" x14ac:dyDescent="0.3">
      <c r="A464" s="13">
        <v>46244</v>
      </c>
      <c r="B464" s="14"/>
      <c r="C464" s="123"/>
      <c r="D464" s="123"/>
      <c r="E464" s="14"/>
      <c r="F464" s="14"/>
      <c r="G464" s="14"/>
      <c r="H464" s="14"/>
      <c r="I464" s="14">
        <v>0</v>
      </c>
      <c r="J464" s="14">
        <v>0</v>
      </c>
      <c r="K464" s="15">
        <v>0</v>
      </c>
    </row>
    <row r="465" spans="1:11" x14ac:dyDescent="0.3">
      <c r="A465" s="13">
        <v>46244</v>
      </c>
      <c r="B465" s="14"/>
      <c r="C465" s="123"/>
      <c r="D465" s="123"/>
      <c r="E465" s="14"/>
      <c r="F465" s="14"/>
      <c r="G465" s="14"/>
      <c r="H465" s="14"/>
      <c r="I465" s="14">
        <v>0</v>
      </c>
      <c r="J465" s="14">
        <v>0</v>
      </c>
      <c r="K465" s="15">
        <v>0</v>
      </c>
    </row>
    <row r="466" spans="1:11" x14ac:dyDescent="0.3">
      <c r="A466" s="13">
        <v>46245</v>
      </c>
      <c r="B466" s="14" t="s">
        <v>10</v>
      </c>
      <c r="C466" s="123" t="s">
        <v>97</v>
      </c>
      <c r="D466" s="123" t="s">
        <v>107</v>
      </c>
      <c r="E466" s="14">
        <v>3.7612999999999999</v>
      </c>
      <c r="F466" s="14">
        <v>13.129999999999997</v>
      </c>
      <c r="G466" s="14">
        <v>13.129999999999997</v>
      </c>
      <c r="H466" s="14">
        <v>0.52519999999999989</v>
      </c>
      <c r="I466" s="14">
        <v>0.74000000000000732</v>
      </c>
      <c r="J466" s="14">
        <v>-2.1000000000000352</v>
      </c>
      <c r="K466" s="15">
        <v>-9.1099999999999959</v>
      </c>
    </row>
    <row r="467" spans="1:11" x14ac:dyDescent="0.3">
      <c r="A467" s="13">
        <v>46245</v>
      </c>
      <c r="B467" s="14" t="s">
        <v>11</v>
      </c>
      <c r="C467" s="123" t="s">
        <v>107</v>
      </c>
      <c r="D467" s="123" t="s">
        <v>111</v>
      </c>
      <c r="E467" s="14">
        <v>3.8302</v>
      </c>
      <c r="F467" s="14">
        <v>6.8900000000000183</v>
      </c>
      <c r="G467" s="14">
        <v>20.020000000000017</v>
      </c>
      <c r="H467" s="14">
        <v>0.80080000000000073</v>
      </c>
      <c r="I467" s="14">
        <v>0.890000000000013</v>
      </c>
      <c r="J467" s="14">
        <v>-2.1900000000000031</v>
      </c>
      <c r="K467" s="15">
        <v>-8.2399999999999807</v>
      </c>
    </row>
    <row r="468" spans="1:11" x14ac:dyDescent="0.3">
      <c r="A468" s="13">
        <v>46245</v>
      </c>
      <c r="B468" s="14" t="s">
        <v>13</v>
      </c>
      <c r="C468" s="123" t="s">
        <v>111</v>
      </c>
      <c r="D468" s="123" t="s">
        <v>118</v>
      </c>
      <c r="E468" s="14">
        <v>3.9363000000000001</v>
      </c>
      <c r="F468" s="14">
        <v>10.610000000000008</v>
      </c>
      <c r="G468" s="14">
        <v>30.630000000000024</v>
      </c>
      <c r="H468" s="14">
        <v>1.225200000000001</v>
      </c>
      <c r="I468" s="14">
        <v>-0.24999999999999467</v>
      </c>
      <c r="J468" s="14">
        <v>-2.2699999999999942</v>
      </c>
      <c r="K468" s="15">
        <v>-7.4600000000000222</v>
      </c>
    </row>
    <row r="469" spans="1:11" x14ac:dyDescent="0.3">
      <c r="A469" s="13">
        <v>46245</v>
      </c>
      <c r="B469" s="14" t="s">
        <v>28</v>
      </c>
      <c r="C469" s="123" t="s">
        <v>118</v>
      </c>
      <c r="D469" s="123" t="s">
        <v>119</v>
      </c>
      <c r="E469" s="14">
        <v>3.9834000000000001</v>
      </c>
      <c r="F469" s="14">
        <v>4.709999999999992</v>
      </c>
      <c r="G469" s="14">
        <v>35.340000000000018</v>
      </c>
      <c r="H469" s="14">
        <v>1.4136000000000006</v>
      </c>
      <c r="I469" s="14">
        <v>-5.9999999999993392E-2</v>
      </c>
      <c r="J469" s="14">
        <v>-1.0499999999999954</v>
      </c>
      <c r="K469" s="15">
        <v>-6.5700000000000092</v>
      </c>
    </row>
    <row r="470" spans="1:11" x14ac:dyDescent="0.3">
      <c r="A470" s="13">
        <v>46245</v>
      </c>
      <c r="B470" s="14" t="s">
        <v>15</v>
      </c>
      <c r="C470" s="123" t="s">
        <v>119</v>
      </c>
      <c r="D470" s="123" t="s">
        <v>122</v>
      </c>
      <c r="E470" s="14">
        <v>4.0439999999999996</v>
      </c>
      <c r="F470" s="14">
        <v>6.0599999999999543</v>
      </c>
      <c r="G470" s="14">
        <v>41.39999999999997</v>
      </c>
      <c r="H470" s="14">
        <v>1.6559999999999988</v>
      </c>
      <c r="I470" s="14">
        <v>-0.60000000000002274</v>
      </c>
      <c r="J470" s="14">
        <v>-1.0100000000000442</v>
      </c>
      <c r="K470" s="15">
        <v>-5.3300000000000125</v>
      </c>
    </row>
    <row r="471" spans="1:11" x14ac:dyDescent="0.3">
      <c r="A471" s="13">
        <v>46245</v>
      </c>
      <c r="B471" s="14" t="s">
        <v>16</v>
      </c>
      <c r="C471" s="123" t="s">
        <v>122</v>
      </c>
      <c r="D471" s="123" t="s">
        <v>126</v>
      </c>
      <c r="E471" s="14">
        <v>4.0674999999999999</v>
      </c>
      <c r="F471" s="14">
        <v>2.3500000000000298</v>
      </c>
      <c r="G471" s="14">
        <v>43.75</v>
      </c>
      <c r="H471" s="14">
        <v>1.75</v>
      </c>
      <c r="I471" s="14">
        <v>-0.45000000000001705</v>
      </c>
      <c r="J471" s="14">
        <v>-0.56000000000002714</v>
      </c>
      <c r="K471" s="15">
        <v>-4.2500000000000426</v>
      </c>
    </row>
    <row r="472" spans="1:11" x14ac:dyDescent="0.3">
      <c r="A472" s="13">
        <v>46245</v>
      </c>
      <c r="B472" s="14" t="s">
        <v>18</v>
      </c>
      <c r="C472" s="123" t="s">
        <v>126</v>
      </c>
      <c r="D472" s="123" t="s">
        <v>145</v>
      </c>
      <c r="E472" s="14">
        <v>4.0902000000000003</v>
      </c>
      <c r="F472" s="14">
        <v>2.2700000000000387</v>
      </c>
      <c r="G472" s="14">
        <v>46.020000000000039</v>
      </c>
      <c r="H472" s="14">
        <v>1.8408000000000015</v>
      </c>
      <c r="I472" s="14">
        <v>-0.43999999999995154</v>
      </c>
      <c r="J472" s="14">
        <v>0.79000000000002402</v>
      </c>
      <c r="K472" s="15">
        <v>-1.0799999999999699</v>
      </c>
    </row>
    <row r="473" spans="1:11" x14ac:dyDescent="0.3">
      <c r="A473" s="13">
        <v>46245</v>
      </c>
      <c r="B473" s="14" t="s">
        <v>19</v>
      </c>
      <c r="C473" s="123" t="s">
        <v>145</v>
      </c>
      <c r="D473" s="123" t="s">
        <v>150</v>
      </c>
      <c r="E473" s="14">
        <v>4.0833000000000004</v>
      </c>
      <c r="F473" s="14">
        <v>-0.68999999999999062</v>
      </c>
      <c r="G473" s="14">
        <v>45.330000000000048</v>
      </c>
      <c r="H473" s="14">
        <v>1.8132000000000019</v>
      </c>
      <c r="I473" s="14">
        <v>-0.88999999999996859</v>
      </c>
      <c r="J473" s="14">
        <v>2.0300000000000651</v>
      </c>
      <c r="K473" s="15">
        <v>0.92000000000007631</v>
      </c>
    </row>
    <row r="474" spans="1:11" x14ac:dyDescent="0.3">
      <c r="A474" s="13">
        <v>46245</v>
      </c>
      <c r="B474" s="14" t="s">
        <v>10</v>
      </c>
      <c r="C474" s="123" t="s">
        <v>150</v>
      </c>
      <c r="D474" s="123" t="s">
        <v>200</v>
      </c>
      <c r="E474" s="14">
        <v>4.0716999999999999</v>
      </c>
      <c r="F474" s="14">
        <v>-1.1600000000000499</v>
      </c>
      <c r="G474" s="14">
        <v>44.17</v>
      </c>
      <c r="H474" s="14">
        <v>1.7668000000000001</v>
      </c>
      <c r="I474" s="14">
        <v>-0.63000000000004164</v>
      </c>
      <c r="J474" s="14">
        <v>3.1699999999999839</v>
      </c>
      <c r="K474" s="15" t="s">
        <v>41</v>
      </c>
    </row>
    <row r="475" spans="1:11" x14ac:dyDescent="0.3">
      <c r="A475" s="13">
        <v>46245</v>
      </c>
      <c r="B475" s="14"/>
      <c r="C475" s="123"/>
      <c r="D475" s="123"/>
      <c r="E475" s="14"/>
      <c r="F475" s="14"/>
      <c r="G475" s="14"/>
      <c r="H475" s="14"/>
      <c r="I475" s="14">
        <v>0</v>
      </c>
      <c r="J475" s="14">
        <v>0</v>
      </c>
      <c r="K475" s="15">
        <v>0</v>
      </c>
    </row>
    <row r="476" spans="1:11" x14ac:dyDescent="0.3">
      <c r="A476" s="13">
        <v>46245</v>
      </c>
      <c r="B476" s="14"/>
      <c r="C476" s="123"/>
      <c r="D476" s="123"/>
      <c r="E476" s="14"/>
      <c r="F476" s="14"/>
      <c r="G476" s="14"/>
      <c r="H476" s="14"/>
      <c r="I476" s="14">
        <v>0</v>
      </c>
      <c r="J476" s="14">
        <v>0</v>
      </c>
      <c r="K476" s="15">
        <v>0</v>
      </c>
    </row>
    <row r="477" spans="1:11" x14ac:dyDescent="0.3">
      <c r="A477" s="13">
        <v>46245</v>
      </c>
      <c r="B477" s="14"/>
      <c r="C477" s="123"/>
      <c r="D477" s="123"/>
      <c r="E477" s="14"/>
      <c r="F477" s="14"/>
      <c r="G477" s="14"/>
      <c r="H477" s="14"/>
      <c r="I477" s="14">
        <v>0</v>
      </c>
      <c r="J477" s="14">
        <v>0</v>
      </c>
      <c r="K477" s="15">
        <v>0</v>
      </c>
    </row>
    <row r="478" spans="1:11" x14ac:dyDescent="0.3">
      <c r="A478" s="13">
        <v>46246</v>
      </c>
      <c r="B478" s="14" t="s">
        <v>10</v>
      </c>
      <c r="C478" s="123" t="s">
        <v>97</v>
      </c>
      <c r="D478" s="123" t="s">
        <v>107</v>
      </c>
      <c r="E478" s="14">
        <v>3.7343000000000002</v>
      </c>
      <c r="F478" s="14">
        <v>10.430000000000028</v>
      </c>
      <c r="G478" s="14">
        <v>10.430000000000028</v>
      </c>
      <c r="H478" s="14">
        <v>0.41720000000000113</v>
      </c>
      <c r="I478" s="14">
        <v>-2.6999999999999691</v>
      </c>
      <c r="J478" s="14">
        <v>-4.5799999999999841</v>
      </c>
      <c r="K478" s="15">
        <v>-7.6999999999999957</v>
      </c>
    </row>
    <row r="479" spans="1:11" x14ac:dyDescent="0.3">
      <c r="A479" s="13">
        <v>46246</v>
      </c>
      <c r="B479" s="14" t="s">
        <v>11</v>
      </c>
      <c r="C479" s="123" t="s">
        <v>107</v>
      </c>
      <c r="D479" s="123" t="s">
        <v>111</v>
      </c>
      <c r="E479" s="14">
        <v>3.7951000000000001</v>
      </c>
      <c r="F479" s="14">
        <v>6.0799999999999965</v>
      </c>
      <c r="G479" s="14">
        <v>16.510000000000026</v>
      </c>
      <c r="H479" s="14">
        <v>0.6604000000000011</v>
      </c>
      <c r="I479" s="14">
        <v>-3.5099999999999909</v>
      </c>
      <c r="J479" s="14">
        <v>-5.7099999999999707</v>
      </c>
      <c r="K479" s="15">
        <v>-7.1599999999999664</v>
      </c>
    </row>
    <row r="480" spans="1:11" x14ac:dyDescent="0.3">
      <c r="A480" s="13">
        <v>46246</v>
      </c>
      <c r="B480" s="14" t="s">
        <v>13</v>
      </c>
      <c r="C480" s="123" t="s">
        <v>111</v>
      </c>
      <c r="D480" s="123" t="s">
        <v>118</v>
      </c>
      <c r="E480" s="14">
        <v>3.8967999999999998</v>
      </c>
      <c r="F480" s="14">
        <v>10.169999999999968</v>
      </c>
      <c r="G480" s="14">
        <v>26.679999999999993</v>
      </c>
      <c r="H480" s="14">
        <v>1.0671999999999997</v>
      </c>
      <c r="I480" s="14">
        <v>-3.9500000000000313</v>
      </c>
      <c r="J480" s="14">
        <v>-6.7600000000000104</v>
      </c>
      <c r="K480" s="15">
        <v>-6.3200000000000145</v>
      </c>
    </row>
    <row r="481" spans="1:11" x14ac:dyDescent="0.3">
      <c r="A481" s="13">
        <v>46246</v>
      </c>
      <c r="B481" s="14" t="s">
        <v>28</v>
      </c>
      <c r="C481" s="123" t="s">
        <v>118</v>
      </c>
      <c r="D481" s="123" t="s">
        <v>119</v>
      </c>
      <c r="E481" s="14">
        <v>3.9422000000000001</v>
      </c>
      <c r="F481" s="14">
        <v>4.5400000000000329</v>
      </c>
      <c r="G481" s="14">
        <v>31.220000000000027</v>
      </c>
      <c r="H481" s="14">
        <v>1.248800000000001</v>
      </c>
      <c r="I481" s="14">
        <v>-4.1199999999999903</v>
      </c>
      <c r="J481" s="14">
        <v>-5.7399999999999896</v>
      </c>
      <c r="K481" s="15">
        <v>-5.8800000000000185</v>
      </c>
    </row>
    <row r="482" spans="1:11" x14ac:dyDescent="0.3">
      <c r="A482" s="13">
        <v>46246</v>
      </c>
      <c r="B482" s="14" t="s">
        <v>15</v>
      </c>
      <c r="C482" s="123" t="s">
        <v>119</v>
      </c>
      <c r="D482" s="123" t="s">
        <v>122</v>
      </c>
      <c r="E482" s="14">
        <v>4.0004999999999997</v>
      </c>
      <c r="F482" s="14">
        <v>5.8299999999999574</v>
      </c>
      <c r="G482" s="14">
        <v>37.049999999999983</v>
      </c>
      <c r="H482" s="14">
        <v>1.4819999999999993</v>
      </c>
      <c r="I482" s="14">
        <v>-4.3499999999999872</v>
      </c>
      <c r="J482" s="14">
        <v>-6.4100000000000712</v>
      </c>
      <c r="K482" s="15">
        <v>-5.0500000000000433</v>
      </c>
    </row>
    <row r="483" spans="1:11" x14ac:dyDescent="0.3">
      <c r="A483" s="13">
        <v>46246</v>
      </c>
      <c r="B483" s="14" t="s">
        <v>16</v>
      </c>
      <c r="C483" s="123" t="s">
        <v>122</v>
      </c>
      <c r="D483" s="123" t="s">
        <v>126</v>
      </c>
      <c r="E483" s="14">
        <v>4.0270000000000001</v>
      </c>
      <c r="F483" s="14">
        <v>2.6500000000000412</v>
      </c>
      <c r="G483" s="14">
        <v>39.700000000000024</v>
      </c>
      <c r="H483" s="14">
        <v>1.588000000000001</v>
      </c>
      <c r="I483" s="14">
        <v>-4.0499999999999758</v>
      </c>
      <c r="J483" s="14">
        <v>-5.2999999999999936</v>
      </c>
      <c r="K483" s="15">
        <v>-3.8999999999999702</v>
      </c>
    </row>
    <row r="484" spans="1:11" x14ac:dyDescent="0.3">
      <c r="A484" s="13">
        <v>46246</v>
      </c>
      <c r="B484" s="14" t="s">
        <v>18</v>
      </c>
      <c r="C484" s="123" t="s">
        <v>126</v>
      </c>
      <c r="D484" s="123" t="s">
        <v>145</v>
      </c>
      <c r="E484" s="14">
        <v>4.0495000000000001</v>
      </c>
      <c r="F484" s="14">
        <v>2.2499999999999964</v>
      </c>
      <c r="G484" s="14">
        <v>41.950000000000017</v>
      </c>
      <c r="H484" s="14">
        <v>1.6780000000000006</v>
      </c>
      <c r="I484" s="14">
        <v>-4.070000000000018</v>
      </c>
      <c r="J484" s="14">
        <v>-4.2399999999999771</v>
      </c>
      <c r="K484" s="15">
        <v>-1.2500000000000178</v>
      </c>
    </row>
    <row r="485" spans="1:11" x14ac:dyDescent="0.3">
      <c r="A485" s="13">
        <v>46246</v>
      </c>
      <c r="B485" s="14" t="s">
        <v>19</v>
      </c>
      <c r="C485" s="123" t="s">
        <v>145</v>
      </c>
      <c r="D485" s="123" t="s">
        <v>150</v>
      </c>
      <c r="E485" s="14">
        <v>4.0449999999999999</v>
      </c>
      <c r="F485" s="14">
        <v>-0.45000000000001705</v>
      </c>
      <c r="G485" s="14">
        <v>41.5</v>
      </c>
      <c r="H485" s="14">
        <v>1.66</v>
      </c>
      <c r="I485" s="14">
        <v>-3.8300000000000445</v>
      </c>
      <c r="J485" s="14">
        <v>-3.3999999999999808</v>
      </c>
      <c r="K485" s="15">
        <v>0.49999999999998934</v>
      </c>
    </row>
    <row r="486" spans="1:11" x14ac:dyDescent="0.3">
      <c r="A486" s="13">
        <v>46246</v>
      </c>
      <c r="B486" s="14" t="s">
        <v>10</v>
      </c>
      <c r="C486" s="123" t="s">
        <v>150</v>
      </c>
      <c r="D486" s="123" t="s">
        <v>200</v>
      </c>
      <c r="E486" s="14">
        <v>4.032</v>
      </c>
      <c r="F486" s="14">
        <v>-1.2999999999999901</v>
      </c>
      <c r="G486" s="14">
        <v>40.200000000000017</v>
      </c>
      <c r="H486" s="14">
        <v>1.6080000000000008</v>
      </c>
      <c r="I486" s="14">
        <v>-3.9699999999999847</v>
      </c>
      <c r="J486" s="14">
        <v>-2.4600000000000399</v>
      </c>
      <c r="K486" s="15" t="s">
        <v>41</v>
      </c>
    </row>
    <row r="487" spans="1:11" x14ac:dyDescent="0.3">
      <c r="A487" s="13">
        <v>46246</v>
      </c>
      <c r="B487" s="14"/>
      <c r="C487" s="123"/>
      <c r="D487" s="123"/>
      <c r="E487" s="14"/>
      <c r="F487" s="14"/>
      <c r="G487" s="14"/>
      <c r="H487" s="14"/>
      <c r="I487" s="14">
        <v>0</v>
      </c>
      <c r="J487" s="14">
        <v>0</v>
      </c>
      <c r="K487" s="15">
        <v>0</v>
      </c>
    </row>
    <row r="488" spans="1:11" x14ac:dyDescent="0.3">
      <c r="A488" s="13">
        <v>46246</v>
      </c>
      <c r="B488" s="14"/>
      <c r="C488" s="123"/>
      <c r="D488" s="123"/>
      <c r="E488" s="14"/>
      <c r="F488" s="14"/>
      <c r="G488" s="14"/>
      <c r="H488" s="14"/>
      <c r="I488" s="14">
        <v>0</v>
      </c>
      <c r="J488" s="14">
        <v>0</v>
      </c>
      <c r="K488" s="15">
        <v>0</v>
      </c>
    </row>
    <row r="489" spans="1:11" x14ac:dyDescent="0.3">
      <c r="A489" s="13">
        <v>46246</v>
      </c>
      <c r="B489" s="14"/>
      <c r="C489" s="123"/>
      <c r="D489" s="123"/>
      <c r="E489" s="14"/>
      <c r="F489" s="14"/>
      <c r="G489" s="14"/>
      <c r="H489" s="14"/>
      <c r="I489" s="14">
        <v>0</v>
      </c>
      <c r="J489" s="14">
        <v>0</v>
      </c>
      <c r="K489" s="15">
        <v>0</v>
      </c>
    </row>
    <row r="490" spans="1:11" x14ac:dyDescent="0.3">
      <c r="A490" s="13">
        <v>46247</v>
      </c>
      <c r="B490" s="14" t="s">
        <v>10</v>
      </c>
      <c r="C490" s="123" t="s">
        <v>97</v>
      </c>
      <c r="D490" s="123" t="s">
        <v>107</v>
      </c>
      <c r="E490" s="14">
        <v>3.7214999999999998</v>
      </c>
      <c r="F490" s="14">
        <v>9.1499999999999915</v>
      </c>
      <c r="G490" s="14">
        <v>9.1499999999999915</v>
      </c>
      <c r="H490" s="14">
        <v>0.36599999999999966</v>
      </c>
      <c r="I490" s="14">
        <v>-1.2800000000000367</v>
      </c>
      <c r="J490" s="14">
        <v>-5.4300000000000015</v>
      </c>
      <c r="K490" s="15">
        <v>-14.200000000000035</v>
      </c>
    </row>
    <row r="491" spans="1:11" x14ac:dyDescent="0.3">
      <c r="A491" s="13">
        <v>46247</v>
      </c>
      <c r="B491" s="14" t="s">
        <v>11</v>
      </c>
      <c r="C491" s="123" t="s">
        <v>107</v>
      </c>
      <c r="D491" s="123" t="s">
        <v>111</v>
      </c>
      <c r="E491" s="14">
        <v>3.7764000000000002</v>
      </c>
      <c r="F491" s="14">
        <v>5.4900000000000393</v>
      </c>
      <c r="G491" s="14">
        <v>14.640000000000031</v>
      </c>
      <c r="H491" s="14">
        <v>0.58560000000000123</v>
      </c>
      <c r="I491" s="14">
        <v>-1.8699999999999939</v>
      </c>
      <c r="J491" s="14">
        <v>-7.7099999999999724</v>
      </c>
      <c r="K491" s="15">
        <v>-15.559999999999974</v>
      </c>
    </row>
    <row r="492" spans="1:11" x14ac:dyDescent="0.3">
      <c r="A492" s="13">
        <v>46247</v>
      </c>
      <c r="B492" s="14" t="s">
        <v>13</v>
      </c>
      <c r="C492" s="123" t="s">
        <v>111</v>
      </c>
      <c r="D492" s="123" t="s">
        <v>118</v>
      </c>
      <c r="E492" s="14">
        <v>3.8668999999999998</v>
      </c>
      <c r="F492" s="14">
        <v>9.0499999999999581</v>
      </c>
      <c r="G492" s="14">
        <v>23.689999999999991</v>
      </c>
      <c r="H492" s="14">
        <v>0.94759999999999966</v>
      </c>
      <c r="I492" s="14">
        <v>-2.9900000000000038</v>
      </c>
      <c r="J492" s="14">
        <v>-10.690000000000044</v>
      </c>
      <c r="K492" s="15">
        <v>-16.590000000000018</v>
      </c>
    </row>
    <row r="493" spans="1:11" x14ac:dyDescent="0.3">
      <c r="A493" s="13">
        <v>46247</v>
      </c>
      <c r="B493" s="14" t="s">
        <v>28</v>
      </c>
      <c r="C493" s="123" t="s">
        <v>118</v>
      </c>
      <c r="D493" s="123" t="s">
        <v>119</v>
      </c>
      <c r="E493" s="14">
        <v>3.907</v>
      </c>
      <c r="F493" s="14">
        <v>4.0100000000000247</v>
      </c>
      <c r="G493" s="14">
        <v>27.700000000000014</v>
      </c>
      <c r="H493" s="14">
        <v>1.1080000000000005</v>
      </c>
      <c r="I493" s="14">
        <v>-3.520000000000012</v>
      </c>
      <c r="J493" s="14">
        <v>-11.169999999999991</v>
      </c>
      <c r="K493" s="15">
        <v>-17.180000000000017</v>
      </c>
    </row>
    <row r="494" spans="1:11" x14ac:dyDescent="0.3">
      <c r="A494" s="13">
        <v>46247</v>
      </c>
      <c r="B494" s="14" t="s">
        <v>15</v>
      </c>
      <c r="C494" s="123" t="s">
        <v>119</v>
      </c>
      <c r="D494" s="123" t="s">
        <v>122</v>
      </c>
      <c r="E494" s="14">
        <v>3.9552999999999998</v>
      </c>
      <c r="F494" s="14">
        <v>4.8299999999999788</v>
      </c>
      <c r="G494" s="14">
        <v>32.529999999999994</v>
      </c>
      <c r="H494" s="14">
        <v>1.3011999999999997</v>
      </c>
      <c r="I494" s="14">
        <v>-4.5199999999999907</v>
      </c>
      <c r="J494" s="14">
        <v>-12.829999999999986</v>
      </c>
      <c r="K494" s="15">
        <v>-17.380000000000038</v>
      </c>
    </row>
    <row r="495" spans="1:11" x14ac:dyDescent="0.3">
      <c r="A495" s="13">
        <v>46247</v>
      </c>
      <c r="B495" s="14" t="s">
        <v>16</v>
      </c>
      <c r="C495" s="123" t="s">
        <v>122</v>
      </c>
      <c r="D495" s="123" t="s">
        <v>126</v>
      </c>
      <c r="E495" s="14">
        <v>3.9693000000000001</v>
      </c>
      <c r="F495" s="14">
        <v>1.4000000000000234</v>
      </c>
      <c r="G495" s="14">
        <v>33.930000000000014</v>
      </c>
      <c r="H495" s="14">
        <v>1.3572000000000006</v>
      </c>
      <c r="I495" s="14">
        <v>-5.7700000000000085</v>
      </c>
      <c r="J495" s="14">
        <v>-13.570000000000038</v>
      </c>
      <c r="K495" s="15">
        <v>-17.270000000000032</v>
      </c>
    </row>
    <row r="496" spans="1:11" x14ac:dyDescent="0.3">
      <c r="A496" s="13">
        <v>46247</v>
      </c>
      <c r="B496" s="14" t="s">
        <v>18</v>
      </c>
      <c r="C496" s="123" t="s">
        <v>126</v>
      </c>
      <c r="D496" s="123" t="s">
        <v>145</v>
      </c>
      <c r="E496" s="14">
        <v>3.9868000000000001</v>
      </c>
      <c r="F496" s="14">
        <v>1.7500000000000071</v>
      </c>
      <c r="G496" s="14">
        <v>35.680000000000021</v>
      </c>
      <c r="H496" s="14">
        <v>1.4272000000000009</v>
      </c>
      <c r="I496" s="14">
        <v>-6.2699999999999978</v>
      </c>
      <c r="J496" s="14">
        <v>-13.519999999999976</v>
      </c>
      <c r="K496" s="15">
        <v>-14.819999999999967</v>
      </c>
    </row>
    <row r="497" spans="1:11" x14ac:dyDescent="0.3">
      <c r="A497" s="13">
        <v>46247</v>
      </c>
      <c r="B497" s="14" t="s">
        <v>19</v>
      </c>
      <c r="C497" s="123" t="s">
        <v>145</v>
      </c>
      <c r="D497" s="123" t="s">
        <v>150</v>
      </c>
      <c r="E497" s="14">
        <v>3.9788000000000001</v>
      </c>
      <c r="F497" s="14">
        <v>-0.80000000000000071</v>
      </c>
      <c r="G497" s="14">
        <v>34.880000000000024</v>
      </c>
      <c r="H497" s="14">
        <v>1.3952000000000009</v>
      </c>
      <c r="I497" s="14">
        <v>-6.6199999999999815</v>
      </c>
      <c r="J497" s="14">
        <v>-12.919999999999954</v>
      </c>
      <c r="K497" s="15">
        <v>-12.919999999999954</v>
      </c>
    </row>
    <row r="498" spans="1:11" x14ac:dyDescent="0.3">
      <c r="A498" s="13">
        <v>46247</v>
      </c>
      <c r="B498" s="14" t="s">
        <v>10</v>
      </c>
      <c r="C498" s="123" t="s">
        <v>150</v>
      </c>
      <c r="D498" s="123" t="s">
        <v>200</v>
      </c>
      <c r="E498" s="14">
        <v>3.9718</v>
      </c>
      <c r="F498" s="14">
        <v>-0.70000000000001172</v>
      </c>
      <c r="G498" s="14">
        <v>34.180000000000007</v>
      </c>
      <c r="H498" s="14">
        <v>1.3672000000000002</v>
      </c>
      <c r="I498" s="14">
        <v>-6.0200000000000031</v>
      </c>
      <c r="J498" s="14">
        <v>-11.219999999999963</v>
      </c>
      <c r="K498" s="15" t="s">
        <v>41</v>
      </c>
    </row>
    <row r="499" spans="1:11" x14ac:dyDescent="0.3">
      <c r="A499" s="13">
        <v>46247</v>
      </c>
      <c r="B499" s="14"/>
      <c r="C499" s="123"/>
      <c r="D499" s="123"/>
      <c r="E499" s="14"/>
      <c r="F499" s="14"/>
      <c r="G499" s="14"/>
      <c r="H499" s="14"/>
      <c r="I499" s="14">
        <v>0</v>
      </c>
      <c r="J499" s="14">
        <v>0</v>
      </c>
      <c r="K499" s="15">
        <v>0</v>
      </c>
    </row>
    <row r="500" spans="1:11" x14ac:dyDescent="0.3">
      <c r="A500" s="13">
        <v>46247</v>
      </c>
      <c r="B500" s="14"/>
      <c r="C500" s="123"/>
      <c r="D500" s="123"/>
      <c r="E500" s="14"/>
      <c r="F500" s="14"/>
      <c r="G500" s="14"/>
      <c r="H500" s="14"/>
      <c r="I500" s="14">
        <v>0</v>
      </c>
      <c r="J500" s="14">
        <v>0</v>
      </c>
      <c r="K500" s="15">
        <v>0</v>
      </c>
    </row>
    <row r="501" spans="1:11" x14ac:dyDescent="0.3">
      <c r="A501" s="13">
        <v>46247</v>
      </c>
      <c r="B501" s="14"/>
      <c r="C501" s="123"/>
      <c r="D501" s="123"/>
      <c r="E501" s="14"/>
      <c r="F501" s="14"/>
      <c r="G501" s="14"/>
      <c r="H501" s="14"/>
      <c r="I501" s="14">
        <v>0</v>
      </c>
      <c r="J501" s="14">
        <v>0</v>
      </c>
      <c r="K501" s="15">
        <v>0</v>
      </c>
    </row>
    <row r="502" spans="1:11" x14ac:dyDescent="0.3">
      <c r="A502" s="13">
        <v>46248</v>
      </c>
      <c r="B502" s="14" t="s">
        <v>10</v>
      </c>
      <c r="C502" s="123" t="s">
        <v>97</v>
      </c>
      <c r="D502" s="123" t="s">
        <v>107</v>
      </c>
      <c r="E502" s="14">
        <v>3.7107000000000001</v>
      </c>
      <c r="F502" s="14">
        <v>8.0700000000000216</v>
      </c>
      <c r="G502" s="14">
        <v>8.0700000000000216</v>
      </c>
      <c r="H502" s="14">
        <v>0.32280000000000086</v>
      </c>
      <c r="I502" s="14">
        <v>-1.0799999999999699</v>
      </c>
      <c r="J502" s="14">
        <v>-3.2499999999999751</v>
      </c>
      <c r="K502" s="15">
        <v>-8.73999999999997</v>
      </c>
    </row>
    <row r="503" spans="1:11" x14ac:dyDescent="0.3">
      <c r="A503" s="13">
        <v>46248</v>
      </c>
      <c r="B503" s="14" t="s">
        <v>11</v>
      </c>
      <c r="C503" s="123" t="s">
        <v>107</v>
      </c>
      <c r="D503" s="123" t="s">
        <v>111</v>
      </c>
      <c r="E503" s="14">
        <v>3.7646999999999999</v>
      </c>
      <c r="F503" s="14">
        <v>5.3999999999999826</v>
      </c>
      <c r="G503" s="14">
        <v>13.470000000000004</v>
      </c>
      <c r="H503" s="14">
        <v>0.53880000000000017</v>
      </c>
      <c r="I503" s="14">
        <v>-1.1700000000000266</v>
      </c>
      <c r="J503" s="14">
        <v>-4.410000000000025</v>
      </c>
      <c r="K503" s="15">
        <v>-9.319999999999995</v>
      </c>
    </row>
    <row r="504" spans="1:11" x14ac:dyDescent="0.3">
      <c r="A504" s="13">
        <v>46248</v>
      </c>
      <c r="B504" s="14" t="s">
        <v>13</v>
      </c>
      <c r="C504" s="123" t="s">
        <v>111</v>
      </c>
      <c r="D504" s="123" t="s">
        <v>118</v>
      </c>
      <c r="E504" s="14">
        <v>3.8572000000000002</v>
      </c>
      <c r="F504" s="14">
        <v>9.2500000000000249</v>
      </c>
      <c r="G504" s="14">
        <v>22.720000000000027</v>
      </c>
      <c r="H504" s="14">
        <v>0.90880000000000105</v>
      </c>
      <c r="I504" s="14">
        <v>-0.96999999999995978</v>
      </c>
      <c r="J504" s="14">
        <v>-6.5999999999999837</v>
      </c>
      <c r="K504" s="15">
        <v>-9.4599999999999795</v>
      </c>
    </row>
    <row r="505" spans="1:11" x14ac:dyDescent="0.3">
      <c r="A505" s="13">
        <v>46248</v>
      </c>
      <c r="B505" s="14" t="s">
        <v>28</v>
      </c>
      <c r="C505" s="123" t="s">
        <v>118</v>
      </c>
      <c r="D505" s="123" t="s">
        <v>119</v>
      </c>
      <c r="E505" s="14">
        <v>3.9026999999999998</v>
      </c>
      <c r="F505" s="14">
        <v>4.5499999999999652</v>
      </c>
      <c r="G505" s="14">
        <v>27.269999999999996</v>
      </c>
      <c r="H505" s="14">
        <v>1.0907999999999998</v>
      </c>
      <c r="I505" s="14">
        <v>-0.43000000000001926</v>
      </c>
      <c r="J505" s="14">
        <v>-6.2300000000000022</v>
      </c>
      <c r="K505" s="15">
        <v>-9.3800000000000328</v>
      </c>
    </row>
    <row r="506" spans="1:11" x14ac:dyDescent="0.3">
      <c r="A506" s="13">
        <v>46248</v>
      </c>
      <c r="B506" s="14" t="s">
        <v>15</v>
      </c>
      <c r="C506" s="123" t="s">
        <v>119</v>
      </c>
      <c r="D506" s="123" t="s">
        <v>122</v>
      </c>
      <c r="E506" s="14">
        <v>3.9546000000000001</v>
      </c>
      <c r="F506" s="14">
        <v>5.1900000000000279</v>
      </c>
      <c r="G506" s="14">
        <v>32.460000000000022</v>
      </c>
      <c r="H506" s="14">
        <v>1.2984000000000009</v>
      </c>
      <c r="I506" s="14">
        <v>-6.9999999999970086E-2</v>
      </c>
      <c r="J506" s="14">
        <v>-7.2700000000000209</v>
      </c>
      <c r="K506" s="15">
        <v>-9.7399999999999487</v>
      </c>
    </row>
    <row r="507" spans="1:11" x14ac:dyDescent="0.3">
      <c r="A507" s="13">
        <v>46248</v>
      </c>
      <c r="B507" s="14" t="s">
        <v>16</v>
      </c>
      <c r="C507" s="123" t="s">
        <v>122</v>
      </c>
      <c r="D507" s="123" t="s">
        <v>126</v>
      </c>
      <c r="E507" s="14">
        <v>3.9712999999999998</v>
      </c>
      <c r="F507" s="14">
        <v>1.6699999999999715</v>
      </c>
      <c r="G507" s="14">
        <v>34.129999999999995</v>
      </c>
      <c r="H507" s="14">
        <v>1.3651999999999997</v>
      </c>
      <c r="I507" s="14">
        <v>0.19999999999997797</v>
      </c>
      <c r="J507" s="14">
        <v>-7.7000000000000401</v>
      </c>
      <c r="K507" s="15">
        <v>-10.070000000000023</v>
      </c>
    </row>
    <row r="508" spans="1:11" x14ac:dyDescent="0.3">
      <c r="A508" s="13">
        <v>46248</v>
      </c>
      <c r="B508" s="14" t="s">
        <v>18</v>
      </c>
      <c r="C508" s="123" t="s">
        <v>126</v>
      </c>
      <c r="D508" s="123" t="s">
        <v>145</v>
      </c>
      <c r="E508" s="14">
        <v>3.9893000000000001</v>
      </c>
      <c r="F508" s="14">
        <v>1.8000000000000238</v>
      </c>
      <c r="G508" s="14">
        <v>35.930000000000021</v>
      </c>
      <c r="H508" s="14">
        <v>1.4372000000000009</v>
      </c>
      <c r="I508" s="14">
        <v>0.24999999999999467</v>
      </c>
      <c r="J508" s="14">
        <v>-7.7700000000000102</v>
      </c>
      <c r="K508" s="15">
        <v>-8.2399999999999807</v>
      </c>
    </row>
    <row r="509" spans="1:11" x14ac:dyDescent="0.3">
      <c r="A509" s="13">
        <v>46248</v>
      </c>
      <c r="B509" s="14" t="s">
        <v>19</v>
      </c>
      <c r="C509" s="123" t="s">
        <v>145</v>
      </c>
      <c r="D509" s="123" t="s">
        <v>150</v>
      </c>
      <c r="E509" s="14">
        <v>3.9849999999999999</v>
      </c>
      <c r="F509" s="14">
        <v>-0.43000000000001926</v>
      </c>
      <c r="G509" s="14">
        <v>35.5</v>
      </c>
      <c r="H509" s="14">
        <v>1.42</v>
      </c>
      <c r="I509" s="14">
        <v>0.61999999999997613</v>
      </c>
      <c r="J509" s="14">
        <v>-7.1600000000000552</v>
      </c>
      <c r="K509" s="15">
        <v>-6.630000000000047</v>
      </c>
    </row>
    <row r="510" spans="1:11" x14ac:dyDescent="0.3">
      <c r="A510" s="13">
        <v>46248</v>
      </c>
      <c r="B510" s="14" t="s">
        <v>10</v>
      </c>
      <c r="C510" s="123" t="s">
        <v>150</v>
      </c>
      <c r="D510" s="123" t="s">
        <v>200</v>
      </c>
      <c r="E510" s="14">
        <v>3.9767999999999999</v>
      </c>
      <c r="F510" s="14">
        <v>-0.81999999999999851</v>
      </c>
      <c r="G510" s="14">
        <v>34.68</v>
      </c>
      <c r="H510" s="14">
        <v>1.3872</v>
      </c>
      <c r="I510" s="14">
        <v>0.49999999999998934</v>
      </c>
      <c r="J510" s="14">
        <v>-6.3200000000000145</v>
      </c>
      <c r="K510" s="15" t="s">
        <v>41</v>
      </c>
    </row>
    <row r="511" spans="1:11" x14ac:dyDescent="0.3">
      <c r="A511" s="13">
        <v>46248</v>
      </c>
      <c r="B511" s="14"/>
      <c r="C511" s="123"/>
      <c r="D511" s="123"/>
      <c r="E511" s="14"/>
      <c r="F511" s="14"/>
      <c r="G511" s="14"/>
      <c r="H511" s="14"/>
      <c r="I511" s="14">
        <v>0</v>
      </c>
      <c r="J511" s="14">
        <v>0</v>
      </c>
      <c r="K511" s="15">
        <v>0</v>
      </c>
    </row>
    <row r="512" spans="1:11" x14ac:dyDescent="0.3">
      <c r="A512" s="13">
        <v>46248</v>
      </c>
      <c r="B512" s="14"/>
      <c r="C512" s="123"/>
      <c r="D512" s="123"/>
      <c r="E512" s="14"/>
      <c r="F512" s="14"/>
      <c r="G512" s="14"/>
      <c r="H512" s="14"/>
      <c r="I512" s="14">
        <v>0</v>
      </c>
      <c r="J512" s="14">
        <v>0</v>
      </c>
      <c r="K512" s="15">
        <v>0</v>
      </c>
    </row>
    <row r="513" spans="1:11" x14ac:dyDescent="0.3">
      <c r="A513" s="13">
        <v>46248</v>
      </c>
      <c r="B513" s="14"/>
      <c r="C513" s="123"/>
      <c r="D513" s="123"/>
      <c r="E513" s="14"/>
      <c r="F513" s="14"/>
      <c r="G513" s="14"/>
      <c r="H513" s="14"/>
      <c r="I513" s="14">
        <v>0</v>
      </c>
      <c r="J513" s="14">
        <v>0</v>
      </c>
      <c r="K513" s="15">
        <v>0</v>
      </c>
    </row>
    <row r="514" spans="1:11" x14ac:dyDescent="0.3">
      <c r="A514" s="569">
        <v>46251</v>
      </c>
      <c r="B514" s="570" t="s">
        <v>10</v>
      </c>
      <c r="C514" s="571" t="s">
        <v>97</v>
      </c>
      <c r="D514" s="571" t="s">
        <v>107</v>
      </c>
      <c r="E514" s="570">
        <v>3.7159</v>
      </c>
      <c r="F514" s="570">
        <v>8.5900000000000087</v>
      </c>
      <c r="G514" s="570">
        <v>8.5900000000000087</v>
      </c>
      <c r="H514" s="570">
        <v>0.34360000000000035</v>
      </c>
      <c r="I514" s="570">
        <v>0.51999999999998714</v>
      </c>
      <c r="J514" s="570">
        <v>-3.7999999999999812</v>
      </c>
      <c r="K514" s="572">
        <v>-6.349999999999989</v>
      </c>
    </row>
    <row r="515" spans="1:11" x14ac:dyDescent="0.3">
      <c r="A515" s="569">
        <v>46251</v>
      </c>
      <c r="B515" s="570" t="s">
        <v>11</v>
      </c>
      <c r="C515" s="571" t="s">
        <v>107</v>
      </c>
      <c r="D515" s="571" t="s">
        <v>111</v>
      </c>
      <c r="E515" s="570">
        <v>3.7637</v>
      </c>
      <c r="F515" s="570">
        <v>4.7800000000000065</v>
      </c>
      <c r="G515" s="570">
        <v>13.370000000000015</v>
      </c>
      <c r="H515" s="570">
        <v>0.53480000000000061</v>
      </c>
      <c r="I515" s="570">
        <v>-9.9999999999988987E-2</v>
      </c>
      <c r="J515" s="570">
        <v>-5.7599999999999874</v>
      </c>
      <c r="K515" s="572">
        <v>-6.7899999999999849</v>
      </c>
    </row>
    <row r="516" spans="1:11" x14ac:dyDescent="0.3">
      <c r="A516" s="569">
        <v>46251</v>
      </c>
      <c r="B516" s="570" t="s">
        <v>13</v>
      </c>
      <c r="C516" s="571" t="s">
        <v>111</v>
      </c>
      <c r="D516" s="571" t="s">
        <v>118</v>
      </c>
      <c r="E516" s="570">
        <v>3.8601999999999999</v>
      </c>
      <c r="F516" s="570">
        <v>9.6499999999999808</v>
      </c>
      <c r="G516" s="570">
        <v>23.019999999999996</v>
      </c>
      <c r="H516" s="570">
        <v>0.92079999999999984</v>
      </c>
      <c r="I516" s="570">
        <v>0.29999999999996696</v>
      </c>
      <c r="J516" s="570">
        <v>-7.8600000000000225</v>
      </c>
      <c r="K516" s="572">
        <v>-5.259999999999998</v>
      </c>
    </row>
    <row r="517" spans="1:11" x14ac:dyDescent="0.3">
      <c r="A517" s="569">
        <v>46251</v>
      </c>
      <c r="B517" s="570" t="s">
        <v>28</v>
      </c>
      <c r="C517" s="571" t="s">
        <v>118</v>
      </c>
      <c r="D517" s="571" t="s">
        <v>119</v>
      </c>
      <c r="E517" s="570">
        <v>3.9076</v>
      </c>
      <c r="F517" s="570">
        <v>4.7400000000000109</v>
      </c>
      <c r="G517" s="570">
        <v>27.760000000000005</v>
      </c>
      <c r="H517" s="570">
        <v>1.1104000000000003</v>
      </c>
      <c r="I517" s="570">
        <v>0.49000000000001265</v>
      </c>
      <c r="J517" s="570">
        <v>-7.6400000000000023</v>
      </c>
      <c r="K517" s="572">
        <v>-4.0500000000000203</v>
      </c>
    </row>
    <row r="518" spans="1:11" x14ac:dyDescent="0.3">
      <c r="A518" s="569">
        <v>46251</v>
      </c>
      <c r="B518" s="570" t="s">
        <v>15</v>
      </c>
      <c r="C518" s="571" t="s">
        <v>119</v>
      </c>
      <c r="D518" s="571" t="s">
        <v>122</v>
      </c>
      <c r="E518" s="570">
        <v>3.9664999999999999</v>
      </c>
      <c r="F518" s="570">
        <v>5.8899999999999952</v>
      </c>
      <c r="G518" s="570">
        <v>33.650000000000006</v>
      </c>
      <c r="H518" s="570">
        <v>1.3460000000000003</v>
      </c>
      <c r="I518" s="570">
        <v>1.18999999999998</v>
      </c>
      <c r="J518" s="570">
        <v>-8.3499999999999908</v>
      </c>
      <c r="K518" s="572">
        <v>-2.6200000000000223</v>
      </c>
    </row>
    <row r="519" spans="1:11" x14ac:dyDescent="0.3">
      <c r="A519" s="569">
        <v>46251</v>
      </c>
      <c r="B519" s="570" t="s">
        <v>16</v>
      </c>
      <c r="C519" s="571" t="s">
        <v>122</v>
      </c>
      <c r="D519" s="571" t="s">
        <v>126</v>
      </c>
      <c r="E519" s="570">
        <v>3.988</v>
      </c>
      <c r="F519" s="570">
        <v>2.1500000000000075</v>
      </c>
      <c r="G519" s="570">
        <v>35.800000000000011</v>
      </c>
      <c r="H519" s="570">
        <v>1.4320000000000004</v>
      </c>
      <c r="I519" s="570">
        <v>1.6700000000000159</v>
      </c>
      <c r="J519" s="570">
        <v>-8.4000000000000075</v>
      </c>
      <c r="K519" s="572">
        <v>-1.8999999999999684</v>
      </c>
    </row>
    <row r="520" spans="1:11" x14ac:dyDescent="0.3">
      <c r="A520" s="569">
        <v>46251</v>
      </c>
      <c r="B520" s="570" t="s">
        <v>18</v>
      </c>
      <c r="C520" s="571" t="s">
        <v>126</v>
      </c>
      <c r="D520" s="571" t="s">
        <v>145</v>
      </c>
      <c r="E520" s="570">
        <v>4.0101000000000004</v>
      </c>
      <c r="F520" s="570">
        <v>2.2100000000000453</v>
      </c>
      <c r="G520" s="570">
        <v>38.010000000000055</v>
      </c>
      <c r="H520" s="570">
        <v>1.5204000000000022</v>
      </c>
      <c r="I520" s="570">
        <v>2.0800000000000374</v>
      </c>
      <c r="J520" s="570">
        <v>-8.4499999999999353</v>
      </c>
      <c r="K520" s="572">
        <v>0.81000000000006622</v>
      </c>
    </row>
    <row r="521" spans="1:11" x14ac:dyDescent="0.3">
      <c r="A521" s="569">
        <v>46251</v>
      </c>
      <c r="B521" s="570" t="s">
        <v>19</v>
      </c>
      <c r="C521" s="571" t="s">
        <v>145</v>
      </c>
      <c r="D521" s="571" t="s">
        <v>150</v>
      </c>
      <c r="E521" s="570">
        <v>4.01</v>
      </c>
      <c r="F521" s="570">
        <v>-1.0000000000065512E-2</v>
      </c>
      <c r="G521" s="570">
        <v>37.999999999999986</v>
      </c>
      <c r="H521" s="570">
        <v>1.5199999999999994</v>
      </c>
      <c r="I521" s="570">
        <v>2.4999999999999911</v>
      </c>
      <c r="J521" s="570">
        <v>-8.2200000000000273</v>
      </c>
      <c r="K521" s="572">
        <v>3.7999999999999812</v>
      </c>
    </row>
    <row r="522" spans="1:11" x14ac:dyDescent="0.3">
      <c r="A522" s="569">
        <v>46251</v>
      </c>
      <c r="B522" s="570" t="s">
        <v>10</v>
      </c>
      <c r="C522" s="571" t="s">
        <v>150</v>
      </c>
      <c r="D522" s="571" t="s">
        <v>200</v>
      </c>
      <c r="E522" s="570">
        <v>4</v>
      </c>
      <c r="F522" s="570">
        <v>-0.99999999999997868</v>
      </c>
      <c r="G522" s="570">
        <v>37.000000000000014</v>
      </c>
      <c r="H522" s="570">
        <v>1.4800000000000006</v>
      </c>
      <c r="I522" s="570">
        <v>2.3200000000000109</v>
      </c>
      <c r="J522" s="570">
        <v>-7.8000000000000291</v>
      </c>
      <c r="K522" s="572" t="s">
        <v>41</v>
      </c>
    </row>
    <row r="523" spans="1:11" x14ac:dyDescent="0.3">
      <c r="A523" s="569">
        <v>46251</v>
      </c>
      <c r="B523" s="570"/>
      <c r="C523" s="571"/>
      <c r="D523" s="571"/>
      <c r="E523" s="570"/>
      <c r="F523" s="570"/>
      <c r="G523" s="570"/>
      <c r="H523" s="570"/>
      <c r="I523" s="570">
        <v>0</v>
      </c>
      <c r="J523" s="570">
        <v>0</v>
      </c>
      <c r="K523" s="572">
        <v>0</v>
      </c>
    </row>
    <row r="524" spans="1:11" x14ac:dyDescent="0.3">
      <c r="A524" s="569">
        <v>46251</v>
      </c>
      <c r="B524" s="570"/>
      <c r="C524" s="571"/>
      <c r="D524" s="571"/>
      <c r="E524" s="570"/>
      <c r="F524" s="570"/>
      <c r="G524" s="570"/>
      <c r="H524" s="570"/>
      <c r="I524" s="570">
        <v>0</v>
      </c>
      <c r="J524" s="570">
        <v>0</v>
      </c>
      <c r="K524" s="572">
        <v>0</v>
      </c>
    </row>
    <row r="525" spans="1:11" x14ac:dyDescent="0.3">
      <c r="A525" s="569">
        <v>46251</v>
      </c>
      <c r="B525" s="570"/>
      <c r="C525" s="571"/>
      <c r="D525" s="571"/>
      <c r="E525" s="570"/>
      <c r="F525" s="570"/>
      <c r="G525" s="570"/>
      <c r="H525" s="570"/>
      <c r="I525" s="570">
        <v>0</v>
      </c>
      <c r="J525" s="570">
        <v>0</v>
      </c>
      <c r="K525" s="572">
        <v>0</v>
      </c>
    </row>
    <row r="526" spans="1:11" x14ac:dyDescent="0.3">
      <c r="A526" s="569">
        <v>46252</v>
      </c>
      <c r="B526" s="570" t="s">
        <v>10</v>
      </c>
      <c r="C526" s="571" t="s">
        <v>97</v>
      </c>
      <c r="D526" s="571" t="s">
        <v>107</v>
      </c>
      <c r="E526" s="570">
        <v>3.7241</v>
      </c>
      <c r="F526" s="570">
        <v>9.4100000000000072</v>
      </c>
      <c r="G526" s="570">
        <v>9.4100000000000072</v>
      </c>
      <c r="H526" s="570">
        <v>0.37640000000000029</v>
      </c>
      <c r="I526" s="570">
        <v>0.81999999999999851</v>
      </c>
      <c r="J526" s="570">
        <v>-3.71999999999999</v>
      </c>
      <c r="K526" s="572">
        <v>-4.6300000000000008</v>
      </c>
    </row>
    <row r="527" spans="1:11" x14ac:dyDescent="0.3">
      <c r="A527" s="569">
        <v>46252</v>
      </c>
      <c r="B527" s="570" t="s">
        <v>11</v>
      </c>
      <c r="C527" s="571" t="s">
        <v>107</v>
      </c>
      <c r="D527" s="571" t="s">
        <v>111</v>
      </c>
      <c r="E527" s="570">
        <v>3.7749000000000001</v>
      </c>
      <c r="F527" s="570">
        <v>5.0800000000000178</v>
      </c>
      <c r="G527" s="570">
        <v>14.490000000000025</v>
      </c>
      <c r="H527" s="570">
        <v>0.579600000000001</v>
      </c>
      <c r="I527" s="570">
        <v>1.1200000000000099</v>
      </c>
      <c r="J527" s="570">
        <v>-5.5299999999999905</v>
      </c>
      <c r="K527" s="572">
        <v>-4.6499999999999986</v>
      </c>
    </row>
    <row r="528" spans="1:11" x14ac:dyDescent="0.3">
      <c r="A528" s="569">
        <v>46252</v>
      </c>
      <c r="B528" s="570" t="s">
        <v>13</v>
      </c>
      <c r="C528" s="571" t="s">
        <v>111</v>
      </c>
      <c r="D528" s="571" t="s">
        <v>118</v>
      </c>
      <c r="E528" s="570">
        <v>3.8704999999999998</v>
      </c>
      <c r="F528" s="570">
        <v>9.5599999999999685</v>
      </c>
      <c r="G528" s="570">
        <v>24.049999999999994</v>
      </c>
      <c r="H528" s="570">
        <v>0.96199999999999974</v>
      </c>
      <c r="I528" s="570">
        <v>1.0299999999999976</v>
      </c>
      <c r="J528" s="570">
        <v>-6.5800000000000303</v>
      </c>
      <c r="K528" s="572">
        <v>-3.3400000000000318</v>
      </c>
    </row>
    <row r="529" spans="1:11" x14ac:dyDescent="0.3">
      <c r="A529" s="569">
        <v>46252</v>
      </c>
      <c r="B529" s="570" t="s">
        <v>28</v>
      </c>
      <c r="C529" s="571" t="s">
        <v>118</v>
      </c>
      <c r="D529" s="571" t="s">
        <v>119</v>
      </c>
      <c r="E529" s="570">
        <v>3.9215</v>
      </c>
      <c r="F529" s="570">
        <v>5.1000000000000156</v>
      </c>
      <c r="G529" s="570">
        <v>29.150000000000009</v>
      </c>
      <c r="H529" s="570">
        <v>1.1660000000000004</v>
      </c>
      <c r="I529" s="570">
        <v>1.3900000000000023</v>
      </c>
      <c r="J529" s="570">
        <v>-6.1900000000000066</v>
      </c>
      <c r="K529" s="572">
        <v>-2.1900000000000031</v>
      </c>
    </row>
    <row r="530" spans="1:11" x14ac:dyDescent="0.3">
      <c r="A530" s="569">
        <v>46252</v>
      </c>
      <c r="B530" s="570" t="s">
        <v>15</v>
      </c>
      <c r="C530" s="571" t="s">
        <v>119</v>
      </c>
      <c r="D530" s="571" t="s">
        <v>122</v>
      </c>
      <c r="E530" s="570">
        <v>3.9796</v>
      </c>
      <c r="F530" s="570">
        <v>5.8100000000000041</v>
      </c>
      <c r="G530" s="570">
        <v>34.960000000000015</v>
      </c>
      <c r="H530" s="570">
        <v>1.3984000000000005</v>
      </c>
      <c r="I530" s="570">
        <v>1.3100000000000112</v>
      </c>
      <c r="J530" s="570">
        <v>-6.4399999999999569</v>
      </c>
      <c r="K530" s="572">
        <v>-1.8400000000000194</v>
      </c>
    </row>
    <row r="531" spans="1:11" x14ac:dyDescent="0.3">
      <c r="A531" s="569">
        <v>46252</v>
      </c>
      <c r="B531" s="570" t="s">
        <v>16</v>
      </c>
      <c r="C531" s="571" t="s">
        <v>122</v>
      </c>
      <c r="D531" s="571" t="s">
        <v>126</v>
      </c>
      <c r="E531" s="570">
        <v>4</v>
      </c>
      <c r="F531" s="570">
        <v>2.0399999999999974</v>
      </c>
      <c r="G531" s="570">
        <v>37.000000000000014</v>
      </c>
      <c r="H531" s="570">
        <v>1.4800000000000006</v>
      </c>
      <c r="I531" s="570">
        <v>1.2000000000000011</v>
      </c>
      <c r="J531" s="570">
        <v>-6.7499999999999893</v>
      </c>
      <c r="K531" s="572">
        <v>-1.9999999999999574</v>
      </c>
    </row>
    <row r="532" spans="1:11" x14ac:dyDescent="0.3">
      <c r="A532" s="569">
        <v>46252</v>
      </c>
      <c r="B532" s="570" t="s">
        <v>18</v>
      </c>
      <c r="C532" s="571" t="s">
        <v>126</v>
      </c>
      <c r="D532" s="571" t="s">
        <v>145</v>
      </c>
      <c r="E532" s="570">
        <v>4.0190000000000001</v>
      </c>
      <c r="F532" s="570">
        <v>1.9000000000000128</v>
      </c>
      <c r="G532" s="570">
        <v>38.90000000000002</v>
      </c>
      <c r="H532" s="570">
        <v>1.5560000000000007</v>
      </c>
      <c r="I532" s="570">
        <v>0.88999999999996859</v>
      </c>
      <c r="J532" s="570">
        <v>-7.1200000000000152</v>
      </c>
      <c r="K532" s="572">
        <v>-0.19999999999997797</v>
      </c>
    </row>
    <row r="533" spans="1:11" x14ac:dyDescent="0.3">
      <c r="A533" s="569">
        <v>46252</v>
      </c>
      <c r="B533" s="570" t="s">
        <v>19</v>
      </c>
      <c r="C533" s="571" t="s">
        <v>145</v>
      </c>
      <c r="D533" s="571" t="s">
        <v>150</v>
      </c>
      <c r="E533" s="570">
        <v>4.0149999999999997</v>
      </c>
      <c r="F533" s="570">
        <v>-0.40000000000004476</v>
      </c>
      <c r="G533" s="570">
        <v>38.499999999999979</v>
      </c>
      <c r="H533" s="570">
        <v>1.5399999999999991</v>
      </c>
      <c r="I533" s="570">
        <v>0.49999999999998934</v>
      </c>
      <c r="J533" s="570">
        <v>-6.8300000000000693</v>
      </c>
      <c r="K533" s="572">
        <v>1.3999999999999346</v>
      </c>
    </row>
    <row r="534" spans="1:11" x14ac:dyDescent="0.3">
      <c r="A534" s="569">
        <v>46252</v>
      </c>
      <c r="B534" s="570" t="s">
        <v>10</v>
      </c>
      <c r="C534" s="571" t="s">
        <v>150</v>
      </c>
      <c r="D534" s="571" t="s">
        <v>200</v>
      </c>
      <c r="E534" s="570">
        <v>4.0063000000000004</v>
      </c>
      <c r="F534" s="570">
        <v>-0.86999999999992639</v>
      </c>
      <c r="G534" s="570">
        <v>37.630000000000052</v>
      </c>
      <c r="H534" s="570">
        <v>1.5052000000000021</v>
      </c>
      <c r="I534" s="570">
        <v>0.63000000000004164</v>
      </c>
      <c r="J534" s="570">
        <v>-6.5399999999999459</v>
      </c>
      <c r="K534" s="572" t="s">
        <v>41</v>
      </c>
    </row>
    <row r="535" spans="1:11" x14ac:dyDescent="0.3">
      <c r="A535" s="569">
        <v>46252</v>
      </c>
      <c r="B535" s="570"/>
      <c r="C535" s="571"/>
      <c r="D535" s="571"/>
      <c r="E535" s="570"/>
      <c r="F535" s="570"/>
      <c r="G535" s="570"/>
      <c r="H535" s="570"/>
      <c r="I535" s="570">
        <v>0</v>
      </c>
      <c r="J535" s="570">
        <v>0</v>
      </c>
      <c r="K535" s="572">
        <v>0</v>
      </c>
    </row>
    <row r="536" spans="1:11" x14ac:dyDescent="0.3">
      <c r="A536" s="569">
        <v>46252</v>
      </c>
      <c r="B536" s="570"/>
      <c r="C536" s="571"/>
      <c r="D536" s="571"/>
      <c r="E536" s="570"/>
      <c r="F536" s="570"/>
      <c r="G536" s="570"/>
      <c r="H536" s="570"/>
      <c r="I536" s="570">
        <v>0</v>
      </c>
      <c r="J536" s="570">
        <v>0</v>
      </c>
      <c r="K536" s="572">
        <v>0</v>
      </c>
    </row>
    <row r="537" spans="1:11" x14ac:dyDescent="0.3">
      <c r="A537" s="569">
        <v>46252</v>
      </c>
      <c r="B537" s="570"/>
      <c r="C537" s="571"/>
      <c r="D537" s="571"/>
      <c r="E537" s="570"/>
      <c r="F537" s="570"/>
      <c r="G537" s="570"/>
      <c r="H537" s="570"/>
      <c r="I537" s="570">
        <v>0</v>
      </c>
      <c r="J537" s="570">
        <v>0</v>
      </c>
      <c r="K537" s="572">
        <v>0</v>
      </c>
    </row>
    <row r="538" spans="1:11" x14ac:dyDescent="0.3">
      <c r="A538" s="13">
        <v>46253</v>
      </c>
      <c r="B538" s="14" t="s">
        <v>10</v>
      </c>
      <c r="C538" s="123" t="s">
        <v>97</v>
      </c>
      <c r="D538" s="123" t="s">
        <v>107</v>
      </c>
      <c r="E538" s="14">
        <v>3.7263000000000002</v>
      </c>
      <c r="F538" s="14">
        <v>9.6300000000000274</v>
      </c>
      <c r="G538" s="14">
        <v>9.6300000000000274</v>
      </c>
      <c r="H538" s="14">
        <v>0.3852000000000011</v>
      </c>
      <c r="I538" s="14">
        <v>0.22000000000002018</v>
      </c>
      <c r="J538" s="14">
        <v>-0.80000000000000071</v>
      </c>
      <c r="K538" s="15">
        <v>-5.3099999999999703</v>
      </c>
    </row>
    <row r="539" spans="1:11" x14ac:dyDescent="0.3">
      <c r="A539" s="13">
        <v>46253</v>
      </c>
      <c r="B539" s="14" t="s">
        <v>11</v>
      </c>
      <c r="C539" s="123" t="s">
        <v>107</v>
      </c>
      <c r="D539" s="123" t="s">
        <v>111</v>
      </c>
      <c r="E539" s="14">
        <v>3.7804000000000002</v>
      </c>
      <c r="F539" s="14">
        <v>5.4100000000000037</v>
      </c>
      <c r="G539" s="14">
        <v>15.040000000000031</v>
      </c>
      <c r="H539" s="14">
        <v>0.60160000000000124</v>
      </c>
      <c r="I539" s="14">
        <v>0.55000000000000604</v>
      </c>
      <c r="J539" s="14">
        <v>-1.4699999999999935</v>
      </c>
      <c r="K539" s="15">
        <v>-5.119999999999969</v>
      </c>
    </row>
    <row r="540" spans="1:11" x14ac:dyDescent="0.3">
      <c r="A540" s="13">
        <v>46253</v>
      </c>
      <c r="B540" s="14" t="s">
        <v>13</v>
      </c>
      <c r="C540" s="123" t="s">
        <v>111</v>
      </c>
      <c r="D540" s="123" t="s">
        <v>118</v>
      </c>
      <c r="E540" s="14">
        <v>3.8761999999999999</v>
      </c>
      <c r="F540" s="14">
        <v>9.5799999999999663</v>
      </c>
      <c r="G540" s="14">
        <v>24.619999999999997</v>
      </c>
      <c r="H540" s="14">
        <v>0.9847999999999999</v>
      </c>
      <c r="I540" s="14">
        <v>0.57000000000000384</v>
      </c>
      <c r="J540" s="14">
        <v>-2.0599999999999952</v>
      </c>
      <c r="K540" s="15">
        <v>-3.6599999999999966</v>
      </c>
    </row>
    <row r="541" spans="1:11" x14ac:dyDescent="0.3">
      <c r="A541" s="13">
        <v>46253</v>
      </c>
      <c r="B541" s="14" t="s">
        <v>28</v>
      </c>
      <c r="C541" s="123" t="s">
        <v>118</v>
      </c>
      <c r="D541" s="123" t="s">
        <v>119</v>
      </c>
      <c r="E541" s="14">
        <v>3.9281000000000001</v>
      </c>
      <c r="F541" s="14">
        <v>5.1900000000000279</v>
      </c>
      <c r="G541" s="14">
        <v>29.810000000000024</v>
      </c>
      <c r="H541" s="14">
        <v>1.192400000000001</v>
      </c>
      <c r="I541" s="14">
        <v>0.66000000000001613</v>
      </c>
      <c r="J541" s="14">
        <v>-1.4100000000000001</v>
      </c>
      <c r="K541" s="15">
        <v>-2.0000000000000018</v>
      </c>
    </row>
    <row r="542" spans="1:11" x14ac:dyDescent="0.3">
      <c r="A542" s="13">
        <v>46253</v>
      </c>
      <c r="B542" s="14" t="s">
        <v>15</v>
      </c>
      <c r="C542" s="123" t="s">
        <v>119</v>
      </c>
      <c r="D542" s="123" t="s">
        <v>122</v>
      </c>
      <c r="E542" s="14">
        <v>3.9901</v>
      </c>
      <c r="F542" s="14">
        <v>6.1999999999999833</v>
      </c>
      <c r="G542" s="14">
        <v>36.010000000000005</v>
      </c>
      <c r="H542" s="14">
        <v>1.4404000000000001</v>
      </c>
      <c r="I542" s="14">
        <v>1.0499999999999954</v>
      </c>
      <c r="J542" s="14">
        <v>-1.0399999999999743</v>
      </c>
      <c r="K542" s="15">
        <v>-0.26000000000001577</v>
      </c>
    </row>
    <row r="543" spans="1:11" x14ac:dyDescent="0.3">
      <c r="A543" s="13">
        <v>46253</v>
      </c>
      <c r="B543" s="14" t="s">
        <v>16</v>
      </c>
      <c r="C543" s="123" t="s">
        <v>122</v>
      </c>
      <c r="D543" s="123" t="s">
        <v>126</v>
      </c>
      <c r="E543" s="14">
        <v>4.0168999999999997</v>
      </c>
      <c r="F543" s="14">
        <v>2.6799999999999713</v>
      </c>
      <c r="G543" s="14">
        <v>38.689999999999984</v>
      </c>
      <c r="H543" s="14">
        <v>1.5475999999999994</v>
      </c>
      <c r="I543" s="14">
        <v>1.6899999999999693</v>
      </c>
      <c r="J543" s="14">
        <v>-1.0100000000000442</v>
      </c>
      <c r="K543" s="15">
        <v>0.99000000000000199</v>
      </c>
    </row>
    <row r="544" spans="1:11" x14ac:dyDescent="0.3">
      <c r="A544" s="13">
        <v>46253</v>
      </c>
      <c r="B544" s="14" t="s">
        <v>18</v>
      </c>
      <c r="C544" s="123" t="s">
        <v>126</v>
      </c>
      <c r="D544" s="123" t="s">
        <v>145</v>
      </c>
      <c r="E544" s="14">
        <v>4.0419999999999998</v>
      </c>
      <c r="F544" s="14">
        <v>2.5100000000000122</v>
      </c>
      <c r="G544" s="14">
        <v>41.199999999999989</v>
      </c>
      <c r="H544" s="14">
        <v>1.6479999999999995</v>
      </c>
      <c r="I544" s="14">
        <v>2.2999999999999687</v>
      </c>
      <c r="J544" s="14">
        <v>-0.75000000000002842</v>
      </c>
      <c r="K544" s="15">
        <v>4.0000000000000036</v>
      </c>
    </row>
    <row r="545" spans="1:11" x14ac:dyDescent="0.3">
      <c r="A545" s="13">
        <v>46253</v>
      </c>
      <c r="B545" s="14" t="s">
        <v>19</v>
      </c>
      <c r="C545" s="123" t="s">
        <v>145</v>
      </c>
      <c r="D545" s="123" t="s">
        <v>150</v>
      </c>
      <c r="E545" s="14">
        <v>4.0389999999999997</v>
      </c>
      <c r="F545" s="14">
        <v>-0.30000000000001137</v>
      </c>
      <c r="G545" s="14">
        <v>40.899999999999977</v>
      </c>
      <c r="H545" s="14">
        <v>1.635999999999999</v>
      </c>
      <c r="I545" s="14">
        <v>2.4000000000000021</v>
      </c>
      <c r="J545" s="14">
        <v>-0.60000000000002274</v>
      </c>
      <c r="K545" s="15">
        <v>6.6999999999999726</v>
      </c>
    </row>
    <row r="546" spans="1:11" x14ac:dyDescent="0.3">
      <c r="A546" s="13">
        <v>46253</v>
      </c>
      <c r="B546" s="14" t="s">
        <v>10</v>
      </c>
      <c r="C546" s="123" t="s">
        <v>150</v>
      </c>
      <c r="D546" s="123" t="s">
        <v>200</v>
      </c>
      <c r="E546" s="14">
        <v>4.0309999999999997</v>
      </c>
      <c r="F546" s="14">
        <v>-0.80000000000000071</v>
      </c>
      <c r="G546" s="14">
        <v>40.09999999999998</v>
      </c>
      <c r="H546" s="14">
        <v>1.6039999999999992</v>
      </c>
      <c r="I546" s="14">
        <v>2.4699999999999278</v>
      </c>
      <c r="J546" s="14">
        <v>-0.1000000000000334</v>
      </c>
      <c r="K546" s="15" t="s">
        <v>41</v>
      </c>
    </row>
    <row r="547" spans="1:11" x14ac:dyDescent="0.3">
      <c r="A547" s="13">
        <v>46253</v>
      </c>
      <c r="B547" s="14"/>
      <c r="C547" s="123"/>
      <c r="D547" s="123"/>
      <c r="E547" s="14"/>
      <c r="F547" s="14"/>
      <c r="G547" s="14"/>
      <c r="H547" s="14"/>
      <c r="I547" s="14">
        <v>0</v>
      </c>
      <c r="J547" s="14">
        <v>0</v>
      </c>
      <c r="K547" s="15">
        <v>0</v>
      </c>
    </row>
    <row r="548" spans="1:11" x14ac:dyDescent="0.3">
      <c r="A548" s="13">
        <v>46253</v>
      </c>
      <c r="B548" s="14"/>
      <c r="C548" s="123"/>
      <c r="D548" s="123"/>
      <c r="E548" s="14"/>
      <c r="F548" s="14"/>
      <c r="G548" s="14"/>
      <c r="H548" s="14"/>
      <c r="I548" s="14">
        <v>0</v>
      </c>
      <c r="J548" s="14">
        <v>0</v>
      </c>
      <c r="K548" s="15">
        <v>0</v>
      </c>
    </row>
    <row r="549" spans="1:11" x14ac:dyDescent="0.3">
      <c r="A549" s="13">
        <v>46253</v>
      </c>
      <c r="B549" s="14"/>
      <c r="C549" s="123"/>
      <c r="D549" s="123"/>
      <c r="E549" s="14"/>
      <c r="F549" s="14"/>
      <c r="G549" s="14"/>
      <c r="H549" s="14"/>
      <c r="I549" s="14">
        <v>0</v>
      </c>
      <c r="J549" s="14">
        <v>0</v>
      </c>
      <c r="K549" s="15">
        <v>0</v>
      </c>
    </row>
  </sheetData>
  <hyperlinks>
    <hyperlink ref="I1" r:id="rId1" display="https://www.worldsport.ge/ge/page/186696_realma-pogbas-damatebistvis-fexburteli-unda-gayidos?fbclid=IwAR1Q8_AuVjfuFyEqRQbAPIWQl1LwCJxT8yrAB4_5wAq_JUjGwmGboJ4jIZo" xr:uid="{00000000-0004-0000-0500-00000000000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571"/>
  <sheetViews>
    <sheetView topLeftCell="A545" zoomScale="85" zoomScaleNormal="85" workbookViewId="0">
      <selection activeCell="A560" sqref="A560:K571"/>
    </sheetView>
  </sheetViews>
  <sheetFormatPr defaultColWidth="8.85546875" defaultRowHeight="18.75" x14ac:dyDescent="0.3"/>
  <cols>
    <col min="1" max="1" width="17.85546875" style="12" bestFit="1" customWidth="1"/>
    <col min="2" max="2" width="13.28515625" style="5" bestFit="1" customWidth="1"/>
    <col min="3" max="4" width="14.85546875" style="244" bestFit="1" customWidth="1"/>
    <col min="5" max="5" width="9.8554687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4" width="8.85546875" style="5"/>
    <col min="15" max="15" width="10.7109375" style="5" bestFit="1" customWidth="1"/>
    <col min="16" max="16" width="9.85546875" style="5" bestFit="1" customWidth="1"/>
    <col min="17" max="18" width="10.7109375" style="5" bestFit="1" customWidth="1"/>
    <col min="19" max="16384" width="8.85546875" style="5"/>
  </cols>
  <sheetData>
    <row r="1" spans="1:11" x14ac:dyDescent="0.3">
      <c r="A1" s="6" t="s">
        <v>24</v>
      </c>
      <c r="B1" s="7" t="s">
        <v>3</v>
      </c>
      <c r="C1" s="242" t="s">
        <v>4</v>
      </c>
      <c r="D1" s="242" t="s">
        <v>5</v>
      </c>
      <c r="E1" s="7" t="s">
        <v>6</v>
      </c>
      <c r="F1" s="7" t="s">
        <v>20</v>
      </c>
      <c r="G1" s="7" t="s">
        <v>7</v>
      </c>
      <c r="H1" s="7" t="s">
        <v>8</v>
      </c>
      <c r="I1" s="243" t="s">
        <v>21</v>
      </c>
      <c r="J1" s="7" t="s">
        <v>22</v>
      </c>
      <c r="K1" s="7" t="s">
        <v>23</v>
      </c>
    </row>
    <row r="2" spans="1:11" x14ac:dyDescent="0.3">
      <c r="A2" s="239" t="s">
        <v>43</v>
      </c>
      <c r="B2" s="240" t="s">
        <v>16</v>
      </c>
      <c r="C2" s="241" t="s">
        <v>55</v>
      </c>
      <c r="D2" s="241">
        <v>43896</v>
      </c>
      <c r="E2" s="240">
        <v>0.22500000000000001</v>
      </c>
      <c r="F2" s="240">
        <v>-1</v>
      </c>
      <c r="G2" s="240">
        <v>-2.5</v>
      </c>
      <c r="H2" s="240">
        <v>-115.75</v>
      </c>
      <c r="I2" s="240" t="s">
        <v>41</v>
      </c>
      <c r="J2" s="240" t="s">
        <v>41</v>
      </c>
      <c r="K2" s="240" t="s">
        <v>41</v>
      </c>
    </row>
    <row r="3" spans="1:11" x14ac:dyDescent="0.3">
      <c r="A3" s="239" t="s">
        <v>43</v>
      </c>
      <c r="B3" s="240" t="s">
        <v>37</v>
      </c>
      <c r="C3" s="241">
        <v>43896</v>
      </c>
      <c r="D3" s="241" t="s">
        <v>56</v>
      </c>
      <c r="E3" s="240">
        <v>0.21</v>
      </c>
      <c r="F3" s="240">
        <v>-1.5</v>
      </c>
      <c r="G3" s="240">
        <v>1</v>
      </c>
      <c r="H3" s="240">
        <v>-107.5</v>
      </c>
      <c r="I3" s="240" t="s">
        <v>41</v>
      </c>
      <c r="J3" s="240" t="s">
        <v>41</v>
      </c>
      <c r="K3" s="240" t="s">
        <v>41</v>
      </c>
    </row>
    <row r="4" spans="1:11" x14ac:dyDescent="0.3">
      <c r="A4" s="239" t="s">
        <v>43</v>
      </c>
      <c r="B4" s="240" t="s">
        <v>27</v>
      </c>
      <c r="C4" s="241" t="s">
        <v>56</v>
      </c>
      <c r="D4" s="241">
        <v>44083</v>
      </c>
      <c r="E4" s="240">
        <v>0.19500000000000001</v>
      </c>
      <c r="F4" s="240">
        <v>-2</v>
      </c>
      <c r="G4" s="240">
        <v>1.5</v>
      </c>
      <c r="H4" s="240">
        <v>-97</v>
      </c>
      <c r="I4" s="240" t="s">
        <v>41</v>
      </c>
      <c r="J4" s="240" t="s">
        <v>41</v>
      </c>
      <c r="K4" s="240" t="s">
        <v>41</v>
      </c>
    </row>
    <row r="5" spans="1:11" x14ac:dyDescent="0.3">
      <c r="A5" s="239" t="s">
        <v>43</v>
      </c>
      <c r="B5" s="240" t="s">
        <v>38</v>
      </c>
      <c r="C5" s="241">
        <v>44083</v>
      </c>
      <c r="D5" s="241" t="s">
        <v>57</v>
      </c>
      <c r="E5" s="240">
        <v>0.19</v>
      </c>
      <c r="F5" s="240">
        <v>-2.5</v>
      </c>
      <c r="G5" s="240">
        <v>1</v>
      </c>
      <c r="H5" s="240">
        <v>-91.5</v>
      </c>
      <c r="I5" s="240" t="s">
        <v>41</v>
      </c>
      <c r="J5" s="240" t="s">
        <v>41</v>
      </c>
      <c r="K5" s="240" t="s">
        <v>41</v>
      </c>
    </row>
    <row r="6" spans="1:11" x14ac:dyDescent="0.3">
      <c r="A6" s="239" t="s">
        <v>43</v>
      </c>
      <c r="B6" s="240" t="s">
        <v>11</v>
      </c>
      <c r="C6" s="241" t="s">
        <v>57</v>
      </c>
      <c r="D6" s="241">
        <v>44086</v>
      </c>
      <c r="E6" s="240">
        <v>0.19500000000000001</v>
      </c>
      <c r="F6" s="240">
        <v>-2</v>
      </c>
      <c r="G6" s="240">
        <v>1.5</v>
      </c>
      <c r="H6" s="240">
        <v>-82.5</v>
      </c>
      <c r="I6" s="240" t="s">
        <v>41</v>
      </c>
      <c r="J6" s="240" t="s">
        <v>41</v>
      </c>
      <c r="K6" s="240" t="s">
        <v>41</v>
      </c>
    </row>
    <row r="7" spans="1:11" x14ac:dyDescent="0.3">
      <c r="A7" s="239" t="s">
        <v>43</v>
      </c>
      <c r="B7" s="240" t="s">
        <v>13</v>
      </c>
      <c r="C7" s="241">
        <v>44174</v>
      </c>
      <c r="D7" s="241">
        <v>44216</v>
      </c>
      <c r="E7" s="240">
        <v>0.20499999999999999</v>
      </c>
      <c r="F7" s="240">
        <v>-2</v>
      </c>
      <c r="G7" s="240">
        <v>0.5</v>
      </c>
      <c r="H7" s="240">
        <v>-80</v>
      </c>
      <c r="I7" s="240" t="s">
        <v>41</v>
      </c>
      <c r="J7" s="240" t="s">
        <v>41</v>
      </c>
      <c r="K7" s="240" t="s">
        <v>41</v>
      </c>
    </row>
    <row r="8" spans="1:11" x14ac:dyDescent="0.3">
      <c r="A8" s="239" t="s">
        <v>43</v>
      </c>
      <c r="B8" s="240" t="s">
        <v>28</v>
      </c>
      <c r="C8" s="241">
        <v>44216</v>
      </c>
      <c r="D8" s="241">
        <v>44258</v>
      </c>
      <c r="E8" s="240">
        <v>0.215</v>
      </c>
      <c r="F8" s="240">
        <v>-2</v>
      </c>
      <c r="G8" s="240">
        <v>-0.5</v>
      </c>
      <c r="H8" s="240">
        <v>-76.5</v>
      </c>
      <c r="I8" s="240" t="s">
        <v>41</v>
      </c>
      <c r="J8" s="240" t="s">
        <v>41</v>
      </c>
      <c r="K8" s="240" t="s">
        <v>41</v>
      </c>
    </row>
    <row r="9" spans="1:11" x14ac:dyDescent="0.3">
      <c r="A9" s="239" t="s">
        <v>43</v>
      </c>
      <c r="B9" s="240" t="s">
        <v>15</v>
      </c>
      <c r="C9" s="241">
        <v>44258</v>
      </c>
      <c r="D9" s="241" t="s">
        <v>58</v>
      </c>
      <c r="E9" s="240">
        <v>0.22500000000000001</v>
      </c>
      <c r="F9" s="240">
        <v>-2</v>
      </c>
      <c r="G9" s="240">
        <v>-1.5</v>
      </c>
      <c r="H9" s="240">
        <v>-74</v>
      </c>
      <c r="I9" s="240" t="s">
        <v>41</v>
      </c>
      <c r="J9" s="240" t="s">
        <v>41</v>
      </c>
      <c r="K9" s="240" t="s">
        <v>41</v>
      </c>
    </row>
    <row r="10" spans="1:11" x14ac:dyDescent="0.3">
      <c r="A10" s="239" t="s">
        <v>43</v>
      </c>
      <c r="B10" s="240" t="s">
        <v>16</v>
      </c>
      <c r="C10" s="241" t="s">
        <v>58</v>
      </c>
      <c r="D10" s="241" t="s">
        <v>59</v>
      </c>
      <c r="E10" s="240">
        <v>0.23499999999999999</v>
      </c>
      <c r="F10" s="240">
        <v>-2</v>
      </c>
      <c r="G10" s="240">
        <v>-2.5</v>
      </c>
      <c r="H10" s="240" t="s">
        <v>41</v>
      </c>
      <c r="I10" s="240" t="s">
        <v>41</v>
      </c>
      <c r="J10" s="240" t="s">
        <v>41</v>
      </c>
      <c r="K10" s="240" t="s">
        <v>41</v>
      </c>
    </row>
    <row r="11" spans="1:11" x14ac:dyDescent="0.3">
      <c r="A11" s="239" t="s">
        <v>43</v>
      </c>
      <c r="B11" s="240" t="s">
        <v>17</v>
      </c>
      <c r="C11" s="241" t="s">
        <v>59</v>
      </c>
      <c r="D11" s="241" t="s">
        <v>60</v>
      </c>
      <c r="E11" s="240">
        <v>0.24</v>
      </c>
      <c r="F11" s="240">
        <v>-2.5</v>
      </c>
      <c r="G11" s="240">
        <v>-4</v>
      </c>
      <c r="H11" s="240" t="s">
        <v>41</v>
      </c>
      <c r="I11" s="240" t="s">
        <v>41</v>
      </c>
      <c r="J11" s="240" t="s">
        <v>41</v>
      </c>
      <c r="K11" s="240" t="s">
        <v>41</v>
      </c>
    </row>
    <row r="12" spans="1:11" x14ac:dyDescent="0.3">
      <c r="A12" s="239" t="s">
        <v>43</v>
      </c>
      <c r="B12" s="240" t="s">
        <v>27</v>
      </c>
      <c r="C12" s="241" t="s">
        <v>60</v>
      </c>
      <c r="D12" s="241" t="s">
        <v>49</v>
      </c>
      <c r="E12" s="240">
        <v>0.25</v>
      </c>
      <c r="F12" s="240">
        <v>-1.5</v>
      </c>
      <c r="G12" s="240" t="s">
        <v>41</v>
      </c>
      <c r="H12" s="240" t="s">
        <v>41</v>
      </c>
      <c r="I12" s="240" t="s">
        <v>41</v>
      </c>
      <c r="J12" s="240" t="s">
        <v>41</v>
      </c>
      <c r="K12" s="240" t="s">
        <v>41</v>
      </c>
    </row>
    <row r="13" spans="1:11" x14ac:dyDescent="0.3">
      <c r="A13" s="239" t="s">
        <v>89</v>
      </c>
      <c r="B13" s="240" t="s">
        <v>15</v>
      </c>
      <c r="C13" s="241">
        <v>45358</v>
      </c>
      <c r="D13" s="241">
        <v>45393</v>
      </c>
      <c r="E13" s="240">
        <v>5.0267728508167302</v>
      </c>
      <c r="F13" s="240">
        <v>-1.3227149183269837</v>
      </c>
      <c r="G13" s="240">
        <v>-1.3227149183269837</v>
      </c>
      <c r="H13" s="240">
        <v>-5.2908596733079349E-2</v>
      </c>
      <c r="I13" s="240">
        <v>-0.32271491832700505</v>
      </c>
      <c r="J13" s="240" t="s">
        <v>41</v>
      </c>
      <c r="K13" s="240" t="s">
        <v>41</v>
      </c>
    </row>
    <row r="14" spans="1:11" x14ac:dyDescent="0.3">
      <c r="A14" s="239" t="s">
        <v>89</v>
      </c>
      <c r="B14" s="240" t="s">
        <v>16</v>
      </c>
      <c r="C14" s="241">
        <v>45393</v>
      </c>
      <c r="D14" s="241">
        <v>45449</v>
      </c>
      <c r="E14" s="240">
        <v>5.00475088410772</v>
      </c>
      <c r="F14" s="240">
        <v>-2.2021966709010243</v>
      </c>
      <c r="G14" s="240">
        <v>-3.5249115892280081</v>
      </c>
      <c r="H14" s="240">
        <v>-0.14099646356912032</v>
      </c>
      <c r="I14" s="240">
        <v>0.47508841077199548</v>
      </c>
      <c r="J14" s="240" t="s">
        <v>41</v>
      </c>
      <c r="K14" s="240" t="s">
        <v>41</v>
      </c>
    </row>
    <row r="15" spans="1:11" x14ac:dyDescent="0.3">
      <c r="A15" s="239" t="s">
        <v>89</v>
      </c>
      <c r="B15" s="240" t="s">
        <v>18</v>
      </c>
      <c r="C15" s="241">
        <v>45449</v>
      </c>
      <c r="D15" s="241">
        <v>45498</v>
      </c>
      <c r="E15" s="240">
        <v>4.8559658013164002</v>
      </c>
      <c r="F15" s="240">
        <v>-14.878508279131974</v>
      </c>
      <c r="G15" s="240">
        <v>-18.403419868359983</v>
      </c>
      <c r="H15" s="240">
        <v>-0.7361367947343993</v>
      </c>
      <c r="I15" s="240">
        <v>-1.4034198683599897</v>
      </c>
      <c r="J15" s="240" t="s">
        <v>41</v>
      </c>
      <c r="K15" s="240" t="s">
        <v>41</v>
      </c>
    </row>
    <row r="16" spans="1:11" x14ac:dyDescent="0.3">
      <c r="A16" s="239" t="s">
        <v>89</v>
      </c>
      <c r="B16" s="240" t="s">
        <v>19</v>
      </c>
      <c r="C16" s="241">
        <v>45498</v>
      </c>
      <c r="D16" s="241">
        <v>45540</v>
      </c>
      <c r="E16" s="240">
        <v>4.7328621993334599</v>
      </c>
      <c r="F16" s="240">
        <v>-12.310360198294035</v>
      </c>
      <c r="G16" s="240">
        <v>-30.713780066654017</v>
      </c>
      <c r="H16" s="240">
        <v>-1.2285512026661607</v>
      </c>
      <c r="I16" s="240">
        <v>0.7862199333460218</v>
      </c>
      <c r="J16" s="240" t="s">
        <v>41</v>
      </c>
      <c r="K16" s="240" t="s">
        <v>41</v>
      </c>
    </row>
    <row r="17" spans="1:20" x14ac:dyDescent="0.3">
      <c r="A17" s="239" t="s">
        <v>89</v>
      </c>
      <c r="B17" s="240" t="s">
        <v>10</v>
      </c>
      <c r="C17" s="241">
        <v>45540</v>
      </c>
      <c r="D17" s="241">
        <v>45589</v>
      </c>
      <c r="E17" s="240">
        <v>4.6046949353256696</v>
      </c>
      <c r="F17" s="240">
        <v>-12.816726400779022</v>
      </c>
      <c r="G17" s="240">
        <v>-43.530506467433042</v>
      </c>
      <c r="H17" s="240">
        <v>-1.7412202586973218</v>
      </c>
      <c r="I17" s="240">
        <v>1.7194935325669292</v>
      </c>
      <c r="J17" s="240" t="s">
        <v>41</v>
      </c>
      <c r="K17" s="240" t="s">
        <v>41</v>
      </c>
    </row>
    <row r="18" spans="1:20" x14ac:dyDescent="0.3">
      <c r="A18" s="239" t="s">
        <v>89</v>
      </c>
      <c r="B18" s="240" t="s">
        <v>11</v>
      </c>
      <c r="C18" s="241">
        <v>45589</v>
      </c>
      <c r="D18" s="241">
        <v>45638</v>
      </c>
      <c r="E18" s="240">
        <v>4.4575336844514499</v>
      </c>
      <c r="F18" s="240">
        <v>-14.716125087421972</v>
      </c>
      <c r="G18" s="240">
        <v>-58.246631554855014</v>
      </c>
      <c r="H18" s="240">
        <v>-2.3298652621942004</v>
      </c>
      <c r="I18" s="240">
        <v>0.75336844514497514</v>
      </c>
      <c r="J18" s="240" t="s">
        <v>41</v>
      </c>
      <c r="K18" s="240" t="s">
        <v>41</v>
      </c>
    </row>
    <row r="19" spans="1:20" x14ac:dyDescent="0.3">
      <c r="A19" s="239" t="s">
        <v>89</v>
      </c>
      <c r="B19" s="240" t="s">
        <v>13</v>
      </c>
      <c r="C19" s="241">
        <v>45638</v>
      </c>
      <c r="D19" s="241">
        <v>45687</v>
      </c>
      <c r="E19" s="240">
        <v>4.3422423492930697</v>
      </c>
      <c r="F19" s="240">
        <v>-11.529133515838019</v>
      </c>
      <c r="G19" s="240">
        <v>-69.775765070693026</v>
      </c>
      <c r="H19" s="240">
        <v>-2.7910306028277212</v>
      </c>
      <c r="I19" s="240">
        <v>4.2242349293069914</v>
      </c>
      <c r="J19" s="240" t="s">
        <v>41</v>
      </c>
      <c r="K19" s="240" t="s">
        <v>41</v>
      </c>
    </row>
    <row r="20" spans="1:20" x14ac:dyDescent="0.3">
      <c r="A20" s="239" t="s">
        <v>89</v>
      </c>
      <c r="B20" s="240" t="s">
        <v>28</v>
      </c>
      <c r="C20" s="241">
        <v>45687</v>
      </c>
      <c r="D20" s="241">
        <v>45721</v>
      </c>
      <c r="E20" s="240">
        <v>4.1718573839849897</v>
      </c>
      <c r="F20" s="240">
        <v>-17.038496530808001</v>
      </c>
      <c r="G20" s="240">
        <v>-86.81426160150103</v>
      </c>
      <c r="H20" s="240">
        <v>-3.4725704640600412</v>
      </c>
      <c r="I20" s="240">
        <v>2.1857383984989376</v>
      </c>
      <c r="J20" s="240" t="s">
        <v>41</v>
      </c>
      <c r="K20" s="240" t="s">
        <v>41</v>
      </c>
    </row>
    <row r="21" spans="1:20" x14ac:dyDescent="0.3">
      <c r="A21" s="239" t="s">
        <v>89</v>
      </c>
      <c r="B21" s="240" t="s">
        <v>15</v>
      </c>
      <c r="C21" s="241">
        <v>45721</v>
      </c>
      <c r="D21" s="241">
        <v>45758</v>
      </c>
      <c r="E21" s="240">
        <v>4.0580343408672697</v>
      </c>
      <c r="F21" s="240">
        <v>-11.382304311772007</v>
      </c>
      <c r="G21" s="240">
        <v>-98.196565913273034</v>
      </c>
      <c r="H21" s="240">
        <v>-3.9278626365309215</v>
      </c>
      <c r="I21" s="240">
        <v>1.5534340867269236</v>
      </c>
      <c r="J21" s="240" t="s">
        <v>41</v>
      </c>
      <c r="K21" s="240" t="s">
        <v>41</v>
      </c>
    </row>
    <row r="22" spans="1:20" x14ac:dyDescent="0.3">
      <c r="A22" s="239" t="s">
        <v>89</v>
      </c>
      <c r="B22" s="240"/>
      <c r="C22" s="241"/>
      <c r="D22" s="241"/>
      <c r="E22" s="240"/>
      <c r="F22" s="240"/>
      <c r="G22" s="240"/>
      <c r="H22" s="240"/>
      <c r="I22" s="240">
        <v>-401</v>
      </c>
      <c r="J22" s="240" t="s">
        <v>41</v>
      </c>
      <c r="K22" s="240" t="s">
        <v>41</v>
      </c>
    </row>
    <row r="23" spans="1:20" x14ac:dyDescent="0.3">
      <c r="A23" s="239" t="s">
        <v>89</v>
      </c>
      <c r="B23" s="240"/>
      <c r="C23" s="241"/>
      <c r="D23" s="241"/>
      <c r="E23" s="240"/>
      <c r="F23" s="240"/>
      <c r="G23" s="240"/>
      <c r="H23" s="240"/>
      <c r="I23" s="240">
        <v>-401</v>
      </c>
      <c r="J23" s="240" t="s">
        <v>41</v>
      </c>
      <c r="K23" s="240" t="s">
        <v>41</v>
      </c>
    </row>
    <row r="24" spans="1:20" x14ac:dyDescent="0.3">
      <c r="A24" s="239" t="s">
        <v>89</v>
      </c>
      <c r="B24" s="240"/>
      <c r="C24" s="241"/>
      <c r="D24" s="241"/>
      <c r="E24" s="240"/>
      <c r="F24" s="240"/>
      <c r="G24" s="240"/>
      <c r="H24" s="240"/>
      <c r="I24" s="240">
        <v>-401</v>
      </c>
      <c r="J24" s="240" t="s">
        <v>41</v>
      </c>
      <c r="K24" s="240" t="s">
        <v>41</v>
      </c>
    </row>
    <row r="25" spans="1:20" x14ac:dyDescent="0.3">
      <c r="A25" s="239" t="s">
        <v>120</v>
      </c>
      <c r="B25" s="283" t="s">
        <v>28</v>
      </c>
      <c r="C25" s="284" t="s">
        <v>112</v>
      </c>
      <c r="D25" s="284" t="s">
        <v>98</v>
      </c>
      <c r="E25" s="283">
        <v>2.2400000000000002</v>
      </c>
      <c r="F25" s="283">
        <v>-2.4999999999999911</v>
      </c>
      <c r="G25" s="283">
        <v>-2.4999999999999911</v>
      </c>
      <c r="H25" s="283">
        <v>-9.9999999999999645E-2</v>
      </c>
      <c r="I25" s="283">
        <v>0</v>
      </c>
      <c r="J25" s="283">
        <v>-0.49999999999998934</v>
      </c>
      <c r="K25" s="283">
        <v>1.0000000000000231</v>
      </c>
      <c r="R25" s="10"/>
      <c r="T25" s="10"/>
    </row>
    <row r="26" spans="1:20" x14ac:dyDescent="0.3">
      <c r="A26" s="239" t="s">
        <v>120</v>
      </c>
      <c r="B26" s="283" t="s">
        <v>15</v>
      </c>
      <c r="C26" s="284" t="s">
        <v>98</v>
      </c>
      <c r="D26" s="284" t="s">
        <v>100</v>
      </c>
      <c r="E26" s="283">
        <v>2.2475000000000001</v>
      </c>
      <c r="F26" s="283">
        <v>0.74999999999998401</v>
      </c>
      <c r="G26" s="283">
        <v>-1.7500000000000071</v>
      </c>
      <c r="H26" s="283">
        <v>-7.0000000000000284E-2</v>
      </c>
      <c r="I26" s="283">
        <v>-1.0499999999999954</v>
      </c>
      <c r="J26" s="283">
        <v>-2.5500000000000078</v>
      </c>
      <c r="K26" s="283">
        <v>3.7500000000000089</v>
      </c>
      <c r="R26" s="10"/>
      <c r="T26" s="10"/>
    </row>
    <row r="27" spans="1:20" x14ac:dyDescent="0.3">
      <c r="A27" s="239" t="s">
        <v>120</v>
      </c>
      <c r="B27" s="283" t="s">
        <v>16</v>
      </c>
      <c r="C27" s="284" t="s">
        <v>100</v>
      </c>
      <c r="D27" s="284" t="s">
        <v>113</v>
      </c>
      <c r="E27" s="283">
        <v>2.2574999999999998</v>
      </c>
      <c r="F27" s="283">
        <v>0.99999999999997868</v>
      </c>
      <c r="G27" s="283">
        <v>-0.75000000000002842</v>
      </c>
      <c r="H27" s="283">
        <v>-3.0000000000001137E-2</v>
      </c>
      <c r="I27" s="283">
        <v>-2.0500000000000185</v>
      </c>
      <c r="J27" s="283">
        <v>-5.2500000000000213</v>
      </c>
      <c r="K27" s="283">
        <v>6.549999999999967</v>
      </c>
      <c r="R27" s="10"/>
      <c r="T27" s="10"/>
    </row>
    <row r="28" spans="1:20" x14ac:dyDescent="0.3">
      <c r="A28" s="239" t="s">
        <v>120</v>
      </c>
      <c r="B28" s="283" t="s">
        <v>18</v>
      </c>
      <c r="C28" s="284" t="s">
        <v>113</v>
      </c>
      <c r="D28" s="284" t="s">
        <v>114</v>
      </c>
      <c r="E28" s="283">
        <v>2.2749999999999999</v>
      </c>
      <c r="F28" s="283">
        <v>1.7500000000000071</v>
      </c>
      <c r="G28" s="283">
        <v>0.99999999999997868</v>
      </c>
      <c r="H28" s="283">
        <v>3.9999999999999147E-2</v>
      </c>
      <c r="I28" s="283">
        <v>-2.3000000000000131</v>
      </c>
      <c r="J28" s="283">
        <v>-7.2999999999999954</v>
      </c>
      <c r="K28" s="283">
        <v>8.4999999999999964</v>
      </c>
      <c r="R28" s="10"/>
      <c r="T28" s="10"/>
    </row>
    <row r="29" spans="1:20" x14ac:dyDescent="0.3">
      <c r="A29" s="239" t="s">
        <v>120</v>
      </c>
      <c r="B29" s="283" t="s">
        <v>19</v>
      </c>
      <c r="C29" s="284" t="s">
        <v>114</v>
      </c>
      <c r="D29" s="284" t="s">
        <v>115</v>
      </c>
      <c r="E29" s="283">
        <v>2.2974999999999999</v>
      </c>
      <c r="F29" s="283">
        <v>2.2499999999999964</v>
      </c>
      <c r="G29" s="283">
        <v>3.2499999999999751</v>
      </c>
      <c r="H29" s="283">
        <v>0.12999999999999901</v>
      </c>
      <c r="I29" s="283">
        <v>-2.5500000000000078</v>
      </c>
      <c r="J29" s="283">
        <v>-9.7500000000000142</v>
      </c>
      <c r="K29" s="283">
        <v>10.14999999999997</v>
      </c>
      <c r="R29" s="10"/>
      <c r="T29" s="10"/>
    </row>
    <row r="30" spans="1:20" x14ac:dyDescent="0.3">
      <c r="A30" s="239" t="s">
        <v>120</v>
      </c>
      <c r="B30" s="283" t="s">
        <v>10</v>
      </c>
      <c r="C30" s="284" t="s">
        <v>115</v>
      </c>
      <c r="D30" s="284" t="s">
        <v>116</v>
      </c>
      <c r="E30" s="283">
        <v>2.3450000000000002</v>
      </c>
      <c r="F30" s="283">
        <v>4.750000000000032</v>
      </c>
      <c r="G30" s="283">
        <v>8.0000000000000071</v>
      </c>
      <c r="H30" s="283">
        <v>0.32000000000000028</v>
      </c>
      <c r="I30" s="283">
        <v>-3.7999999999999812</v>
      </c>
      <c r="J30" s="283">
        <v>-11.499999999999977</v>
      </c>
      <c r="K30" s="283">
        <v>12.600000000000033</v>
      </c>
      <c r="R30" s="10"/>
      <c r="T30" s="10"/>
    </row>
    <row r="31" spans="1:20" x14ac:dyDescent="0.3">
      <c r="A31" s="239" t="s">
        <v>120</v>
      </c>
      <c r="B31" s="283" t="s">
        <v>11</v>
      </c>
      <c r="C31" s="284" t="s">
        <v>116</v>
      </c>
      <c r="D31" s="284" t="s">
        <v>117</v>
      </c>
      <c r="E31" s="283">
        <v>2.4325000000000001</v>
      </c>
      <c r="F31" s="283">
        <v>8.7499999999999911</v>
      </c>
      <c r="G31" s="283">
        <v>16.75</v>
      </c>
      <c r="H31" s="283">
        <v>0.67</v>
      </c>
      <c r="I31" s="283">
        <v>-5.0499999999999989</v>
      </c>
      <c r="J31" s="283">
        <v>-11.050000000000004</v>
      </c>
      <c r="K31" s="283">
        <v>17.650000000000034</v>
      </c>
      <c r="R31" s="10"/>
      <c r="T31" s="10"/>
    </row>
    <row r="32" spans="1:20" x14ac:dyDescent="0.3">
      <c r="A32" s="239" t="s">
        <v>120</v>
      </c>
      <c r="B32" s="283" t="s">
        <v>13</v>
      </c>
      <c r="C32" s="284" t="s">
        <v>117</v>
      </c>
      <c r="D32" s="241" t="s">
        <v>117</v>
      </c>
      <c r="E32" s="283">
        <v>2.5649999999999999</v>
      </c>
      <c r="F32" s="283">
        <v>13.249999999999984</v>
      </c>
      <c r="G32" s="283">
        <v>29.999999999999982</v>
      </c>
      <c r="H32" s="283">
        <v>1.1999999999999993</v>
      </c>
      <c r="I32" s="283">
        <v>-5.8000000000000274</v>
      </c>
      <c r="J32" s="283">
        <v>-7.7999999999999847</v>
      </c>
      <c r="K32" s="283">
        <v>25.70000000000001</v>
      </c>
      <c r="R32" s="10"/>
    </row>
    <row r="33" spans="1:11" x14ac:dyDescent="0.3">
      <c r="A33" s="239" t="s">
        <v>120</v>
      </c>
      <c r="B33" s="283"/>
      <c r="C33" s="284"/>
      <c r="D33" s="284"/>
      <c r="E33" s="283"/>
      <c r="F33" s="283"/>
      <c r="G33" s="283"/>
      <c r="H33" s="283"/>
      <c r="I33" s="283"/>
      <c r="J33" s="283">
        <v>0</v>
      </c>
      <c r="K33" s="283">
        <v>0</v>
      </c>
    </row>
    <row r="34" spans="1:11" x14ac:dyDescent="0.3">
      <c r="A34" s="239" t="s">
        <v>120</v>
      </c>
      <c r="B34" s="283"/>
      <c r="C34" s="284"/>
      <c r="D34" s="284"/>
      <c r="E34" s="283"/>
      <c r="F34" s="283"/>
      <c r="G34" s="283"/>
      <c r="H34" s="283"/>
      <c r="I34" s="283"/>
      <c r="J34" s="283">
        <v>0</v>
      </c>
      <c r="K34" s="283">
        <v>0</v>
      </c>
    </row>
    <row r="35" spans="1:11" x14ac:dyDescent="0.3">
      <c r="A35" s="239" t="s">
        <v>120</v>
      </c>
      <c r="B35" s="283"/>
      <c r="C35" s="284"/>
      <c r="D35" s="284"/>
      <c r="E35" s="283"/>
      <c r="F35" s="283"/>
      <c r="G35" s="283"/>
      <c r="H35" s="283"/>
      <c r="I35" s="283"/>
      <c r="J35" s="283">
        <v>0</v>
      </c>
      <c r="K35" s="283">
        <v>0</v>
      </c>
    </row>
    <row r="36" spans="1:11" x14ac:dyDescent="0.3">
      <c r="A36" s="239" t="s">
        <v>120</v>
      </c>
      <c r="B36" s="283"/>
      <c r="C36" s="284"/>
      <c r="D36" s="284"/>
      <c r="E36" s="283"/>
      <c r="F36" s="283"/>
      <c r="G36" s="283"/>
      <c r="H36" s="283"/>
      <c r="I36" s="283"/>
      <c r="J36" s="283">
        <v>0</v>
      </c>
      <c r="K36" s="283">
        <v>0</v>
      </c>
    </row>
    <row r="37" spans="1:11" x14ac:dyDescent="0.3">
      <c r="A37" s="239">
        <v>46192</v>
      </c>
      <c r="B37" s="240" t="s">
        <v>19</v>
      </c>
      <c r="C37" s="241" t="s">
        <v>114</v>
      </c>
      <c r="D37" s="241" t="s">
        <v>115</v>
      </c>
      <c r="E37" s="240">
        <v>2.2799999999999998</v>
      </c>
      <c r="F37" s="240">
        <v>-2.0000000000000018</v>
      </c>
      <c r="G37" s="240">
        <v>-2.0000000000000018</v>
      </c>
      <c r="H37" s="240">
        <v>-8.0000000000000071E-2</v>
      </c>
      <c r="I37" s="240">
        <v>0.24999999999999467</v>
      </c>
      <c r="J37" s="240">
        <v>0.99999999999997868</v>
      </c>
      <c r="K37" s="240">
        <v>-4.0000000000000036</v>
      </c>
    </row>
    <row r="38" spans="1:11" x14ac:dyDescent="0.3">
      <c r="A38" s="239">
        <v>46192</v>
      </c>
      <c r="B38" s="240" t="s">
        <v>10</v>
      </c>
      <c r="C38" s="241" t="s">
        <v>115</v>
      </c>
      <c r="D38" s="241" t="s">
        <v>116</v>
      </c>
      <c r="E38" s="240">
        <v>2.3075000000000001</v>
      </c>
      <c r="F38" s="240">
        <v>2.7500000000000302</v>
      </c>
      <c r="G38" s="240">
        <v>0.75000000000002842</v>
      </c>
      <c r="H38" s="240">
        <v>3.0000000000001137E-2</v>
      </c>
      <c r="I38" s="240">
        <v>0.49999999999998934</v>
      </c>
      <c r="J38" s="240">
        <v>0.24999999999999467</v>
      </c>
      <c r="K38" s="240">
        <v>-15.249999999999986</v>
      </c>
    </row>
    <row r="39" spans="1:11" x14ac:dyDescent="0.3">
      <c r="A39" s="239">
        <v>46192</v>
      </c>
      <c r="B39" s="240" t="s">
        <v>11</v>
      </c>
      <c r="C39" s="241" t="s">
        <v>116</v>
      </c>
      <c r="D39" s="241" t="s">
        <v>117</v>
      </c>
      <c r="E39" s="240">
        <v>2.3675000000000002</v>
      </c>
      <c r="F39" s="240">
        <v>6.0000000000000053</v>
      </c>
      <c r="G39" s="240">
        <v>6.7500000000000338</v>
      </c>
      <c r="H39" s="240">
        <v>0.27000000000000135</v>
      </c>
      <c r="I39" s="240">
        <v>-0.99999999999997868</v>
      </c>
      <c r="J39" s="240">
        <v>0</v>
      </c>
      <c r="K39" s="240">
        <v>-25.249999999999993</v>
      </c>
    </row>
    <row r="40" spans="1:11" x14ac:dyDescent="0.3">
      <c r="A40" s="239">
        <v>46192</v>
      </c>
      <c r="B40" s="240" t="s">
        <v>13</v>
      </c>
      <c r="C40" s="241" t="s">
        <v>117</v>
      </c>
      <c r="D40" s="241">
        <v>46415</v>
      </c>
      <c r="E40" s="240">
        <v>2.4550000000000001</v>
      </c>
      <c r="F40" s="240">
        <v>8.7499999999999911</v>
      </c>
      <c r="G40" s="240">
        <v>15.500000000000025</v>
      </c>
      <c r="H40" s="240">
        <v>0.62000000000000099</v>
      </c>
      <c r="I40" s="240">
        <v>-0.99999999999997868</v>
      </c>
      <c r="J40" s="240">
        <v>-0.24999999999999467</v>
      </c>
      <c r="K40" s="240" t="s">
        <v>41</v>
      </c>
    </row>
    <row r="41" spans="1:11" x14ac:dyDescent="0.3">
      <c r="A41" s="239">
        <v>46192</v>
      </c>
      <c r="B41" s="240" t="s">
        <v>28</v>
      </c>
      <c r="C41" s="241">
        <v>46415</v>
      </c>
      <c r="D41" s="241">
        <v>46464</v>
      </c>
      <c r="E41" s="240">
        <v>2.5474999999999999</v>
      </c>
      <c r="F41" s="240">
        <v>9.2499999999999805</v>
      </c>
      <c r="G41" s="240">
        <v>24.750000000000007</v>
      </c>
      <c r="H41" s="240">
        <v>0.99000000000000032</v>
      </c>
      <c r="I41" s="240">
        <v>-1.0000000000000231</v>
      </c>
      <c r="J41" s="240">
        <v>-0.50000000000003375</v>
      </c>
      <c r="K41" s="240" t="s">
        <v>41</v>
      </c>
    </row>
    <row r="42" spans="1:11" x14ac:dyDescent="0.3">
      <c r="A42" s="239">
        <v>46192</v>
      </c>
      <c r="B42" s="240" t="s">
        <v>15</v>
      </c>
      <c r="C42" s="241">
        <v>46464</v>
      </c>
      <c r="D42" s="241">
        <v>46506</v>
      </c>
      <c r="E42" s="240">
        <v>2.62</v>
      </c>
      <c r="F42" s="240">
        <v>7.2500000000000231</v>
      </c>
      <c r="G42" s="240">
        <v>32.000000000000028</v>
      </c>
      <c r="H42" s="240">
        <v>1.2800000000000011</v>
      </c>
      <c r="I42" s="240">
        <v>-1.2499999999999734</v>
      </c>
      <c r="J42" s="240">
        <v>-0.49999999999998934</v>
      </c>
      <c r="K42" s="240" t="s">
        <v>41</v>
      </c>
    </row>
    <row r="43" spans="1:11" x14ac:dyDescent="0.3">
      <c r="A43" s="239">
        <v>46192</v>
      </c>
      <c r="B43" s="240" t="s">
        <v>16</v>
      </c>
      <c r="C43" s="241">
        <v>46506</v>
      </c>
      <c r="D43" s="241">
        <v>46548</v>
      </c>
      <c r="E43" s="240">
        <v>2.6924999999999999</v>
      </c>
      <c r="F43" s="240">
        <v>7.2499999999999787</v>
      </c>
      <c r="G43" s="240">
        <v>39.250000000000007</v>
      </c>
      <c r="H43" s="240">
        <v>1.5700000000000003</v>
      </c>
      <c r="I43" s="240">
        <v>-1.5000000000000124</v>
      </c>
      <c r="J43" s="240">
        <v>-0.49999999999998934</v>
      </c>
      <c r="K43" s="240" t="s">
        <v>41</v>
      </c>
    </row>
    <row r="44" spans="1:11" x14ac:dyDescent="0.3">
      <c r="A44" s="239">
        <v>46192</v>
      </c>
      <c r="B44" s="240" t="s">
        <v>28</v>
      </c>
      <c r="C44" s="241"/>
      <c r="D44" s="241"/>
      <c r="E44" s="240">
        <v>2.7450000000000001</v>
      </c>
      <c r="F44" s="240">
        <v>5.2500000000000213</v>
      </c>
      <c r="G44" s="240">
        <v>44.500000000000028</v>
      </c>
      <c r="H44" s="240">
        <v>1.7800000000000011</v>
      </c>
      <c r="I44" s="240">
        <v>-1.2499999999999734</v>
      </c>
      <c r="J44" s="240" t="s">
        <v>41</v>
      </c>
      <c r="K44" s="240">
        <v>-0.99999999999997868</v>
      </c>
    </row>
    <row r="45" spans="1:11" x14ac:dyDescent="0.3">
      <c r="A45" s="239">
        <v>46192</v>
      </c>
      <c r="B45" s="240"/>
      <c r="C45" s="241"/>
      <c r="D45" s="241"/>
      <c r="E45" s="240"/>
      <c r="F45" s="240"/>
      <c r="G45" s="240"/>
      <c r="H45" s="240"/>
      <c r="I45" s="240">
        <v>-275.75</v>
      </c>
      <c r="J45" s="240" t="s">
        <v>41</v>
      </c>
      <c r="K45" s="240">
        <v>-275.5</v>
      </c>
    </row>
    <row r="46" spans="1:11" x14ac:dyDescent="0.3">
      <c r="A46" s="239">
        <v>46192</v>
      </c>
      <c r="B46" s="240"/>
      <c r="C46" s="241"/>
      <c r="D46" s="241"/>
      <c r="E46" s="240"/>
      <c r="F46" s="240"/>
      <c r="G46" s="240"/>
      <c r="H46" s="240"/>
      <c r="I46" s="240">
        <v>-275.75</v>
      </c>
      <c r="J46" s="240" t="s">
        <v>41</v>
      </c>
      <c r="K46" s="240">
        <v>-275.5</v>
      </c>
    </row>
    <row r="47" spans="1:11" x14ac:dyDescent="0.3">
      <c r="A47" s="239">
        <v>46192</v>
      </c>
      <c r="B47" s="240"/>
      <c r="C47" s="241"/>
      <c r="D47" s="241"/>
      <c r="E47" s="240"/>
      <c r="F47" s="240"/>
      <c r="G47" s="240"/>
      <c r="H47" s="240"/>
      <c r="I47" s="240">
        <v>-275.75</v>
      </c>
      <c r="J47" s="240" t="s">
        <v>41</v>
      </c>
      <c r="K47" s="240">
        <v>-275.5</v>
      </c>
    </row>
    <row r="48" spans="1:11" x14ac:dyDescent="0.3">
      <c r="A48" s="239">
        <v>46192</v>
      </c>
      <c r="B48" s="240"/>
      <c r="C48" s="241"/>
      <c r="D48" s="241"/>
      <c r="E48" s="240"/>
      <c r="F48" s="240"/>
      <c r="G48" s="240"/>
      <c r="H48" s="240"/>
      <c r="I48" s="240">
        <v>-275.75</v>
      </c>
      <c r="J48" s="240" t="s">
        <v>41</v>
      </c>
      <c r="K48" s="240">
        <v>-275.5</v>
      </c>
    </row>
    <row r="49" spans="1:11" x14ac:dyDescent="0.3">
      <c r="A49" s="322">
        <v>46195</v>
      </c>
      <c r="B49" s="323" t="s">
        <v>19</v>
      </c>
      <c r="C49" s="324" t="s">
        <v>114</v>
      </c>
      <c r="D49" s="324" t="s">
        <v>115</v>
      </c>
      <c r="E49" s="323">
        <v>2.2829999999999999</v>
      </c>
      <c r="F49" s="323">
        <v>-4.7000000000000153</v>
      </c>
      <c r="G49" s="323">
        <v>-4.7000000000000153</v>
      </c>
      <c r="H49" s="323">
        <f>((G49)/25)</f>
        <v>-0.18800000000000061</v>
      </c>
      <c r="I49" s="323">
        <v>0.30000000000001137</v>
      </c>
      <c r="J49" s="323">
        <v>0.50000000000003375</v>
      </c>
      <c r="K49" s="323">
        <v>-1.7499999999999627</v>
      </c>
    </row>
    <row r="50" spans="1:11" x14ac:dyDescent="0.3">
      <c r="A50" s="322">
        <v>46195</v>
      </c>
      <c r="B50" s="323" t="s">
        <v>10</v>
      </c>
      <c r="C50" s="324" t="s">
        <v>115</v>
      </c>
      <c r="D50" s="324" t="s">
        <v>116</v>
      </c>
      <c r="E50" s="323">
        <v>2.3079999999999998</v>
      </c>
      <c r="F50" s="323">
        <v>2.4999999999999911</v>
      </c>
      <c r="G50" s="323">
        <v>-2.2000000000000242</v>
      </c>
      <c r="H50" s="323">
        <f t="shared" ref="H50:H56" si="0">((G50)/25)</f>
        <v>-8.8000000000000966E-2</v>
      </c>
      <c r="I50" s="323">
        <v>4.9999999999972289E-2</v>
      </c>
      <c r="J50" s="323">
        <v>0.49999999999998934</v>
      </c>
      <c r="K50" s="323">
        <v>-8.9999999999999858</v>
      </c>
    </row>
    <row r="51" spans="1:11" x14ac:dyDescent="0.3">
      <c r="A51" s="322">
        <v>46195</v>
      </c>
      <c r="B51" s="323" t="s">
        <v>11</v>
      </c>
      <c r="C51" s="324" t="s">
        <v>116</v>
      </c>
      <c r="D51" s="324" t="s">
        <v>117</v>
      </c>
      <c r="E51" s="323">
        <v>2.3650000000000002</v>
      </c>
      <c r="F51" s="323">
        <v>5.7000000000000384</v>
      </c>
      <c r="G51" s="323">
        <v>3.5000000000000142</v>
      </c>
      <c r="H51" s="323">
        <f t="shared" si="0"/>
        <v>0.14000000000000057</v>
      </c>
      <c r="I51" s="323">
        <v>-0.24999999999999467</v>
      </c>
      <c r="J51" s="323">
        <v>0</v>
      </c>
      <c r="K51" s="323">
        <v>-14.249999999999963</v>
      </c>
    </row>
    <row r="52" spans="1:11" x14ac:dyDescent="0.3">
      <c r="A52" s="322">
        <v>46195</v>
      </c>
      <c r="B52" s="323" t="s">
        <v>13</v>
      </c>
      <c r="C52" s="324" t="s">
        <v>117</v>
      </c>
      <c r="D52" s="324">
        <v>46415</v>
      </c>
      <c r="E52" s="323">
        <v>2.46</v>
      </c>
      <c r="F52" s="323">
        <v>9.4999999999999751</v>
      </c>
      <c r="G52" s="323">
        <v>12.999999999999989</v>
      </c>
      <c r="H52" s="323">
        <f t="shared" si="0"/>
        <v>0.51999999999999957</v>
      </c>
      <c r="I52" s="323">
        <v>0.49999999999998934</v>
      </c>
      <c r="J52" s="323">
        <v>1.7500000000000071</v>
      </c>
      <c r="K52" s="323" t="s">
        <v>41</v>
      </c>
    </row>
    <row r="53" spans="1:11" x14ac:dyDescent="0.3">
      <c r="A53" s="322">
        <v>46195</v>
      </c>
      <c r="B53" s="323" t="s">
        <v>28</v>
      </c>
      <c r="C53" s="324">
        <v>46415</v>
      </c>
      <c r="D53" s="324">
        <v>46464</v>
      </c>
      <c r="E53" s="323">
        <v>2.5579999999999998</v>
      </c>
      <c r="F53" s="323">
        <v>9.7999999999999865</v>
      </c>
      <c r="G53" s="323">
        <v>22.799999999999976</v>
      </c>
      <c r="H53" s="323">
        <f t="shared" si="0"/>
        <v>0.91199999999999903</v>
      </c>
      <c r="I53" s="323">
        <v>1.0499999999999954</v>
      </c>
      <c r="J53" s="323">
        <v>3.4999999999999698</v>
      </c>
      <c r="K53" s="323" t="s">
        <v>41</v>
      </c>
    </row>
    <row r="54" spans="1:11" x14ac:dyDescent="0.3">
      <c r="A54" s="322">
        <v>46195</v>
      </c>
      <c r="B54" s="323" t="s">
        <v>15</v>
      </c>
      <c r="C54" s="324">
        <v>46464</v>
      </c>
      <c r="D54" s="324">
        <v>46506</v>
      </c>
      <c r="E54" s="323">
        <v>2.633</v>
      </c>
      <c r="F54" s="323">
        <v>7.5000000000000178</v>
      </c>
      <c r="G54" s="323">
        <v>30.299999999999994</v>
      </c>
      <c r="H54" s="323">
        <f t="shared" si="0"/>
        <v>1.2119999999999997</v>
      </c>
      <c r="I54" s="323">
        <v>1.2999999999999901</v>
      </c>
      <c r="J54" s="323">
        <v>4.0000000000000036</v>
      </c>
      <c r="K54" s="323" t="s">
        <v>41</v>
      </c>
    </row>
    <row r="55" spans="1:11" x14ac:dyDescent="0.3">
      <c r="A55" s="322">
        <v>46195</v>
      </c>
      <c r="B55" s="323" t="s">
        <v>16</v>
      </c>
      <c r="C55" s="324">
        <v>46506</v>
      </c>
      <c r="D55" s="324">
        <v>46548</v>
      </c>
      <c r="E55" s="323">
        <v>2.7080000000000002</v>
      </c>
      <c r="F55" s="323">
        <v>7.5000000000000178</v>
      </c>
      <c r="G55" s="323">
        <v>37.800000000000011</v>
      </c>
      <c r="H55" s="323">
        <f t="shared" si="0"/>
        <v>1.5120000000000005</v>
      </c>
      <c r="I55" s="323">
        <v>1.5500000000000291</v>
      </c>
      <c r="J55" s="323">
        <v>4.9999999999999822</v>
      </c>
      <c r="K55" s="323" t="s">
        <v>41</v>
      </c>
    </row>
    <row r="56" spans="1:11" x14ac:dyDescent="0.3">
      <c r="A56" s="322">
        <v>46195</v>
      </c>
      <c r="B56" s="323" t="s">
        <v>28</v>
      </c>
      <c r="C56" s="324"/>
      <c r="D56" s="324"/>
      <c r="E56" s="323">
        <v>2.7825000000000002</v>
      </c>
      <c r="F56" s="323">
        <v>7.4500000000000011</v>
      </c>
      <c r="G56" s="323">
        <v>45.250000000000014</v>
      </c>
      <c r="H56" s="323">
        <f t="shared" si="0"/>
        <v>1.8100000000000005</v>
      </c>
      <c r="I56" s="323">
        <v>3.7500000000000089</v>
      </c>
      <c r="J56" s="323">
        <v>5.7500000000000107</v>
      </c>
      <c r="K56" s="323">
        <v>15.25000000000003</v>
      </c>
    </row>
    <row r="57" spans="1:11" x14ac:dyDescent="0.3">
      <c r="A57" s="322">
        <v>46195</v>
      </c>
      <c r="B57" s="323"/>
      <c r="C57" s="324"/>
      <c r="D57" s="324"/>
      <c r="E57" s="323"/>
      <c r="F57" s="323"/>
      <c r="G57" s="323"/>
      <c r="H57" s="323"/>
      <c r="I57" s="323" t="s">
        <v>41</v>
      </c>
      <c r="J57" s="323">
        <v>-272.5</v>
      </c>
      <c r="K57" s="323">
        <v>-263</v>
      </c>
    </row>
    <row r="58" spans="1:11" x14ac:dyDescent="0.3">
      <c r="A58" s="322">
        <v>46195</v>
      </c>
      <c r="B58" s="323"/>
      <c r="C58" s="324"/>
      <c r="D58" s="324"/>
      <c r="E58" s="323"/>
      <c r="F58" s="323"/>
      <c r="G58" s="323"/>
      <c r="H58" s="323"/>
      <c r="I58" s="323" t="s">
        <v>41</v>
      </c>
      <c r="J58" s="323">
        <v>-272.5</v>
      </c>
      <c r="K58" s="323">
        <v>-263</v>
      </c>
    </row>
    <row r="59" spans="1:11" x14ac:dyDescent="0.3">
      <c r="A59" s="322">
        <v>46195</v>
      </c>
      <c r="B59" s="323"/>
      <c r="C59" s="324"/>
      <c r="D59" s="324"/>
      <c r="E59" s="323"/>
      <c r="F59" s="323"/>
      <c r="G59" s="323"/>
      <c r="H59" s="323"/>
      <c r="I59" s="323" t="s">
        <v>41</v>
      </c>
      <c r="J59" s="323">
        <v>-272.5</v>
      </c>
      <c r="K59" s="323">
        <v>-263</v>
      </c>
    </row>
    <row r="60" spans="1:11" x14ac:dyDescent="0.3">
      <c r="A60" s="322">
        <v>46195</v>
      </c>
      <c r="B60" s="323"/>
      <c r="C60" s="324"/>
      <c r="D60" s="324"/>
      <c r="E60" s="323"/>
      <c r="F60" s="323"/>
      <c r="G60" s="323"/>
      <c r="H60" s="323"/>
      <c r="I60" s="323" t="s">
        <v>41</v>
      </c>
      <c r="J60" s="323">
        <v>-272.5</v>
      </c>
      <c r="K60" s="323">
        <v>-263</v>
      </c>
    </row>
    <row r="61" spans="1:11" x14ac:dyDescent="0.3">
      <c r="A61" s="322">
        <v>46196</v>
      </c>
      <c r="B61" s="323" t="s">
        <v>19</v>
      </c>
      <c r="C61" s="324" t="s">
        <v>114</v>
      </c>
      <c r="D61" s="324" t="s">
        <v>115</v>
      </c>
      <c r="E61" s="323">
        <v>2.2774999999999999</v>
      </c>
      <c r="F61" s="323">
        <v>-2.2499999999999964</v>
      </c>
      <c r="G61" s="323">
        <v>-2.2499999999999964</v>
      </c>
      <c r="H61" s="323">
        <v>-8.9999999999999858E-2</v>
      </c>
      <c r="I61" s="323">
        <v>-0.55000000000000604</v>
      </c>
      <c r="J61" s="323">
        <v>0</v>
      </c>
      <c r="K61" s="323">
        <v>-2.2499999999999964</v>
      </c>
    </row>
    <row r="62" spans="1:11" x14ac:dyDescent="0.3">
      <c r="A62" s="322">
        <v>46196</v>
      </c>
      <c r="B62" s="323" t="s">
        <v>10</v>
      </c>
      <c r="C62" s="324" t="s">
        <v>115</v>
      </c>
      <c r="D62" s="324" t="s">
        <v>116</v>
      </c>
      <c r="E62" s="323">
        <v>2.2999999999999998</v>
      </c>
      <c r="F62" s="323">
        <v>2.2499999999999964</v>
      </c>
      <c r="G62" s="323">
        <v>0</v>
      </c>
      <c r="H62" s="323">
        <v>0</v>
      </c>
      <c r="I62" s="323">
        <v>-0.80000000000000071</v>
      </c>
      <c r="J62" s="323">
        <v>-0.50000000000003375</v>
      </c>
      <c r="K62" s="323">
        <v>-10.000000000000009</v>
      </c>
    </row>
    <row r="63" spans="1:11" x14ac:dyDescent="0.3">
      <c r="A63" s="322">
        <v>46196</v>
      </c>
      <c r="B63" s="323" t="s">
        <v>11</v>
      </c>
      <c r="C63" s="324" t="s">
        <v>116</v>
      </c>
      <c r="D63" s="324" t="s">
        <v>117</v>
      </c>
      <c r="E63" s="323">
        <v>2.3574999999999999</v>
      </c>
      <c r="F63" s="323">
        <v>5.7500000000000107</v>
      </c>
      <c r="G63" s="323">
        <v>5.7500000000000107</v>
      </c>
      <c r="H63" s="323">
        <v>0.23000000000000043</v>
      </c>
      <c r="I63" s="323">
        <v>-0.75000000000002842</v>
      </c>
      <c r="J63" s="323">
        <v>-1.0000000000000231</v>
      </c>
      <c r="K63" s="323">
        <v>-15.249999999999986</v>
      </c>
    </row>
    <row r="64" spans="1:11" x14ac:dyDescent="0.3">
      <c r="A64" s="322">
        <v>46196</v>
      </c>
      <c r="B64" s="323" t="s">
        <v>13</v>
      </c>
      <c r="C64" s="324" t="s">
        <v>117</v>
      </c>
      <c r="D64" s="324">
        <v>46415</v>
      </c>
      <c r="E64" s="323">
        <v>2.4449999999999998</v>
      </c>
      <c r="F64" s="323">
        <v>8.7499999999999911</v>
      </c>
      <c r="G64" s="323">
        <v>14.500000000000002</v>
      </c>
      <c r="H64" s="323">
        <v>0.58000000000000007</v>
      </c>
      <c r="I64" s="323">
        <v>-1.5000000000000124</v>
      </c>
      <c r="J64" s="323">
        <v>-0.24999999999999467</v>
      </c>
      <c r="K64" s="323" t="s">
        <v>41</v>
      </c>
    </row>
    <row r="65" spans="1:11" x14ac:dyDescent="0.3">
      <c r="A65" s="322">
        <v>46196</v>
      </c>
      <c r="B65" s="323" t="s">
        <v>28</v>
      </c>
      <c r="C65" s="324">
        <v>46415</v>
      </c>
      <c r="D65" s="324">
        <v>46464</v>
      </c>
      <c r="E65" s="323">
        <v>2.5350000000000001</v>
      </c>
      <c r="F65" s="323">
        <v>9.0000000000000302</v>
      </c>
      <c r="G65" s="323">
        <v>23.500000000000032</v>
      </c>
      <c r="H65" s="323">
        <v>0.94000000000000128</v>
      </c>
      <c r="I65" s="323">
        <v>-2.2999999999999687</v>
      </c>
      <c r="J65" s="323">
        <v>0.24999999999999467</v>
      </c>
      <c r="K65" s="323" t="s">
        <v>41</v>
      </c>
    </row>
    <row r="66" spans="1:11" x14ac:dyDescent="0.3">
      <c r="A66" s="322">
        <v>46196</v>
      </c>
      <c r="B66" s="323" t="s">
        <v>15</v>
      </c>
      <c r="C66" s="324">
        <v>46464</v>
      </c>
      <c r="D66" s="324">
        <v>46506</v>
      </c>
      <c r="E66" s="323">
        <v>2.6124999999999998</v>
      </c>
      <c r="F66" s="323">
        <v>7.749999999999968</v>
      </c>
      <c r="G66" s="323">
        <v>31.25</v>
      </c>
      <c r="H66" s="323">
        <v>1.25</v>
      </c>
      <c r="I66" s="323">
        <v>-2.0500000000000185</v>
      </c>
      <c r="J66" s="323">
        <v>0.49999999999998934</v>
      </c>
      <c r="K66" s="323" t="s">
        <v>41</v>
      </c>
    </row>
    <row r="67" spans="1:11" x14ac:dyDescent="0.3">
      <c r="A67" s="322">
        <v>46196</v>
      </c>
      <c r="B67" s="323" t="s">
        <v>16</v>
      </c>
      <c r="C67" s="324">
        <v>46506</v>
      </c>
      <c r="D67" s="324">
        <v>46548</v>
      </c>
      <c r="E67" s="323">
        <v>2.69</v>
      </c>
      <c r="F67" s="323">
        <v>7.7500000000000124</v>
      </c>
      <c r="G67" s="323">
        <v>39.000000000000014</v>
      </c>
      <c r="H67" s="323">
        <v>1.5600000000000005</v>
      </c>
      <c r="I67" s="323">
        <v>-1.8000000000000238</v>
      </c>
      <c r="J67" s="323">
        <v>1.2499999999999734</v>
      </c>
      <c r="K67" s="323" t="s">
        <v>41</v>
      </c>
    </row>
    <row r="68" spans="1:11" x14ac:dyDescent="0.3">
      <c r="A68" s="322">
        <v>46196</v>
      </c>
      <c r="B68" s="323" t="s">
        <v>28</v>
      </c>
      <c r="C68" s="324"/>
      <c r="D68" s="324"/>
      <c r="E68" s="323">
        <v>2.7425000000000002</v>
      </c>
      <c r="F68" s="323">
        <v>5.2500000000000213</v>
      </c>
      <c r="G68" s="323">
        <v>44.250000000000036</v>
      </c>
      <c r="H68" s="323">
        <v>1.7700000000000014</v>
      </c>
      <c r="I68" s="323">
        <v>-4.0000000000000036</v>
      </c>
      <c r="J68" s="323">
        <v>1.7500000000000071</v>
      </c>
      <c r="K68" s="323">
        <v>11.250000000000027</v>
      </c>
    </row>
    <row r="69" spans="1:11" x14ac:dyDescent="0.3">
      <c r="A69" s="322">
        <v>46196</v>
      </c>
      <c r="B69" s="323"/>
      <c r="C69" s="324"/>
      <c r="D69" s="324"/>
      <c r="E69" s="323"/>
      <c r="F69" s="323"/>
      <c r="G69" s="323"/>
      <c r="H69" s="323"/>
      <c r="I69" s="323">
        <v>-278.25</v>
      </c>
      <c r="J69" s="323">
        <v>-272.5</v>
      </c>
      <c r="K69" s="323">
        <v>-263</v>
      </c>
    </row>
    <row r="70" spans="1:11" x14ac:dyDescent="0.3">
      <c r="A70" s="322">
        <v>46196</v>
      </c>
      <c r="B70" s="323"/>
      <c r="C70" s="324"/>
      <c r="D70" s="324"/>
      <c r="E70" s="323"/>
      <c r="F70" s="323"/>
      <c r="G70" s="323"/>
      <c r="H70" s="323"/>
      <c r="I70" s="323">
        <v>-278.25</v>
      </c>
      <c r="J70" s="323">
        <v>-272.5</v>
      </c>
      <c r="K70" s="323">
        <v>-263</v>
      </c>
    </row>
    <row r="71" spans="1:11" x14ac:dyDescent="0.3">
      <c r="A71" s="322">
        <v>46196</v>
      </c>
      <c r="B71" s="323"/>
      <c r="C71" s="324"/>
      <c r="D71" s="324"/>
      <c r="E71" s="323"/>
      <c r="F71" s="323"/>
      <c r="G71" s="323"/>
      <c r="H71" s="323"/>
      <c r="I71" s="323">
        <v>-278.25</v>
      </c>
      <c r="J71" s="323">
        <v>-272.5</v>
      </c>
      <c r="K71" s="323">
        <v>-263</v>
      </c>
    </row>
    <row r="72" spans="1:11" x14ac:dyDescent="0.3">
      <c r="A72" s="322">
        <v>46196</v>
      </c>
      <c r="B72" s="323"/>
      <c r="C72" s="324"/>
      <c r="D72" s="324"/>
      <c r="E72" s="323"/>
      <c r="F72" s="323"/>
      <c r="G72" s="323"/>
      <c r="H72" s="323"/>
      <c r="I72" s="323">
        <v>-278.25</v>
      </c>
      <c r="J72" s="323">
        <v>-272.5</v>
      </c>
      <c r="K72" s="323">
        <v>-263</v>
      </c>
    </row>
    <row r="73" spans="1:11" x14ac:dyDescent="0.3">
      <c r="A73" s="239">
        <v>46197</v>
      </c>
      <c r="B73" s="240" t="s">
        <v>19</v>
      </c>
      <c r="C73" s="241" t="s">
        <v>114</v>
      </c>
      <c r="D73" s="241" t="s">
        <v>115</v>
      </c>
      <c r="E73" s="240">
        <v>2.2749999999999999</v>
      </c>
      <c r="F73" s="240">
        <v>-2.4999999999999911</v>
      </c>
      <c r="G73" s="240">
        <v>-2.4999999999999911</v>
      </c>
      <c r="H73" s="240">
        <v>-9.9999999999999645E-2</v>
      </c>
      <c r="I73" s="240">
        <v>-0.24999999999999467</v>
      </c>
      <c r="J73" s="240">
        <v>-0.49999999999998934</v>
      </c>
      <c r="K73" s="240">
        <v>-3.5000000000000142</v>
      </c>
    </row>
    <row r="74" spans="1:11" x14ac:dyDescent="0.3">
      <c r="A74" s="239">
        <v>46197</v>
      </c>
      <c r="B74" s="240" t="s">
        <v>10</v>
      </c>
      <c r="C74" s="241" t="s">
        <v>115</v>
      </c>
      <c r="D74" s="241" t="s">
        <v>116</v>
      </c>
      <c r="E74" s="240">
        <v>2.29</v>
      </c>
      <c r="F74" s="240">
        <v>1.5000000000000124</v>
      </c>
      <c r="G74" s="240">
        <v>-0.99999999999997868</v>
      </c>
      <c r="H74" s="240">
        <v>-3.9999999999999147E-2</v>
      </c>
      <c r="I74" s="240">
        <v>-0.99999999999997868</v>
      </c>
      <c r="J74" s="240">
        <v>-1.5000000000000124</v>
      </c>
      <c r="K74" s="240">
        <v>-13.499999999999979</v>
      </c>
    </row>
    <row r="75" spans="1:11" x14ac:dyDescent="0.3">
      <c r="A75" s="239">
        <v>46197</v>
      </c>
      <c r="B75" s="240" t="s">
        <v>11</v>
      </c>
      <c r="C75" s="241" t="s">
        <v>116</v>
      </c>
      <c r="D75" s="241" t="s">
        <v>117</v>
      </c>
      <c r="E75" s="240">
        <v>2.335</v>
      </c>
      <c r="F75" s="240">
        <v>4.4999999999999929</v>
      </c>
      <c r="G75" s="240">
        <v>3.5000000000000142</v>
      </c>
      <c r="H75" s="240">
        <v>0.14000000000000057</v>
      </c>
      <c r="I75" s="240">
        <v>-2.2499999999999964</v>
      </c>
      <c r="J75" s="240">
        <v>-3.5000000000000142</v>
      </c>
      <c r="K75" s="240">
        <v>-22.000000000000021</v>
      </c>
    </row>
    <row r="76" spans="1:11" x14ac:dyDescent="0.3">
      <c r="A76" s="239">
        <v>46197</v>
      </c>
      <c r="B76" s="240" t="s">
        <v>13</v>
      </c>
      <c r="C76" s="241" t="s">
        <v>117</v>
      </c>
      <c r="D76" s="241">
        <v>46415</v>
      </c>
      <c r="E76" s="240">
        <v>2.4024999999999999</v>
      </c>
      <c r="F76" s="240">
        <v>6.7499999999999893</v>
      </c>
      <c r="G76" s="240">
        <v>10.250000000000004</v>
      </c>
      <c r="H76" s="240">
        <v>0.41000000000000014</v>
      </c>
      <c r="I76" s="240">
        <v>-4.2499999999999982</v>
      </c>
      <c r="J76" s="240">
        <v>-4.2499999999999982</v>
      </c>
      <c r="K76" s="240" t="s">
        <v>41</v>
      </c>
    </row>
    <row r="77" spans="1:11" x14ac:dyDescent="0.3">
      <c r="A77" s="239">
        <v>46197</v>
      </c>
      <c r="B77" s="240" t="s">
        <v>28</v>
      </c>
      <c r="C77" s="241">
        <v>46415</v>
      </c>
      <c r="D77" s="241">
        <v>46464</v>
      </c>
      <c r="E77" s="240">
        <v>2.48</v>
      </c>
      <c r="F77" s="240">
        <v>7.7500000000000124</v>
      </c>
      <c r="G77" s="240">
        <v>18.000000000000014</v>
      </c>
      <c r="H77" s="240">
        <v>0.72000000000000053</v>
      </c>
      <c r="I77" s="240">
        <v>-5.500000000000016</v>
      </c>
      <c r="J77" s="240">
        <v>-4.4999999999999929</v>
      </c>
      <c r="K77" s="240" t="s">
        <v>41</v>
      </c>
    </row>
    <row r="78" spans="1:11" x14ac:dyDescent="0.3">
      <c r="A78" s="239">
        <v>46197</v>
      </c>
      <c r="B78" s="240" t="s">
        <v>15</v>
      </c>
      <c r="C78" s="241">
        <v>46464</v>
      </c>
      <c r="D78" s="241">
        <v>46506</v>
      </c>
      <c r="E78" s="240">
        <v>2.56</v>
      </c>
      <c r="F78" s="240">
        <v>8.0000000000000071</v>
      </c>
      <c r="G78" s="240">
        <v>26.000000000000021</v>
      </c>
      <c r="H78" s="240">
        <v>1.0400000000000009</v>
      </c>
      <c r="I78" s="240">
        <v>-5.2499999999999769</v>
      </c>
      <c r="J78" s="240">
        <v>-4.2499999999999982</v>
      </c>
      <c r="K78" s="240" t="s">
        <v>41</v>
      </c>
    </row>
    <row r="79" spans="1:11" x14ac:dyDescent="0.3">
      <c r="A79" s="239">
        <v>46197</v>
      </c>
      <c r="B79" s="240" t="s">
        <v>16</v>
      </c>
      <c r="C79" s="241">
        <v>46506</v>
      </c>
      <c r="D79" s="241">
        <v>46548</v>
      </c>
      <c r="E79" s="240">
        <v>2.64</v>
      </c>
      <c r="F79" s="240">
        <v>8.0000000000000071</v>
      </c>
      <c r="G79" s="240">
        <v>34.000000000000028</v>
      </c>
      <c r="H79" s="240">
        <v>1.3600000000000012</v>
      </c>
      <c r="I79" s="240">
        <v>-4.9999999999999822</v>
      </c>
      <c r="J79" s="240">
        <v>-3.7500000000000089</v>
      </c>
      <c r="K79" s="240" t="s">
        <v>41</v>
      </c>
    </row>
    <row r="80" spans="1:11" x14ac:dyDescent="0.3">
      <c r="A80" s="239">
        <v>46197</v>
      </c>
      <c r="B80" s="240" t="s">
        <v>28</v>
      </c>
      <c r="C80" s="241"/>
      <c r="D80" s="241"/>
      <c r="E80" s="240">
        <v>2.6924999999999999</v>
      </c>
      <c r="F80" s="240">
        <v>5.2499999999999769</v>
      </c>
      <c r="G80" s="240">
        <v>39.250000000000007</v>
      </c>
      <c r="H80" s="240">
        <v>1.5700000000000003</v>
      </c>
      <c r="I80" s="240">
        <v>-5.0000000000000266</v>
      </c>
      <c r="J80" s="240">
        <v>-3.0000000000000249</v>
      </c>
      <c r="K80" s="240">
        <v>2.7499999999999858</v>
      </c>
    </row>
    <row r="81" spans="1:11" x14ac:dyDescent="0.3">
      <c r="A81" s="239">
        <v>46197</v>
      </c>
      <c r="B81" s="240"/>
      <c r="C81" s="241"/>
      <c r="D81" s="241"/>
      <c r="E81" s="240"/>
      <c r="F81" s="240"/>
      <c r="G81" s="240"/>
      <c r="H81" s="240"/>
      <c r="I81" s="240">
        <v>-274.25</v>
      </c>
      <c r="J81" s="240">
        <v>-272.25</v>
      </c>
      <c r="K81" s="240">
        <v>-266.5</v>
      </c>
    </row>
    <row r="82" spans="1:11" x14ac:dyDescent="0.3">
      <c r="A82" s="239">
        <v>46197</v>
      </c>
      <c r="B82" s="240"/>
      <c r="C82" s="241"/>
      <c r="D82" s="241"/>
      <c r="E82" s="240"/>
      <c r="F82" s="240"/>
      <c r="G82" s="240"/>
      <c r="H82" s="240"/>
      <c r="I82" s="240">
        <v>-274.25</v>
      </c>
      <c r="J82" s="240">
        <v>-272.25</v>
      </c>
      <c r="K82" s="240">
        <v>-266.5</v>
      </c>
    </row>
    <row r="83" spans="1:11" x14ac:dyDescent="0.3">
      <c r="A83" s="239">
        <v>46197</v>
      </c>
      <c r="B83" s="240"/>
      <c r="C83" s="241"/>
      <c r="D83" s="241"/>
      <c r="E83" s="240"/>
      <c r="F83" s="240"/>
      <c r="G83" s="240"/>
      <c r="H83" s="240"/>
      <c r="I83" s="240">
        <v>-274.25</v>
      </c>
      <c r="J83" s="240">
        <v>-272.25</v>
      </c>
      <c r="K83" s="240">
        <v>-266.5</v>
      </c>
    </row>
    <row r="84" spans="1:11" x14ac:dyDescent="0.3">
      <c r="A84" s="239">
        <v>46197</v>
      </c>
      <c r="B84" s="240"/>
      <c r="C84" s="241"/>
      <c r="D84" s="241"/>
      <c r="E84" s="240"/>
      <c r="F84" s="240"/>
      <c r="G84" s="240"/>
      <c r="H84" s="240"/>
      <c r="I84" s="240">
        <v>-274.25</v>
      </c>
      <c r="J84" s="240">
        <v>-272.25</v>
      </c>
      <c r="K84" s="240">
        <v>-266.5</v>
      </c>
    </row>
    <row r="85" spans="1:11" x14ac:dyDescent="0.3">
      <c r="A85" s="371">
        <v>46198</v>
      </c>
      <c r="B85" s="372" t="s">
        <v>19</v>
      </c>
      <c r="C85" s="373" t="s">
        <v>114</v>
      </c>
      <c r="D85" s="373" t="s">
        <v>115</v>
      </c>
      <c r="E85" s="372">
        <v>2.2749999999999999</v>
      </c>
      <c r="F85" s="372">
        <v>-2.4999999999999911</v>
      </c>
      <c r="G85" s="372">
        <v>-2.4999999999999911</v>
      </c>
      <c r="H85" s="372">
        <v>-9.9999999999999645E-2</v>
      </c>
      <c r="I85" s="372">
        <v>0</v>
      </c>
      <c r="J85" s="372">
        <v>-0.24999999999999467</v>
      </c>
      <c r="K85" s="372">
        <v>-2.4999999999999911</v>
      </c>
    </row>
    <row r="86" spans="1:11" x14ac:dyDescent="0.3">
      <c r="A86" s="371">
        <v>46198</v>
      </c>
      <c r="B86" s="372" t="s">
        <v>10</v>
      </c>
      <c r="C86" s="373" t="s">
        <v>115</v>
      </c>
      <c r="D86" s="373" t="s">
        <v>116</v>
      </c>
      <c r="E86" s="372">
        <v>2.2974999999999999</v>
      </c>
      <c r="F86" s="372">
        <v>2.2499999999999964</v>
      </c>
      <c r="G86" s="372">
        <v>-0.24999999999999467</v>
      </c>
      <c r="H86" s="372">
        <v>-9.9999999999997868E-3</v>
      </c>
      <c r="I86" s="372">
        <v>0.74999999999998401</v>
      </c>
      <c r="J86" s="372">
        <v>-0.50000000000003375</v>
      </c>
      <c r="K86" s="372">
        <v>-10.250000000000004</v>
      </c>
    </row>
    <row r="87" spans="1:11" x14ac:dyDescent="0.3">
      <c r="A87" s="371">
        <v>46198</v>
      </c>
      <c r="B87" s="372" t="s">
        <v>11</v>
      </c>
      <c r="C87" s="373" t="s">
        <v>116</v>
      </c>
      <c r="D87" s="373" t="s">
        <v>117</v>
      </c>
      <c r="E87" s="372">
        <v>2.35</v>
      </c>
      <c r="F87" s="372">
        <v>5.2500000000000213</v>
      </c>
      <c r="G87" s="372">
        <v>5.0000000000000266</v>
      </c>
      <c r="H87" s="372">
        <v>0.20000000000000107</v>
      </c>
      <c r="I87" s="372">
        <v>1.5000000000000124</v>
      </c>
      <c r="J87" s="372">
        <v>-2.7499999999999858</v>
      </c>
      <c r="K87" s="372">
        <v>-15.749999999999975</v>
      </c>
    </row>
    <row r="88" spans="1:11" x14ac:dyDescent="0.3">
      <c r="A88" s="371">
        <v>46198</v>
      </c>
      <c r="B88" s="372" t="s">
        <v>13</v>
      </c>
      <c r="C88" s="373" t="s">
        <v>117</v>
      </c>
      <c r="D88" s="373">
        <v>46415</v>
      </c>
      <c r="E88" s="372">
        <v>2.4175</v>
      </c>
      <c r="F88" s="372">
        <v>6.7499999999999893</v>
      </c>
      <c r="G88" s="372">
        <v>11.750000000000016</v>
      </c>
      <c r="H88" s="372">
        <v>0.47000000000000064</v>
      </c>
      <c r="I88" s="372">
        <v>1.5000000000000124</v>
      </c>
      <c r="J88" s="372">
        <v>-4.7499999999999876</v>
      </c>
      <c r="K88" s="372" t="s">
        <v>41</v>
      </c>
    </row>
    <row r="89" spans="1:11" x14ac:dyDescent="0.3">
      <c r="A89" s="371">
        <v>46198</v>
      </c>
      <c r="B89" s="372" t="s">
        <v>28</v>
      </c>
      <c r="C89" s="373">
        <v>46415</v>
      </c>
      <c r="D89" s="373">
        <v>46464</v>
      </c>
      <c r="E89" s="372">
        <v>2.4925000000000002</v>
      </c>
      <c r="F89" s="372">
        <v>7.5000000000000178</v>
      </c>
      <c r="G89" s="372">
        <v>19.250000000000036</v>
      </c>
      <c r="H89" s="372">
        <v>0.77000000000000146</v>
      </c>
      <c r="I89" s="372">
        <v>1.2500000000000178</v>
      </c>
      <c r="J89" s="372">
        <v>-6.4999999999999947</v>
      </c>
      <c r="K89" s="372" t="s">
        <v>41</v>
      </c>
    </row>
    <row r="90" spans="1:11" x14ac:dyDescent="0.3">
      <c r="A90" s="371">
        <v>46198</v>
      </c>
      <c r="B90" s="372" t="s">
        <v>15</v>
      </c>
      <c r="C90" s="373">
        <v>46464</v>
      </c>
      <c r="D90" s="373">
        <v>46506</v>
      </c>
      <c r="E90" s="372">
        <v>2.5649999999999999</v>
      </c>
      <c r="F90" s="372">
        <v>7.2499999999999787</v>
      </c>
      <c r="G90" s="372">
        <v>26.500000000000014</v>
      </c>
      <c r="H90" s="372">
        <v>1.0600000000000005</v>
      </c>
      <c r="I90" s="372">
        <v>0.49999999999998934</v>
      </c>
      <c r="J90" s="372">
        <v>-6.7499999999999893</v>
      </c>
      <c r="K90" s="372" t="s">
        <v>41</v>
      </c>
    </row>
    <row r="91" spans="1:11" x14ac:dyDescent="0.3">
      <c r="A91" s="371">
        <v>46198</v>
      </c>
      <c r="B91" s="372" t="s">
        <v>16</v>
      </c>
      <c r="C91" s="373">
        <v>46506</v>
      </c>
      <c r="D91" s="373">
        <v>46548</v>
      </c>
      <c r="E91" s="372">
        <v>2.6375000000000002</v>
      </c>
      <c r="F91" s="372">
        <v>7.2500000000000231</v>
      </c>
      <c r="G91" s="372">
        <v>33.750000000000036</v>
      </c>
      <c r="H91" s="372">
        <v>1.3500000000000014</v>
      </c>
      <c r="I91" s="372">
        <v>-0.24999999999999467</v>
      </c>
      <c r="J91" s="372">
        <v>-6.999999999999984</v>
      </c>
      <c r="K91" s="372" t="s">
        <v>41</v>
      </c>
    </row>
    <row r="92" spans="1:11" x14ac:dyDescent="0.3">
      <c r="A92" s="371">
        <v>46198</v>
      </c>
      <c r="B92" s="372" t="s">
        <v>28</v>
      </c>
      <c r="C92" s="373"/>
      <c r="D92" s="373"/>
      <c r="E92" s="372">
        <v>2.69</v>
      </c>
      <c r="F92" s="372">
        <v>5.2499999999999769</v>
      </c>
      <c r="G92" s="372">
        <v>39.000000000000014</v>
      </c>
      <c r="H92" s="372">
        <v>1.5600000000000005</v>
      </c>
      <c r="I92" s="372">
        <v>-0.24999999999999467</v>
      </c>
      <c r="J92" s="372">
        <v>-6.7499999999999893</v>
      </c>
      <c r="K92" s="372">
        <v>8.2500000000000018</v>
      </c>
    </row>
    <row r="93" spans="1:11" x14ac:dyDescent="0.3">
      <c r="A93" s="371">
        <v>46198</v>
      </c>
      <c r="B93" s="372"/>
      <c r="C93" s="373"/>
      <c r="D93" s="373"/>
      <c r="E93" s="372"/>
      <c r="F93" s="372"/>
      <c r="G93" s="372"/>
      <c r="H93" s="372"/>
      <c r="I93" s="372">
        <v>-269.25</v>
      </c>
      <c r="J93" s="372">
        <v>-275.75</v>
      </c>
      <c r="K93" s="372">
        <v>-260.75</v>
      </c>
    </row>
    <row r="94" spans="1:11" x14ac:dyDescent="0.3">
      <c r="A94" s="371">
        <v>46198</v>
      </c>
      <c r="B94" s="372"/>
      <c r="C94" s="373"/>
      <c r="D94" s="373"/>
      <c r="E94" s="372"/>
      <c r="F94" s="372"/>
      <c r="G94" s="372"/>
      <c r="H94" s="372"/>
      <c r="I94" s="372">
        <v>-269.25</v>
      </c>
      <c r="J94" s="372">
        <v>-275.75</v>
      </c>
      <c r="K94" s="372">
        <v>-260.75</v>
      </c>
    </row>
    <row r="95" spans="1:11" x14ac:dyDescent="0.3">
      <c r="A95" s="371">
        <v>46198</v>
      </c>
      <c r="B95" s="372"/>
      <c r="C95" s="373"/>
      <c r="D95" s="373"/>
      <c r="E95" s="372"/>
      <c r="F95" s="372"/>
      <c r="G95" s="372"/>
      <c r="H95" s="372"/>
      <c r="I95" s="372">
        <v>-269.25</v>
      </c>
      <c r="J95" s="372">
        <v>-275.75</v>
      </c>
      <c r="K95" s="372">
        <v>-260.75</v>
      </c>
    </row>
    <row r="96" spans="1:11" x14ac:dyDescent="0.3">
      <c r="A96" s="371">
        <v>46198</v>
      </c>
      <c r="B96" s="372"/>
      <c r="C96" s="373"/>
      <c r="D96" s="373"/>
      <c r="E96" s="372"/>
      <c r="F96" s="372"/>
      <c r="G96" s="372"/>
      <c r="H96" s="372"/>
      <c r="I96" s="372">
        <v>-269.25</v>
      </c>
      <c r="J96" s="372">
        <v>-275.75</v>
      </c>
      <c r="K96" s="372">
        <v>-260.75</v>
      </c>
    </row>
    <row r="97" spans="1:11" x14ac:dyDescent="0.3">
      <c r="A97" s="371">
        <v>46199</v>
      </c>
      <c r="B97" s="372" t="s">
        <v>19</v>
      </c>
      <c r="C97" s="373" t="s">
        <v>114</v>
      </c>
      <c r="D97" s="373" t="s">
        <v>115</v>
      </c>
      <c r="E97" s="372">
        <v>2.2749999999999999</v>
      </c>
      <c r="F97" s="372">
        <v>-3.5000000000000142</v>
      </c>
      <c r="G97" s="372">
        <v>-3.5000000000000142</v>
      </c>
      <c r="H97" s="372">
        <v>-0.14000000000000057</v>
      </c>
      <c r="I97" s="372">
        <v>0</v>
      </c>
      <c r="J97" s="372">
        <v>-0.49999999999998934</v>
      </c>
      <c r="K97" s="372">
        <v>-3.5000000000000142</v>
      </c>
    </row>
    <row r="98" spans="1:11" x14ac:dyDescent="0.3">
      <c r="A98" s="371">
        <v>46199</v>
      </c>
      <c r="B98" s="372" t="s">
        <v>10</v>
      </c>
      <c r="C98" s="373" t="s">
        <v>115</v>
      </c>
      <c r="D98" s="373" t="s">
        <v>116</v>
      </c>
      <c r="E98" s="372">
        <v>2.2974999999999999</v>
      </c>
      <c r="F98" s="372">
        <v>2.2499999999999964</v>
      </c>
      <c r="G98" s="372">
        <v>-1.2500000000000178</v>
      </c>
      <c r="H98" s="372">
        <v>-5.0000000000000711E-2</v>
      </c>
      <c r="I98" s="372">
        <v>0</v>
      </c>
      <c r="J98" s="372">
        <v>-1.0000000000000231</v>
      </c>
      <c r="K98" s="372">
        <v>-10.749999999999993</v>
      </c>
    </row>
    <row r="99" spans="1:11" x14ac:dyDescent="0.3">
      <c r="A99" s="371">
        <v>46199</v>
      </c>
      <c r="B99" s="372" t="s">
        <v>11</v>
      </c>
      <c r="C99" s="373" t="s">
        <v>116</v>
      </c>
      <c r="D99" s="373" t="s">
        <v>117</v>
      </c>
      <c r="E99" s="372">
        <v>2.3475000000000001</v>
      </c>
      <c r="F99" s="372">
        <v>5.0000000000000266</v>
      </c>
      <c r="G99" s="372">
        <v>3.7500000000000089</v>
      </c>
      <c r="H99" s="372">
        <v>0.15000000000000036</v>
      </c>
      <c r="I99" s="372">
        <v>-0.24999999999999467</v>
      </c>
      <c r="J99" s="372">
        <v>-2.0000000000000018</v>
      </c>
      <c r="K99" s="372">
        <v>-16.249999999999964</v>
      </c>
    </row>
    <row r="100" spans="1:11" x14ac:dyDescent="0.3">
      <c r="A100" s="371">
        <v>46199</v>
      </c>
      <c r="B100" s="372" t="s">
        <v>13</v>
      </c>
      <c r="C100" s="373" t="s">
        <v>117</v>
      </c>
      <c r="D100" s="373">
        <v>46415</v>
      </c>
      <c r="E100" s="372">
        <v>2.42</v>
      </c>
      <c r="F100" s="372">
        <v>7.2499999999999787</v>
      </c>
      <c r="G100" s="372">
        <v>10.999999999999988</v>
      </c>
      <c r="H100" s="372">
        <v>0.4399999999999995</v>
      </c>
      <c r="I100" s="372">
        <v>0.24999999999999467</v>
      </c>
      <c r="J100" s="372">
        <v>-3.5000000000000142</v>
      </c>
      <c r="K100" s="372" t="s">
        <v>41</v>
      </c>
    </row>
    <row r="101" spans="1:11" x14ac:dyDescent="0.3">
      <c r="A101" s="371">
        <v>46199</v>
      </c>
      <c r="B101" s="372" t="s">
        <v>28</v>
      </c>
      <c r="C101" s="373">
        <v>46415</v>
      </c>
      <c r="D101" s="373">
        <v>46464</v>
      </c>
      <c r="E101" s="372">
        <v>2.4975000000000001</v>
      </c>
      <c r="F101" s="372">
        <v>7.7500000000000124</v>
      </c>
      <c r="G101" s="372">
        <v>18.75</v>
      </c>
      <c r="H101" s="372">
        <v>0.75</v>
      </c>
      <c r="I101" s="372">
        <v>0.49999999999998934</v>
      </c>
      <c r="J101" s="372">
        <v>-4.9999999999999822</v>
      </c>
      <c r="K101" s="372" t="s">
        <v>41</v>
      </c>
    </row>
    <row r="102" spans="1:11" x14ac:dyDescent="0.3">
      <c r="A102" s="371">
        <v>46199</v>
      </c>
      <c r="B102" s="372" t="s">
        <v>15</v>
      </c>
      <c r="C102" s="373">
        <v>46464</v>
      </c>
      <c r="D102" s="373">
        <v>46506</v>
      </c>
      <c r="E102" s="372">
        <v>2.5724999999999998</v>
      </c>
      <c r="F102" s="372">
        <v>7.4999999999999734</v>
      </c>
      <c r="G102" s="372">
        <v>26.249999999999972</v>
      </c>
      <c r="H102" s="372">
        <v>1.0499999999999989</v>
      </c>
      <c r="I102" s="372">
        <v>0.74999999999998401</v>
      </c>
      <c r="J102" s="372">
        <v>-4.750000000000032</v>
      </c>
      <c r="K102" s="372" t="s">
        <v>41</v>
      </c>
    </row>
    <row r="103" spans="1:11" x14ac:dyDescent="0.3">
      <c r="A103" s="371">
        <v>46199</v>
      </c>
      <c r="B103" s="372" t="s">
        <v>16</v>
      </c>
      <c r="C103" s="373">
        <v>46506</v>
      </c>
      <c r="D103" s="373">
        <v>46548</v>
      </c>
      <c r="E103" s="372">
        <v>2.6475</v>
      </c>
      <c r="F103" s="372">
        <v>7.5000000000000178</v>
      </c>
      <c r="G103" s="372">
        <v>33.749999999999993</v>
      </c>
      <c r="H103" s="372">
        <v>1.3499999999999996</v>
      </c>
      <c r="I103" s="372">
        <v>0.99999999999997868</v>
      </c>
      <c r="J103" s="372">
        <v>-4.4999999999999929</v>
      </c>
      <c r="K103" s="372" t="s">
        <v>41</v>
      </c>
    </row>
    <row r="104" spans="1:11" x14ac:dyDescent="0.3">
      <c r="A104" s="371">
        <v>46199</v>
      </c>
      <c r="B104" s="372" t="s">
        <v>28</v>
      </c>
      <c r="C104" s="373"/>
      <c r="D104" s="373"/>
      <c r="E104" s="372">
        <v>2.7</v>
      </c>
      <c r="F104" s="372">
        <v>5.2500000000000213</v>
      </c>
      <c r="G104" s="372">
        <v>39.000000000000014</v>
      </c>
      <c r="H104" s="372">
        <v>1.5600000000000005</v>
      </c>
      <c r="I104" s="372">
        <v>1.0000000000000231</v>
      </c>
      <c r="J104" s="372">
        <v>-4.4999999999999929</v>
      </c>
      <c r="K104" s="372">
        <v>9.0000000000000302</v>
      </c>
    </row>
    <row r="105" spans="1:11" x14ac:dyDescent="0.3">
      <c r="A105" s="371">
        <v>46199</v>
      </c>
      <c r="B105" s="372"/>
      <c r="C105" s="373"/>
      <c r="D105" s="373"/>
      <c r="E105" s="372"/>
      <c r="F105" s="372"/>
      <c r="G105" s="372"/>
      <c r="H105" s="372"/>
      <c r="I105" s="372">
        <v>-269</v>
      </c>
      <c r="J105" s="372">
        <v>-274.5</v>
      </c>
      <c r="K105" s="372">
        <v>-261</v>
      </c>
    </row>
    <row r="106" spans="1:11" x14ac:dyDescent="0.3">
      <c r="A106" s="371">
        <v>46199</v>
      </c>
      <c r="B106" s="372"/>
      <c r="C106" s="373"/>
      <c r="D106" s="373"/>
      <c r="E106" s="372"/>
      <c r="F106" s="372"/>
      <c r="G106" s="372"/>
      <c r="H106" s="372"/>
      <c r="I106" s="372">
        <v>-269</v>
      </c>
      <c r="J106" s="372">
        <v>-274.5</v>
      </c>
      <c r="K106" s="372">
        <v>-261</v>
      </c>
    </row>
    <row r="107" spans="1:11" x14ac:dyDescent="0.3">
      <c r="A107" s="371">
        <v>46199</v>
      </c>
      <c r="B107" s="372"/>
      <c r="C107" s="373"/>
      <c r="D107" s="373"/>
      <c r="E107" s="372"/>
      <c r="F107" s="372"/>
      <c r="G107" s="372"/>
      <c r="H107" s="372"/>
      <c r="I107" s="372">
        <v>-269</v>
      </c>
      <c r="J107" s="372">
        <v>-274.5</v>
      </c>
      <c r="K107" s="372">
        <v>-261</v>
      </c>
    </row>
    <row r="108" spans="1:11" x14ac:dyDescent="0.3">
      <c r="A108" s="371">
        <v>46199</v>
      </c>
      <c r="B108" s="372"/>
      <c r="C108" s="373"/>
      <c r="D108" s="373"/>
      <c r="E108" s="372"/>
      <c r="F108" s="372"/>
      <c r="G108" s="372"/>
      <c r="H108" s="372"/>
      <c r="I108" s="372">
        <v>-269</v>
      </c>
      <c r="J108" s="372">
        <v>-274.5</v>
      </c>
      <c r="K108" s="372">
        <v>-261</v>
      </c>
    </row>
    <row r="109" spans="1:11" x14ac:dyDescent="0.3">
      <c r="A109" s="239">
        <v>46202</v>
      </c>
      <c r="B109" s="240" t="s">
        <v>19</v>
      </c>
      <c r="C109" s="241" t="s">
        <v>114</v>
      </c>
      <c r="D109" s="241" t="s">
        <v>115</v>
      </c>
      <c r="E109" s="240">
        <v>2.2749999999999999</v>
      </c>
      <c r="F109" s="240">
        <v>-4.4999999999999929</v>
      </c>
      <c r="G109" s="240">
        <v>-4.4999999999999929</v>
      </c>
      <c r="H109" s="240">
        <v>-0.17999999999999972</v>
      </c>
      <c r="I109" s="240">
        <v>0</v>
      </c>
      <c r="J109" s="240">
        <v>-0.80000000000000071</v>
      </c>
      <c r="K109" s="240">
        <v>-0.75000000000002842</v>
      </c>
    </row>
    <row r="110" spans="1:11" x14ac:dyDescent="0.3">
      <c r="A110" s="239">
        <v>46202</v>
      </c>
      <c r="B110" s="240" t="s">
        <v>10</v>
      </c>
      <c r="C110" s="241" t="s">
        <v>115</v>
      </c>
      <c r="D110" s="241" t="s">
        <v>116</v>
      </c>
      <c r="E110" s="240">
        <v>2.2974999999999999</v>
      </c>
      <c r="F110" s="240">
        <v>2.2499999999999964</v>
      </c>
      <c r="G110" s="240">
        <v>-2.2499999999999964</v>
      </c>
      <c r="H110" s="240">
        <v>-8.9999999999999858E-2</v>
      </c>
      <c r="I110" s="240">
        <v>0</v>
      </c>
      <c r="J110" s="240">
        <v>-1.0499999999999954</v>
      </c>
      <c r="K110" s="240">
        <v>-4.4999999999999929</v>
      </c>
    </row>
    <row r="111" spans="1:11" x14ac:dyDescent="0.3">
      <c r="A111" s="239">
        <v>46202</v>
      </c>
      <c r="B111" s="240" t="s">
        <v>11</v>
      </c>
      <c r="C111" s="241" t="s">
        <v>116</v>
      </c>
      <c r="D111" s="241" t="s">
        <v>117</v>
      </c>
      <c r="E111" s="240">
        <v>2.3475000000000001</v>
      </c>
      <c r="F111" s="240">
        <v>5.0000000000000266</v>
      </c>
      <c r="G111" s="240">
        <v>2.7500000000000302</v>
      </c>
      <c r="H111" s="240">
        <v>0.11000000000000121</v>
      </c>
      <c r="I111" s="240">
        <v>0</v>
      </c>
      <c r="J111" s="240">
        <v>-1.7500000000000071</v>
      </c>
      <c r="K111" s="240">
        <v>-6.4999999999999947</v>
      </c>
    </row>
    <row r="112" spans="1:11" x14ac:dyDescent="0.3">
      <c r="A112" s="239">
        <v>46202</v>
      </c>
      <c r="B112" s="240" t="s">
        <v>13</v>
      </c>
      <c r="C112" s="241" t="s">
        <v>117</v>
      </c>
      <c r="D112" s="241">
        <v>46415</v>
      </c>
      <c r="E112" s="240">
        <v>2.4175</v>
      </c>
      <c r="F112" s="240">
        <v>6.999999999999984</v>
      </c>
      <c r="G112" s="240">
        <v>9.7500000000000142</v>
      </c>
      <c r="H112" s="240">
        <v>0.39000000000000057</v>
      </c>
      <c r="I112" s="240">
        <v>-0.24999999999999467</v>
      </c>
      <c r="J112" s="240">
        <v>-4.2499999999999982</v>
      </c>
      <c r="K112" s="240" t="s">
        <v>41</v>
      </c>
    </row>
    <row r="113" spans="1:11" x14ac:dyDescent="0.3">
      <c r="A113" s="239">
        <v>46202</v>
      </c>
      <c r="B113" s="240" t="s">
        <v>28</v>
      </c>
      <c r="C113" s="241">
        <v>46415</v>
      </c>
      <c r="D113" s="241">
        <v>46464</v>
      </c>
      <c r="E113" s="240">
        <v>2.4950000000000001</v>
      </c>
      <c r="F113" s="240">
        <v>7.7500000000000124</v>
      </c>
      <c r="G113" s="240">
        <v>17.500000000000028</v>
      </c>
      <c r="H113" s="240">
        <v>0.70000000000000118</v>
      </c>
      <c r="I113" s="240">
        <v>-0.24999999999999467</v>
      </c>
      <c r="J113" s="240">
        <v>-6.2999999999999723</v>
      </c>
      <c r="K113" s="240" t="s">
        <v>41</v>
      </c>
    </row>
    <row r="114" spans="1:11" x14ac:dyDescent="0.3">
      <c r="A114" s="239">
        <v>46202</v>
      </c>
      <c r="B114" s="240" t="s">
        <v>15</v>
      </c>
      <c r="C114" s="241">
        <v>46464</v>
      </c>
      <c r="D114" s="241">
        <v>46506</v>
      </c>
      <c r="E114" s="240">
        <v>2.57</v>
      </c>
      <c r="F114" s="240">
        <v>7.4999999999999734</v>
      </c>
      <c r="G114" s="240">
        <v>25</v>
      </c>
      <c r="H114" s="240">
        <v>1</v>
      </c>
      <c r="I114" s="240">
        <v>-0.24999999999999467</v>
      </c>
      <c r="J114" s="240">
        <v>-6.3000000000000167</v>
      </c>
      <c r="K114" s="240" t="s">
        <v>41</v>
      </c>
    </row>
    <row r="115" spans="1:11" x14ac:dyDescent="0.3">
      <c r="A115" s="239">
        <v>46202</v>
      </c>
      <c r="B115" s="240" t="s">
        <v>16</v>
      </c>
      <c r="C115" s="241">
        <v>46506</v>
      </c>
      <c r="D115" s="241">
        <v>46548</v>
      </c>
      <c r="E115" s="240">
        <v>2.645</v>
      </c>
      <c r="F115" s="240">
        <v>7.5000000000000178</v>
      </c>
      <c r="G115" s="240">
        <v>32.500000000000014</v>
      </c>
      <c r="H115" s="240">
        <v>1.3000000000000005</v>
      </c>
      <c r="I115" s="240">
        <v>-0.24999999999999467</v>
      </c>
      <c r="J115" s="240">
        <v>-6.3000000000000167</v>
      </c>
      <c r="K115" s="240" t="s">
        <v>41</v>
      </c>
    </row>
    <row r="116" spans="1:11" x14ac:dyDescent="0.3">
      <c r="A116" s="239">
        <v>46202</v>
      </c>
      <c r="B116" s="240" t="s">
        <v>28</v>
      </c>
      <c r="C116" s="241"/>
      <c r="D116" s="241"/>
      <c r="E116" s="240">
        <v>2.6974999999999998</v>
      </c>
      <c r="F116" s="240">
        <v>5.2499999999999769</v>
      </c>
      <c r="G116" s="240">
        <v>37.749999999999993</v>
      </c>
      <c r="H116" s="240">
        <v>1.5099999999999998</v>
      </c>
      <c r="I116" s="240">
        <v>-0.25000000000003908</v>
      </c>
      <c r="J116" s="240">
        <v>-8.5000000000000409</v>
      </c>
      <c r="K116" s="240">
        <v>19.499999999999986</v>
      </c>
    </row>
    <row r="117" spans="1:11" x14ac:dyDescent="0.3">
      <c r="A117" s="239">
        <v>46202</v>
      </c>
      <c r="B117" s="240"/>
      <c r="C117" s="241"/>
      <c r="D117" s="241"/>
      <c r="E117" s="240"/>
      <c r="F117" s="240"/>
      <c r="G117" s="240"/>
      <c r="H117" s="240"/>
      <c r="I117" s="240">
        <v>-270</v>
      </c>
      <c r="J117" s="240">
        <v>-278.25</v>
      </c>
      <c r="K117" s="240">
        <v>-250.25</v>
      </c>
    </row>
    <row r="118" spans="1:11" x14ac:dyDescent="0.3">
      <c r="A118" s="239">
        <v>46202</v>
      </c>
      <c r="B118" s="240"/>
      <c r="C118" s="241"/>
      <c r="D118" s="241"/>
      <c r="E118" s="240"/>
      <c r="F118" s="240"/>
      <c r="G118" s="240"/>
      <c r="H118" s="240"/>
      <c r="I118" s="240">
        <v>-270</v>
      </c>
      <c r="J118" s="240">
        <v>-278.25</v>
      </c>
      <c r="K118" s="240">
        <v>-250.25</v>
      </c>
    </row>
    <row r="119" spans="1:11" x14ac:dyDescent="0.3">
      <c r="A119" s="239">
        <v>46202</v>
      </c>
      <c r="B119" s="240"/>
      <c r="C119" s="241"/>
      <c r="D119" s="241"/>
      <c r="E119" s="240"/>
      <c r="F119" s="240"/>
      <c r="G119" s="240"/>
      <c r="H119" s="240"/>
      <c r="I119" s="240">
        <v>-270</v>
      </c>
      <c r="J119" s="240">
        <v>-278.25</v>
      </c>
      <c r="K119" s="240">
        <v>-250.25</v>
      </c>
    </row>
    <row r="120" spans="1:11" x14ac:dyDescent="0.3">
      <c r="A120" s="239">
        <v>46202</v>
      </c>
      <c r="B120" s="240"/>
      <c r="C120" s="241"/>
      <c r="D120" s="241"/>
      <c r="E120" s="240"/>
      <c r="F120" s="240"/>
      <c r="G120" s="240"/>
      <c r="H120" s="240"/>
      <c r="I120" s="240">
        <v>-270</v>
      </c>
      <c r="J120" s="240">
        <v>-278.25</v>
      </c>
      <c r="K120" s="240">
        <v>-250.25</v>
      </c>
    </row>
    <row r="121" spans="1:11" x14ac:dyDescent="0.3">
      <c r="A121" s="239">
        <v>46203</v>
      </c>
      <c r="B121" s="240" t="s">
        <v>19</v>
      </c>
      <c r="C121" s="241" t="s">
        <v>114</v>
      </c>
      <c r="D121" s="241" t="s">
        <v>115</v>
      </c>
      <c r="E121" s="240">
        <v>2.2749999999999999</v>
      </c>
      <c r="F121" s="240">
        <v>-3.5000000000000142</v>
      </c>
      <c r="G121" s="240">
        <v>-3.5000000000000142</v>
      </c>
      <c r="H121" s="240">
        <v>-0.14000000000000057</v>
      </c>
      <c r="I121" s="240">
        <v>0</v>
      </c>
      <c r="J121" s="240">
        <v>-0.24999999999999467</v>
      </c>
      <c r="K121" s="240">
        <v>-3.2500000000000195</v>
      </c>
    </row>
    <row r="122" spans="1:11" x14ac:dyDescent="0.3">
      <c r="A122" s="239">
        <v>46203</v>
      </c>
      <c r="B122" s="240" t="s">
        <v>10</v>
      </c>
      <c r="C122" s="241" t="s">
        <v>115</v>
      </c>
      <c r="D122" s="241" t="s">
        <v>116</v>
      </c>
      <c r="E122" s="240">
        <v>2.2999999999999998</v>
      </c>
      <c r="F122" s="240">
        <v>2.4999999999999911</v>
      </c>
      <c r="G122" s="240">
        <v>-1.0000000000000231</v>
      </c>
      <c r="H122" s="240">
        <v>-4.0000000000000924E-2</v>
      </c>
      <c r="I122" s="240">
        <v>0.24999999999999467</v>
      </c>
      <c r="J122" s="240">
        <v>0</v>
      </c>
      <c r="K122" s="240">
        <v>-8.7500000000000355</v>
      </c>
    </row>
    <row r="123" spans="1:11" x14ac:dyDescent="0.3">
      <c r="A123" s="239">
        <v>46203</v>
      </c>
      <c r="B123" s="240" t="s">
        <v>11</v>
      </c>
      <c r="C123" s="241" t="s">
        <v>116</v>
      </c>
      <c r="D123" s="241" t="s">
        <v>117</v>
      </c>
      <c r="E123" s="240">
        <v>2.3650000000000002</v>
      </c>
      <c r="F123" s="240">
        <v>6.5000000000000391</v>
      </c>
      <c r="G123" s="240">
        <v>5.500000000000016</v>
      </c>
      <c r="H123" s="240">
        <v>0.22000000000000064</v>
      </c>
      <c r="I123" s="240">
        <v>1.7500000000000071</v>
      </c>
      <c r="J123" s="240">
        <v>0.75000000000002842</v>
      </c>
      <c r="K123" s="240">
        <v>-11.249999999999982</v>
      </c>
    </row>
    <row r="124" spans="1:11" x14ac:dyDescent="0.3">
      <c r="A124" s="239">
        <v>46203</v>
      </c>
      <c r="B124" s="240" t="s">
        <v>13</v>
      </c>
      <c r="C124" s="241" t="s">
        <v>117</v>
      </c>
      <c r="D124" s="241">
        <v>46415</v>
      </c>
      <c r="E124" s="240">
        <v>2.44</v>
      </c>
      <c r="F124" s="240">
        <v>7.4999999999999734</v>
      </c>
      <c r="G124" s="240">
        <v>12.999999999999989</v>
      </c>
      <c r="H124" s="240">
        <v>0.51999999999999957</v>
      </c>
      <c r="I124" s="240">
        <v>2.2499999999999964</v>
      </c>
      <c r="J124" s="240">
        <v>-0.49999999999998934</v>
      </c>
      <c r="K124" s="240" t="s">
        <v>41</v>
      </c>
    </row>
    <row r="125" spans="1:11" x14ac:dyDescent="0.3">
      <c r="A125" s="239">
        <v>46203</v>
      </c>
      <c r="B125" s="240" t="s">
        <v>28</v>
      </c>
      <c r="C125" s="241">
        <v>46415</v>
      </c>
      <c r="D125" s="241">
        <v>46464</v>
      </c>
      <c r="E125" s="240">
        <v>2.5225</v>
      </c>
      <c r="F125" s="240">
        <v>8.2500000000000018</v>
      </c>
      <c r="G125" s="240">
        <v>21.249999999999993</v>
      </c>
      <c r="H125" s="240">
        <v>0.84999999999999976</v>
      </c>
      <c r="I125" s="240">
        <v>2.7499999999999858</v>
      </c>
      <c r="J125" s="240">
        <v>-1.2500000000000178</v>
      </c>
      <c r="K125" s="240" t="s">
        <v>41</v>
      </c>
    </row>
    <row r="126" spans="1:11" x14ac:dyDescent="0.3">
      <c r="A126" s="239">
        <v>46203</v>
      </c>
      <c r="B126" s="240" t="s">
        <v>15</v>
      </c>
      <c r="C126" s="241">
        <v>46464</v>
      </c>
      <c r="D126" s="241">
        <v>46506</v>
      </c>
      <c r="E126" s="240">
        <v>2.5975000000000001</v>
      </c>
      <c r="F126" s="240">
        <v>7.5000000000000178</v>
      </c>
      <c r="G126" s="240">
        <v>28.750000000000007</v>
      </c>
      <c r="H126" s="240">
        <v>1.1500000000000004</v>
      </c>
      <c r="I126" s="240">
        <v>2.7500000000000302</v>
      </c>
      <c r="J126" s="240">
        <v>-1.499999999999968</v>
      </c>
      <c r="K126" s="240" t="s">
        <v>41</v>
      </c>
    </row>
    <row r="127" spans="1:11" x14ac:dyDescent="0.3">
      <c r="A127" s="239">
        <v>46203</v>
      </c>
      <c r="B127" s="240" t="s">
        <v>16</v>
      </c>
      <c r="C127" s="241">
        <v>46506</v>
      </c>
      <c r="D127" s="241">
        <v>46548</v>
      </c>
      <c r="E127" s="240">
        <v>2.6724999999999999</v>
      </c>
      <c r="F127" s="240">
        <v>7.4999999999999734</v>
      </c>
      <c r="G127" s="240">
        <v>36.249999999999986</v>
      </c>
      <c r="H127" s="240">
        <v>1.4499999999999995</v>
      </c>
      <c r="I127" s="240">
        <v>2.7499999999999858</v>
      </c>
      <c r="J127" s="240">
        <v>-1.7500000000000071</v>
      </c>
      <c r="K127" s="240" t="s">
        <v>41</v>
      </c>
    </row>
    <row r="128" spans="1:11" x14ac:dyDescent="0.3">
      <c r="A128" s="239">
        <v>46203</v>
      </c>
      <c r="B128" s="240" t="s">
        <v>28</v>
      </c>
      <c r="C128" s="241"/>
      <c r="D128" s="241"/>
      <c r="E128" s="240">
        <v>2.7250000000000001</v>
      </c>
      <c r="F128" s="240">
        <v>5.2500000000000213</v>
      </c>
      <c r="G128" s="240">
        <v>41.5</v>
      </c>
      <c r="H128" s="240">
        <v>1.66</v>
      </c>
      <c r="I128" s="240">
        <v>2.7500000000000302</v>
      </c>
      <c r="J128" s="240">
        <v>-1.7500000000000071</v>
      </c>
      <c r="K128" s="240">
        <v>14.500000000000002</v>
      </c>
    </row>
    <row r="129" spans="1:11" x14ac:dyDescent="0.3">
      <c r="A129" s="239">
        <v>46203</v>
      </c>
      <c r="B129" s="240"/>
      <c r="C129" s="241"/>
      <c r="D129" s="241"/>
      <c r="E129" s="240"/>
      <c r="F129" s="240"/>
      <c r="G129" s="240"/>
      <c r="H129" s="240"/>
      <c r="I129" s="240">
        <v>-269.75</v>
      </c>
      <c r="J129" s="240">
        <v>-274.25</v>
      </c>
      <c r="K129" s="240">
        <v>-258</v>
      </c>
    </row>
    <row r="130" spans="1:11" x14ac:dyDescent="0.3">
      <c r="A130" s="239">
        <v>46203</v>
      </c>
      <c r="B130" s="240"/>
      <c r="C130" s="241"/>
      <c r="D130" s="241"/>
      <c r="E130" s="240"/>
      <c r="F130" s="240"/>
      <c r="G130" s="240"/>
      <c r="H130" s="240"/>
      <c r="I130" s="240">
        <v>-269.75</v>
      </c>
      <c r="J130" s="240">
        <v>-274.25</v>
      </c>
      <c r="K130" s="240">
        <v>-258</v>
      </c>
    </row>
    <row r="131" spans="1:11" x14ac:dyDescent="0.3">
      <c r="A131" s="239">
        <v>46203</v>
      </c>
      <c r="B131" s="240"/>
      <c r="C131" s="241"/>
      <c r="D131" s="241"/>
      <c r="E131" s="240"/>
      <c r="F131" s="240"/>
      <c r="G131" s="240"/>
      <c r="H131" s="240"/>
      <c r="I131" s="240">
        <v>-269.75</v>
      </c>
      <c r="J131" s="240">
        <v>-274.25</v>
      </c>
      <c r="K131" s="240">
        <v>-258</v>
      </c>
    </row>
    <row r="132" spans="1:11" x14ac:dyDescent="0.3">
      <c r="A132" s="239">
        <v>46203</v>
      </c>
      <c r="B132" s="240"/>
      <c r="C132" s="241"/>
      <c r="D132" s="241"/>
      <c r="E132" s="240"/>
      <c r="F132" s="240"/>
      <c r="G132" s="240"/>
      <c r="H132" s="240"/>
      <c r="I132" s="240">
        <v>-269.75</v>
      </c>
      <c r="J132" s="240">
        <v>-274.25</v>
      </c>
      <c r="K132" s="240">
        <v>-258</v>
      </c>
    </row>
    <row r="133" spans="1:11" x14ac:dyDescent="0.3">
      <c r="A133" s="239">
        <v>46204</v>
      </c>
      <c r="B133" s="240" t="s">
        <v>19</v>
      </c>
      <c r="C133" s="241" t="s">
        <v>114</v>
      </c>
      <c r="D133" s="241" t="s">
        <v>115</v>
      </c>
      <c r="E133" s="240">
        <v>2.2725</v>
      </c>
      <c r="F133" s="240">
        <v>-3.7500000000000089</v>
      </c>
      <c r="G133" s="240">
        <v>-3.7500000000000089</v>
      </c>
      <c r="H133" s="240">
        <v>-0.15000000000000036</v>
      </c>
      <c r="I133" s="240">
        <v>-0.24999999999999467</v>
      </c>
      <c r="J133" s="240">
        <v>-0.24999999999999467</v>
      </c>
      <c r="K133" s="240">
        <v>-2.0000000000000018</v>
      </c>
    </row>
    <row r="134" spans="1:11" x14ac:dyDescent="0.3">
      <c r="A134" s="239">
        <v>46204</v>
      </c>
      <c r="B134" s="240" t="s">
        <v>10</v>
      </c>
      <c r="C134" s="241" t="s">
        <v>115</v>
      </c>
      <c r="D134" s="241" t="s">
        <v>116</v>
      </c>
      <c r="E134" s="240">
        <v>2.2974999999999999</v>
      </c>
      <c r="F134" s="240">
        <v>2.4999999999999911</v>
      </c>
      <c r="G134" s="240">
        <v>-1.2500000000000178</v>
      </c>
      <c r="H134" s="240">
        <v>-5.0000000000000711E-2</v>
      </c>
      <c r="I134" s="240">
        <v>-0.24999999999999467</v>
      </c>
      <c r="J134" s="240">
        <v>0.74999999999998401</v>
      </c>
      <c r="K134" s="240">
        <v>-7.0000000000000284</v>
      </c>
    </row>
    <row r="135" spans="1:11" x14ac:dyDescent="0.3">
      <c r="A135" s="239">
        <v>46204</v>
      </c>
      <c r="B135" s="240" t="s">
        <v>11</v>
      </c>
      <c r="C135" s="241" t="s">
        <v>116</v>
      </c>
      <c r="D135" s="241" t="s">
        <v>117</v>
      </c>
      <c r="E135" s="240">
        <v>2.36</v>
      </c>
      <c r="F135" s="240">
        <v>6.25</v>
      </c>
      <c r="G135" s="240">
        <v>4.9999999999999822</v>
      </c>
      <c r="H135" s="240">
        <v>0.19999999999999929</v>
      </c>
      <c r="I135" s="240">
        <v>-0.50000000000003375</v>
      </c>
      <c r="J135" s="240">
        <v>2.4999999999999911</v>
      </c>
      <c r="K135" s="240">
        <v>-10.250000000000004</v>
      </c>
    </row>
    <row r="136" spans="1:11" x14ac:dyDescent="0.3">
      <c r="A136" s="239">
        <v>46204</v>
      </c>
      <c r="B136" s="240" t="s">
        <v>13</v>
      </c>
      <c r="C136" s="241" t="s">
        <v>117</v>
      </c>
      <c r="D136" s="241">
        <v>46415</v>
      </c>
      <c r="E136" s="240">
        <v>2.4300000000000002</v>
      </c>
      <c r="F136" s="240">
        <v>7.0000000000000284</v>
      </c>
      <c r="G136" s="240">
        <v>12.000000000000011</v>
      </c>
      <c r="H136" s="240">
        <v>0.48000000000000043</v>
      </c>
      <c r="I136" s="240">
        <v>-0.99999999999997868</v>
      </c>
      <c r="J136" s="240">
        <v>2.7500000000000302</v>
      </c>
      <c r="K136" s="240" t="s">
        <v>41</v>
      </c>
    </row>
    <row r="137" spans="1:11" x14ac:dyDescent="0.3">
      <c r="A137" s="239">
        <v>46204</v>
      </c>
      <c r="B137" s="240" t="s">
        <v>28</v>
      </c>
      <c r="C137" s="241">
        <v>46415</v>
      </c>
      <c r="D137" s="241">
        <v>46464</v>
      </c>
      <c r="E137" s="240">
        <v>2.5099999999999998</v>
      </c>
      <c r="F137" s="240">
        <v>7.9999999999999627</v>
      </c>
      <c r="G137" s="240">
        <v>19.999999999999972</v>
      </c>
      <c r="H137" s="240">
        <v>0.79999999999999882</v>
      </c>
      <c r="I137" s="240">
        <v>-1.2500000000000178</v>
      </c>
      <c r="J137" s="240">
        <v>2.9999999999999805</v>
      </c>
      <c r="K137" s="240" t="s">
        <v>41</v>
      </c>
    </row>
    <row r="138" spans="1:11" x14ac:dyDescent="0.3">
      <c r="A138" s="239">
        <v>46204</v>
      </c>
      <c r="B138" s="240" t="s">
        <v>15</v>
      </c>
      <c r="C138" s="241">
        <v>46464</v>
      </c>
      <c r="D138" s="241">
        <v>46506</v>
      </c>
      <c r="E138" s="240">
        <v>2.58</v>
      </c>
      <c r="F138" s="240">
        <v>7.0000000000000284</v>
      </c>
      <c r="G138" s="240">
        <v>27</v>
      </c>
      <c r="H138" s="240">
        <v>1.08</v>
      </c>
      <c r="I138" s="240">
        <v>-1.7500000000000071</v>
      </c>
      <c r="J138" s="240">
        <v>2.0000000000000018</v>
      </c>
      <c r="K138" s="240" t="s">
        <v>41</v>
      </c>
    </row>
    <row r="139" spans="1:11" x14ac:dyDescent="0.3">
      <c r="A139" s="239">
        <v>46204</v>
      </c>
      <c r="B139" s="240" t="s">
        <v>16</v>
      </c>
      <c r="C139" s="241">
        <v>46506</v>
      </c>
      <c r="D139" s="241">
        <v>46548</v>
      </c>
      <c r="E139" s="240">
        <v>2.6524999999999999</v>
      </c>
      <c r="F139" s="240">
        <v>7.2499999999999787</v>
      </c>
      <c r="G139" s="240">
        <v>34.249999999999979</v>
      </c>
      <c r="H139" s="240">
        <v>1.3699999999999992</v>
      </c>
      <c r="I139" s="240">
        <v>-2.0000000000000018</v>
      </c>
      <c r="J139" s="240">
        <v>1.2499999999999734</v>
      </c>
      <c r="K139" s="240" t="s">
        <v>41</v>
      </c>
    </row>
    <row r="140" spans="1:11" x14ac:dyDescent="0.3">
      <c r="A140" s="239">
        <v>46204</v>
      </c>
      <c r="B140" s="240" t="s">
        <v>28</v>
      </c>
      <c r="C140" s="241"/>
      <c r="D140" s="241"/>
      <c r="E140" s="240">
        <v>2.7050000000000001</v>
      </c>
      <c r="F140" s="240">
        <v>5.2500000000000213</v>
      </c>
      <c r="G140" s="240">
        <v>39.5</v>
      </c>
      <c r="H140" s="240">
        <v>1.58</v>
      </c>
      <c r="I140" s="240">
        <v>-2.0000000000000018</v>
      </c>
      <c r="J140" s="240">
        <v>1.2500000000000178</v>
      </c>
      <c r="K140" s="240">
        <v>13.750000000000018</v>
      </c>
    </row>
    <row r="141" spans="1:11" x14ac:dyDescent="0.3">
      <c r="A141" s="239">
        <v>46204</v>
      </c>
      <c r="B141" s="240"/>
      <c r="C141" s="241"/>
      <c r="D141" s="241"/>
      <c r="E141" s="240"/>
      <c r="F141" s="240"/>
      <c r="G141" s="240"/>
      <c r="H141" s="240"/>
      <c r="I141" s="240">
        <v>-272.5</v>
      </c>
      <c r="J141" s="240">
        <v>-269.25</v>
      </c>
      <c r="K141" s="240">
        <v>-256.75</v>
      </c>
    </row>
    <row r="142" spans="1:11" x14ac:dyDescent="0.3">
      <c r="A142" s="239">
        <v>46204</v>
      </c>
      <c r="B142" s="240"/>
      <c r="C142" s="241"/>
      <c r="D142" s="241"/>
      <c r="E142" s="240"/>
      <c r="F142" s="240"/>
      <c r="G142" s="240"/>
      <c r="H142" s="240"/>
      <c r="I142" s="240">
        <v>-272.5</v>
      </c>
      <c r="J142" s="240">
        <v>-269.25</v>
      </c>
      <c r="K142" s="240">
        <v>-256.75</v>
      </c>
    </row>
    <row r="143" spans="1:11" x14ac:dyDescent="0.3">
      <c r="A143" s="239">
        <v>46204</v>
      </c>
      <c r="B143" s="240"/>
      <c r="C143" s="241"/>
      <c r="D143" s="241"/>
      <c r="E143" s="240"/>
      <c r="F143" s="240"/>
      <c r="G143" s="240"/>
      <c r="H143" s="240"/>
      <c r="I143" s="240">
        <v>-272.5</v>
      </c>
      <c r="J143" s="240">
        <v>-269.25</v>
      </c>
      <c r="K143" s="240">
        <v>-256.75</v>
      </c>
    </row>
    <row r="144" spans="1:11" x14ac:dyDescent="0.3">
      <c r="A144" s="239">
        <v>46204</v>
      </c>
      <c r="B144" s="240"/>
      <c r="C144" s="241"/>
      <c r="D144" s="241"/>
      <c r="E144" s="240"/>
      <c r="F144" s="240"/>
      <c r="G144" s="240"/>
      <c r="H144" s="240"/>
      <c r="I144" s="240">
        <v>-272.5</v>
      </c>
      <c r="J144" s="240">
        <v>-269.25</v>
      </c>
      <c r="K144" s="240">
        <v>-256.75</v>
      </c>
    </row>
    <row r="145" spans="1:11" x14ac:dyDescent="0.3">
      <c r="A145" s="239">
        <v>46205</v>
      </c>
      <c r="B145" s="240" t="s">
        <v>19</v>
      </c>
      <c r="C145" s="241" t="s">
        <v>114</v>
      </c>
      <c r="D145" s="241" t="s">
        <v>115</v>
      </c>
      <c r="E145" s="240">
        <v>2.2774999999999999</v>
      </c>
      <c r="F145" s="240">
        <v>-6.25</v>
      </c>
      <c r="G145" s="240">
        <v>-6.25</v>
      </c>
      <c r="H145" s="240">
        <v>-0.25</v>
      </c>
      <c r="I145" s="240">
        <v>0.49999999999998934</v>
      </c>
      <c r="J145" s="240">
        <v>0.24999999999999467</v>
      </c>
      <c r="K145" s="240">
        <v>-1.0000000000000231</v>
      </c>
    </row>
    <row r="146" spans="1:11" x14ac:dyDescent="0.3">
      <c r="A146" s="239">
        <v>46205</v>
      </c>
      <c r="B146" s="240" t="s">
        <v>10</v>
      </c>
      <c r="C146" s="241" t="s">
        <v>115</v>
      </c>
      <c r="D146" s="241" t="s">
        <v>116</v>
      </c>
      <c r="E146" s="240">
        <v>2.2949999999999999</v>
      </c>
      <c r="F146" s="240">
        <v>1.7500000000000071</v>
      </c>
      <c r="G146" s="240">
        <v>-4.4999999999999929</v>
      </c>
      <c r="H146" s="240">
        <v>-0.17999999999999972</v>
      </c>
      <c r="I146" s="240">
        <v>-0.24999999999999467</v>
      </c>
      <c r="J146" s="240">
        <v>-0.24999999999999467</v>
      </c>
      <c r="K146" s="240">
        <v>-6.0000000000000053</v>
      </c>
    </row>
    <row r="147" spans="1:11" x14ac:dyDescent="0.3">
      <c r="A147" s="239">
        <v>46205</v>
      </c>
      <c r="B147" s="240" t="s">
        <v>11</v>
      </c>
      <c r="C147" s="241" t="s">
        <v>116</v>
      </c>
      <c r="D147" s="241" t="s">
        <v>117</v>
      </c>
      <c r="E147" s="240">
        <v>2.355</v>
      </c>
      <c r="F147" s="240">
        <v>6.0000000000000053</v>
      </c>
      <c r="G147" s="240">
        <v>1.5000000000000124</v>
      </c>
      <c r="H147" s="240">
        <v>6.0000000000000497E-2</v>
      </c>
      <c r="I147" s="240">
        <v>-0.49999999999998934</v>
      </c>
      <c r="J147" s="240">
        <v>0.49999999999998934</v>
      </c>
      <c r="K147" s="240">
        <v>-8.9999999999999858</v>
      </c>
    </row>
    <row r="148" spans="1:11" x14ac:dyDescent="0.3">
      <c r="A148" s="239">
        <v>46205</v>
      </c>
      <c r="B148" s="240" t="s">
        <v>13</v>
      </c>
      <c r="C148" s="241" t="s">
        <v>117</v>
      </c>
      <c r="D148" s="241">
        <v>46415</v>
      </c>
      <c r="E148" s="240">
        <v>2.4300000000000002</v>
      </c>
      <c r="F148" s="240">
        <v>7.5000000000000178</v>
      </c>
      <c r="G148" s="240">
        <v>9.0000000000000302</v>
      </c>
      <c r="H148" s="240">
        <v>0.36000000000000121</v>
      </c>
      <c r="I148" s="240">
        <v>0</v>
      </c>
      <c r="J148" s="240">
        <v>1.2500000000000178</v>
      </c>
      <c r="K148" s="240" t="s">
        <v>41</v>
      </c>
    </row>
    <row r="149" spans="1:11" x14ac:dyDescent="0.3">
      <c r="A149" s="239">
        <v>46205</v>
      </c>
      <c r="B149" s="240" t="s">
        <v>28</v>
      </c>
      <c r="C149" s="241">
        <v>46415</v>
      </c>
      <c r="D149" s="241">
        <v>46464</v>
      </c>
      <c r="E149" s="240">
        <v>2.5099999999999998</v>
      </c>
      <c r="F149" s="240">
        <v>7.9999999999999627</v>
      </c>
      <c r="G149" s="240">
        <v>16.999999999999993</v>
      </c>
      <c r="H149" s="240">
        <v>0.67999999999999972</v>
      </c>
      <c r="I149" s="240">
        <v>0</v>
      </c>
      <c r="J149" s="240">
        <v>1.7499999999999627</v>
      </c>
      <c r="K149" s="240" t="s">
        <v>41</v>
      </c>
    </row>
    <row r="150" spans="1:11" x14ac:dyDescent="0.3">
      <c r="A150" s="239">
        <v>46205</v>
      </c>
      <c r="B150" s="240" t="s">
        <v>15</v>
      </c>
      <c r="C150" s="241">
        <v>46464</v>
      </c>
      <c r="D150" s="241">
        <v>46506</v>
      </c>
      <c r="E150" s="240">
        <v>2.59</v>
      </c>
      <c r="F150" s="240">
        <v>8.0000000000000071</v>
      </c>
      <c r="G150" s="240">
        <v>25</v>
      </c>
      <c r="H150" s="240">
        <v>1</v>
      </c>
      <c r="I150" s="240">
        <v>0.99999999999997868</v>
      </c>
      <c r="J150" s="240">
        <v>2.4999999999999911</v>
      </c>
      <c r="K150" s="240" t="s">
        <v>41</v>
      </c>
    </row>
    <row r="151" spans="1:11" x14ac:dyDescent="0.3">
      <c r="A151" s="239">
        <v>46205</v>
      </c>
      <c r="B151" s="240" t="s">
        <v>16</v>
      </c>
      <c r="C151" s="241">
        <v>46506</v>
      </c>
      <c r="D151" s="241">
        <v>46548</v>
      </c>
      <c r="E151" s="240">
        <v>2.665</v>
      </c>
      <c r="F151" s="240">
        <v>7.5000000000000178</v>
      </c>
      <c r="G151" s="240">
        <v>32.500000000000014</v>
      </c>
      <c r="H151" s="240">
        <v>1.3000000000000005</v>
      </c>
      <c r="I151" s="240">
        <v>1.2500000000000178</v>
      </c>
      <c r="J151" s="240">
        <v>2.7499999999999858</v>
      </c>
      <c r="K151" s="240" t="s">
        <v>41</v>
      </c>
    </row>
    <row r="152" spans="1:11" x14ac:dyDescent="0.3">
      <c r="A152" s="239">
        <v>46205</v>
      </c>
      <c r="B152" s="240" t="s">
        <v>28</v>
      </c>
      <c r="C152" s="241"/>
      <c r="D152" s="241"/>
      <c r="E152" s="240">
        <v>2.7225000000000001</v>
      </c>
      <c r="F152" s="240">
        <v>5.7500000000000107</v>
      </c>
      <c r="G152" s="240">
        <v>38.250000000000028</v>
      </c>
      <c r="H152" s="240">
        <v>1.5300000000000011</v>
      </c>
      <c r="I152" s="240">
        <v>1.7500000000000071</v>
      </c>
      <c r="J152" s="240">
        <v>3.2500000000000195</v>
      </c>
      <c r="K152" s="240">
        <v>17.250000000000032</v>
      </c>
    </row>
    <row r="153" spans="1:11" x14ac:dyDescent="0.3">
      <c r="A153" s="239">
        <v>46205</v>
      </c>
      <c r="B153" s="240"/>
      <c r="C153" s="241"/>
      <c r="D153" s="241"/>
      <c r="E153" s="240"/>
      <c r="F153" s="240"/>
      <c r="G153" s="240"/>
      <c r="H153" s="240"/>
      <c r="I153" s="240">
        <v>-270.5</v>
      </c>
      <c r="J153" s="240">
        <v>-269</v>
      </c>
      <c r="K153" s="240">
        <v>-254.99999999999997</v>
      </c>
    </row>
    <row r="154" spans="1:11" x14ac:dyDescent="0.3">
      <c r="A154" s="239">
        <v>46205</v>
      </c>
      <c r="B154" s="240"/>
      <c r="C154" s="241"/>
      <c r="D154" s="241"/>
      <c r="E154" s="240"/>
      <c r="F154" s="240"/>
      <c r="G154" s="240"/>
      <c r="H154" s="240"/>
      <c r="I154" s="240">
        <v>-270.5</v>
      </c>
      <c r="J154" s="240">
        <v>-269</v>
      </c>
      <c r="K154" s="240">
        <v>-254.99999999999997</v>
      </c>
    </row>
    <row r="155" spans="1:11" x14ac:dyDescent="0.3">
      <c r="A155" s="239">
        <v>46205</v>
      </c>
      <c r="B155" s="240"/>
      <c r="C155" s="241"/>
      <c r="D155" s="241"/>
      <c r="E155" s="240"/>
      <c r="F155" s="240"/>
      <c r="G155" s="240"/>
      <c r="H155" s="240"/>
      <c r="I155" s="240">
        <v>-270.5</v>
      </c>
      <c r="J155" s="240">
        <v>-269</v>
      </c>
      <c r="K155" s="240">
        <v>-254.99999999999997</v>
      </c>
    </row>
    <row r="156" spans="1:11" x14ac:dyDescent="0.3">
      <c r="A156" s="239">
        <v>46205</v>
      </c>
      <c r="B156" s="240"/>
      <c r="C156" s="241"/>
      <c r="D156" s="241"/>
      <c r="E156" s="240"/>
      <c r="F156" s="240"/>
      <c r="G156" s="240"/>
      <c r="H156" s="240"/>
      <c r="I156" s="240">
        <v>-270.5</v>
      </c>
      <c r="J156" s="240">
        <v>-269</v>
      </c>
      <c r="K156" s="240">
        <v>-254.99999999999997</v>
      </c>
    </row>
    <row r="157" spans="1:11" x14ac:dyDescent="0.3">
      <c r="A157" s="239">
        <v>46206</v>
      </c>
      <c r="B157" s="240" t="s">
        <v>19</v>
      </c>
      <c r="C157" s="241" t="s">
        <v>114</v>
      </c>
      <c r="D157" s="241" t="s">
        <v>115</v>
      </c>
      <c r="E157" s="240">
        <v>2.2774999999999999</v>
      </c>
      <c r="F157" s="240">
        <v>-2.2499999999999964</v>
      </c>
      <c r="G157" s="240">
        <v>-2.2499999999999964</v>
      </c>
      <c r="H157" s="240">
        <v>-8.9999999999999858E-2</v>
      </c>
      <c r="I157" s="240">
        <v>0</v>
      </c>
      <c r="J157" s="240">
        <v>0.24999999999999467</v>
      </c>
      <c r="K157" s="240">
        <v>-0.50000000000003375</v>
      </c>
    </row>
    <row r="158" spans="1:11" x14ac:dyDescent="0.3">
      <c r="A158" s="239">
        <v>46206</v>
      </c>
      <c r="B158" s="240" t="s">
        <v>10</v>
      </c>
      <c r="C158" s="241" t="s">
        <v>115</v>
      </c>
      <c r="D158" s="241" t="s">
        <v>116</v>
      </c>
      <c r="E158" s="240">
        <v>2.2925</v>
      </c>
      <c r="F158" s="240">
        <v>1.5000000000000124</v>
      </c>
      <c r="G158" s="240">
        <v>-0.74999999999998401</v>
      </c>
      <c r="H158" s="240">
        <v>-2.9999999999999361E-2</v>
      </c>
      <c r="I158" s="240">
        <v>-0.24999999999999467</v>
      </c>
      <c r="J158" s="240">
        <v>-0.49999999999998934</v>
      </c>
      <c r="K158" s="240">
        <v>-5.7500000000000107</v>
      </c>
    </row>
    <row r="159" spans="1:11" x14ac:dyDescent="0.3">
      <c r="A159" s="239">
        <v>46206</v>
      </c>
      <c r="B159" s="240" t="s">
        <v>11</v>
      </c>
      <c r="C159" s="241" t="s">
        <v>116</v>
      </c>
      <c r="D159" s="241" t="s">
        <v>117</v>
      </c>
      <c r="E159" s="240">
        <v>2.3450000000000002</v>
      </c>
      <c r="F159" s="240">
        <v>5.2500000000000213</v>
      </c>
      <c r="G159" s="240">
        <v>4.5000000000000373</v>
      </c>
      <c r="H159" s="240">
        <v>0.18000000000000149</v>
      </c>
      <c r="I159" s="240">
        <v>-0.99999999999997868</v>
      </c>
      <c r="J159" s="240">
        <v>-0.24999999999999467</v>
      </c>
      <c r="K159" s="240">
        <v>-9.9999999999999645</v>
      </c>
    </row>
    <row r="160" spans="1:11" x14ac:dyDescent="0.3">
      <c r="A160" s="239">
        <v>46206</v>
      </c>
      <c r="B160" s="240" t="s">
        <v>13</v>
      </c>
      <c r="C160" s="241" t="s">
        <v>117</v>
      </c>
      <c r="D160" s="241">
        <v>46415</v>
      </c>
      <c r="E160" s="240">
        <v>2.415</v>
      </c>
      <c r="F160" s="240">
        <v>6.999999999999984</v>
      </c>
      <c r="G160" s="240">
        <v>11.500000000000021</v>
      </c>
      <c r="H160" s="240">
        <v>0.46000000000000085</v>
      </c>
      <c r="I160" s="240">
        <v>-1.5000000000000124</v>
      </c>
      <c r="J160" s="240">
        <v>-0.49999999999998934</v>
      </c>
      <c r="K160" s="240" t="s">
        <v>41</v>
      </c>
    </row>
    <row r="161" spans="1:11" x14ac:dyDescent="0.3">
      <c r="A161" s="239">
        <v>46206</v>
      </c>
      <c r="B161" s="240" t="s">
        <v>28</v>
      </c>
      <c r="C161" s="241">
        <v>46415</v>
      </c>
      <c r="D161" s="241">
        <v>46464</v>
      </c>
      <c r="E161" s="240">
        <v>2.4925000000000002</v>
      </c>
      <c r="F161" s="240">
        <v>7.7500000000000124</v>
      </c>
      <c r="G161" s="240">
        <v>19.250000000000036</v>
      </c>
      <c r="H161" s="240">
        <v>0.77000000000000146</v>
      </c>
      <c r="I161" s="240">
        <v>-1.7499999999999627</v>
      </c>
      <c r="J161" s="240">
        <v>-0.49999999999998934</v>
      </c>
      <c r="K161" s="240" t="s">
        <v>41</v>
      </c>
    </row>
    <row r="162" spans="1:11" x14ac:dyDescent="0.3">
      <c r="A162" s="239">
        <v>46206</v>
      </c>
      <c r="B162" s="240" t="s">
        <v>15</v>
      </c>
      <c r="C162" s="241">
        <v>46464</v>
      </c>
      <c r="D162" s="241">
        <v>46506</v>
      </c>
      <c r="E162" s="240">
        <v>2.5674999999999999</v>
      </c>
      <c r="F162" s="240">
        <v>7.4999999999999734</v>
      </c>
      <c r="G162" s="240">
        <v>26.750000000000007</v>
      </c>
      <c r="H162" s="240">
        <v>1.0700000000000003</v>
      </c>
      <c r="I162" s="240">
        <v>-2.2499999999999964</v>
      </c>
      <c r="J162" s="240">
        <v>-0.49999999999998934</v>
      </c>
      <c r="K162" s="240" t="s">
        <v>41</v>
      </c>
    </row>
    <row r="163" spans="1:11" x14ac:dyDescent="0.3">
      <c r="A163" s="239">
        <v>46206</v>
      </c>
      <c r="B163" s="240" t="s">
        <v>16</v>
      </c>
      <c r="C163" s="241">
        <v>46506</v>
      </c>
      <c r="D163" s="241">
        <v>46548</v>
      </c>
      <c r="E163" s="240">
        <v>2.6425000000000001</v>
      </c>
      <c r="F163" s="240">
        <v>7.5000000000000178</v>
      </c>
      <c r="G163" s="240">
        <v>34.250000000000028</v>
      </c>
      <c r="H163" s="240">
        <v>1.3700000000000012</v>
      </c>
      <c r="I163" s="240">
        <v>-2.2499999999999964</v>
      </c>
      <c r="J163" s="240">
        <v>-0.49999999999998934</v>
      </c>
      <c r="K163" s="240" t="s">
        <v>41</v>
      </c>
    </row>
    <row r="164" spans="1:11" x14ac:dyDescent="0.3">
      <c r="A164" s="239">
        <v>46206</v>
      </c>
      <c r="B164" s="240" t="s">
        <v>28</v>
      </c>
      <c r="C164" s="241"/>
      <c r="D164" s="241"/>
      <c r="E164" s="240">
        <v>2.7</v>
      </c>
      <c r="F164" s="240">
        <v>5.7500000000000107</v>
      </c>
      <c r="G164" s="240">
        <v>40.000000000000036</v>
      </c>
      <c r="H164" s="240">
        <v>1.6000000000000014</v>
      </c>
      <c r="I164" s="240">
        <v>-2.2499999999999964</v>
      </c>
      <c r="J164" s="240">
        <v>0</v>
      </c>
      <c r="K164" s="240">
        <v>14.000000000000012</v>
      </c>
    </row>
    <row r="165" spans="1:11" x14ac:dyDescent="0.3">
      <c r="A165" s="239">
        <v>46206</v>
      </c>
      <c r="B165" s="240"/>
      <c r="C165" s="241"/>
      <c r="D165" s="241"/>
      <c r="E165" s="240"/>
      <c r="F165" s="240"/>
      <c r="G165" s="240"/>
      <c r="H165" s="240"/>
      <c r="I165" s="240">
        <v>-272.25</v>
      </c>
      <c r="J165" s="240">
        <v>-270</v>
      </c>
      <c r="K165" s="240">
        <v>-256</v>
      </c>
    </row>
    <row r="166" spans="1:11" x14ac:dyDescent="0.3">
      <c r="A166" s="239">
        <v>46206</v>
      </c>
      <c r="B166" s="240"/>
      <c r="C166" s="241"/>
      <c r="D166" s="241"/>
      <c r="E166" s="240"/>
      <c r="F166" s="240"/>
      <c r="G166" s="240"/>
      <c r="H166" s="240"/>
      <c r="I166" s="240">
        <v>-272.25</v>
      </c>
      <c r="J166" s="240">
        <v>-270</v>
      </c>
      <c r="K166" s="240">
        <v>-256</v>
      </c>
    </row>
    <row r="167" spans="1:11" x14ac:dyDescent="0.3">
      <c r="A167" s="239">
        <v>46206</v>
      </c>
      <c r="B167" s="240"/>
      <c r="C167" s="241"/>
      <c r="D167" s="241"/>
      <c r="E167" s="240"/>
      <c r="F167" s="240"/>
      <c r="G167" s="240"/>
      <c r="H167" s="240"/>
      <c r="I167" s="240">
        <v>-272.25</v>
      </c>
      <c r="J167" s="240">
        <v>-270</v>
      </c>
      <c r="K167" s="240">
        <v>-256</v>
      </c>
    </row>
    <row r="168" spans="1:11" x14ac:dyDescent="0.3">
      <c r="A168" s="239">
        <v>46206</v>
      </c>
      <c r="B168" s="240"/>
      <c r="C168" s="241"/>
      <c r="D168" s="241"/>
      <c r="E168" s="240"/>
      <c r="F168" s="240"/>
      <c r="G168" s="240"/>
      <c r="H168" s="240"/>
      <c r="I168" s="240">
        <v>-272.25</v>
      </c>
      <c r="J168" s="240">
        <v>-270</v>
      </c>
      <c r="K168" s="240">
        <v>-256</v>
      </c>
    </row>
    <row r="169" spans="1:11" x14ac:dyDescent="0.3">
      <c r="A169" s="428">
        <v>46209</v>
      </c>
      <c r="B169" s="429" t="s">
        <v>19</v>
      </c>
      <c r="C169" s="430" t="s">
        <v>114</v>
      </c>
      <c r="D169" s="430" t="s">
        <v>115</v>
      </c>
      <c r="E169" s="429">
        <v>2.2749999999999999</v>
      </c>
      <c r="F169" s="429">
        <v>-3.5000000000000142</v>
      </c>
      <c r="G169" s="429">
        <v>-3.5000000000000142</v>
      </c>
      <c r="H169" s="429">
        <v>-0.14000000000000057</v>
      </c>
      <c r="I169" s="429">
        <v>-0.24999999999999467</v>
      </c>
      <c r="J169" s="429">
        <v>0</v>
      </c>
      <c r="K169" s="429">
        <v>-0.75000000000002842</v>
      </c>
    </row>
    <row r="170" spans="1:11" x14ac:dyDescent="0.3">
      <c r="A170" s="428">
        <v>46209</v>
      </c>
      <c r="B170" s="429" t="s">
        <v>10</v>
      </c>
      <c r="C170" s="430" t="s">
        <v>115</v>
      </c>
      <c r="D170" s="430" t="s">
        <v>116</v>
      </c>
      <c r="E170" s="429">
        <v>2.2875000000000001</v>
      </c>
      <c r="F170" s="429">
        <v>1.2500000000000178</v>
      </c>
      <c r="G170" s="429">
        <v>-2.2499999999999964</v>
      </c>
      <c r="H170" s="429">
        <v>-8.9999999999999858E-2</v>
      </c>
      <c r="I170" s="429">
        <v>-0.49999999999998934</v>
      </c>
      <c r="J170" s="429">
        <v>-0.99999999999997868</v>
      </c>
      <c r="K170" s="429">
        <v>-6.25</v>
      </c>
    </row>
    <row r="171" spans="1:11" x14ac:dyDescent="0.3">
      <c r="A171" s="428">
        <v>46209</v>
      </c>
      <c r="B171" s="429" t="s">
        <v>11</v>
      </c>
      <c r="C171" s="430" t="s">
        <v>116</v>
      </c>
      <c r="D171" s="430" t="s">
        <v>117</v>
      </c>
      <c r="E171" s="429">
        <v>2.3325</v>
      </c>
      <c r="F171" s="429">
        <v>4.4999999999999929</v>
      </c>
      <c r="G171" s="429">
        <v>2.2499999999999964</v>
      </c>
      <c r="H171" s="429">
        <v>8.9999999999999858E-2</v>
      </c>
      <c r="I171" s="429">
        <v>-1.2500000000000178</v>
      </c>
      <c r="J171" s="429">
        <v>-1.5000000000000124</v>
      </c>
      <c r="K171" s="429">
        <v>-11.249999999999982</v>
      </c>
    </row>
    <row r="172" spans="1:11" x14ac:dyDescent="0.3">
      <c r="A172" s="428">
        <v>46209</v>
      </c>
      <c r="B172" s="429" t="s">
        <v>13</v>
      </c>
      <c r="C172" s="430" t="s">
        <v>117</v>
      </c>
      <c r="D172" s="430">
        <v>46415</v>
      </c>
      <c r="E172" s="429">
        <v>2.4024999999999999</v>
      </c>
      <c r="F172" s="429">
        <v>6.999999999999984</v>
      </c>
      <c r="G172" s="429">
        <v>9.2499999999999805</v>
      </c>
      <c r="H172" s="429">
        <v>0.36999999999999922</v>
      </c>
      <c r="I172" s="429">
        <v>-1.2500000000000178</v>
      </c>
      <c r="J172" s="429">
        <v>-1.5000000000000124</v>
      </c>
      <c r="K172" s="429" t="s">
        <v>41</v>
      </c>
    </row>
    <row r="173" spans="1:11" x14ac:dyDescent="0.3">
      <c r="A173" s="428">
        <v>46209</v>
      </c>
      <c r="B173" s="429" t="s">
        <v>28</v>
      </c>
      <c r="C173" s="430">
        <v>46415</v>
      </c>
      <c r="D173" s="430">
        <v>46464</v>
      </c>
      <c r="E173" s="429">
        <v>2.4775</v>
      </c>
      <c r="F173" s="429">
        <v>7.5000000000000178</v>
      </c>
      <c r="G173" s="429">
        <v>16.75</v>
      </c>
      <c r="H173" s="429">
        <v>0.67</v>
      </c>
      <c r="I173" s="429">
        <v>-1.5000000000000124</v>
      </c>
      <c r="J173" s="429">
        <v>-1.7500000000000071</v>
      </c>
      <c r="K173" s="429" t="s">
        <v>41</v>
      </c>
    </row>
    <row r="174" spans="1:11" x14ac:dyDescent="0.3">
      <c r="A174" s="428">
        <v>46209</v>
      </c>
      <c r="B174" s="429" t="s">
        <v>15</v>
      </c>
      <c r="C174" s="430">
        <v>46464</v>
      </c>
      <c r="D174" s="430">
        <v>46506</v>
      </c>
      <c r="E174" s="429">
        <v>2.5525000000000002</v>
      </c>
      <c r="F174" s="429">
        <v>7.5000000000000178</v>
      </c>
      <c r="G174" s="429">
        <v>24.250000000000014</v>
      </c>
      <c r="H174" s="429">
        <v>0.97000000000000053</v>
      </c>
      <c r="I174" s="429">
        <v>-1.499999999999968</v>
      </c>
      <c r="J174" s="429">
        <v>-1.7499999999999627</v>
      </c>
      <c r="K174" s="429" t="s">
        <v>41</v>
      </c>
    </row>
    <row r="175" spans="1:11" x14ac:dyDescent="0.3">
      <c r="A175" s="428">
        <v>46209</v>
      </c>
      <c r="B175" s="429" t="s">
        <v>16</v>
      </c>
      <c r="C175" s="430">
        <v>46506</v>
      </c>
      <c r="D175" s="430">
        <v>46548</v>
      </c>
      <c r="E175" s="429">
        <v>2.625</v>
      </c>
      <c r="F175" s="429">
        <v>7.2499999999999787</v>
      </c>
      <c r="G175" s="429">
        <v>31.499999999999993</v>
      </c>
      <c r="H175" s="429">
        <v>1.2599999999999998</v>
      </c>
      <c r="I175" s="429">
        <v>-1.7500000000000071</v>
      </c>
      <c r="J175" s="429">
        <v>-2.0000000000000018</v>
      </c>
      <c r="K175" s="429" t="s">
        <v>41</v>
      </c>
    </row>
    <row r="176" spans="1:11" x14ac:dyDescent="0.3">
      <c r="A176" s="428">
        <v>46209</v>
      </c>
      <c r="B176" s="429" t="s">
        <v>28</v>
      </c>
      <c r="C176" s="430"/>
      <c r="D176" s="430"/>
      <c r="E176" s="429">
        <v>2.68</v>
      </c>
      <c r="F176" s="429">
        <v>5.500000000000016</v>
      </c>
      <c r="G176" s="429">
        <v>37.000000000000014</v>
      </c>
      <c r="H176" s="429">
        <v>1.4800000000000006</v>
      </c>
      <c r="I176" s="429">
        <v>-2.0000000000000018</v>
      </c>
      <c r="J176" s="429">
        <v>-1.7499999999999627</v>
      </c>
      <c r="K176" s="429">
        <v>12.000000000000011</v>
      </c>
    </row>
    <row r="177" spans="1:11" x14ac:dyDescent="0.3">
      <c r="A177" s="428">
        <v>46209</v>
      </c>
      <c r="B177" s="429"/>
      <c r="C177" s="430"/>
      <c r="D177" s="430"/>
      <c r="E177" s="429"/>
      <c r="F177" s="429"/>
      <c r="G177" s="429"/>
      <c r="H177" s="429"/>
      <c r="I177" s="429">
        <v>-270</v>
      </c>
      <c r="J177" s="429">
        <v>-269.75</v>
      </c>
      <c r="K177" s="429">
        <v>-256</v>
      </c>
    </row>
    <row r="178" spans="1:11" x14ac:dyDescent="0.3">
      <c r="A178" s="428">
        <v>46209</v>
      </c>
      <c r="B178" s="429"/>
      <c r="C178" s="430"/>
      <c r="D178" s="430"/>
      <c r="E178" s="429"/>
      <c r="F178" s="429"/>
      <c r="G178" s="429"/>
      <c r="H178" s="429"/>
      <c r="I178" s="429">
        <v>-270</v>
      </c>
      <c r="J178" s="429">
        <v>-269.75</v>
      </c>
      <c r="K178" s="429">
        <v>-256</v>
      </c>
    </row>
    <row r="179" spans="1:11" x14ac:dyDescent="0.3">
      <c r="A179" s="428">
        <v>46209</v>
      </c>
      <c r="B179" s="429"/>
      <c r="C179" s="430"/>
      <c r="D179" s="430"/>
      <c r="E179" s="429"/>
      <c r="F179" s="429"/>
      <c r="G179" s="429"/>
      <c r="H179" s="429"/>
      <c r="I179" s="429">
        <v>-270</v>
      </c>
      <c r="J179" s="429">
        <v>-269.75</v>
      </c>
      <c r="K179" s="429">
        <v>-256</v>
      </c>
    </row>
    <row r="180" spans="1:11" x14ac:dyDescent="0.3">
      <c r="A180" s="428">
        <v>46209</v>
      </c>
      <c r="B180" s="429"/>
      <c r="C180" s="430"/>
      <c r="D180" s="430"/>
      <c r="E180" s="429"/>
      <c r="F180" s="429"/>
      <c r="G180" s="429"/>
      <c r="H180" s="429"/>
      <c r="I180" s="429">
        <v>-270</v>
      </c>
      <c r="J180" s="429">
        <v>-269.75</v>
      </c>
      <c r="K180" s="429">
        <v>-256</v>
      </c>
    </row>
    <row r="181" spans="1:11" x14ac:dyDescent="0.3">
      <c r="A181" s="239">
        <v>46210</v>
      </c>
      <c r="B181" s="240" t="s">
        <v>19</v>
      </c>
      <c r="C181" s="241" t="s">
        <v>114</v>
      </c>
      <c r="D181" s="241" t="s">
        <v>115</v>
      </c>
      <c r="E181" s="240">
        <v>2.2749999999999999</v>
      </c>
      <c r="F181" s="240">
        <v>-3.5000000000000142</v>
      </c>
      <c r="G181" s="240">
        <v>-3.5000000000000142</v>
      </c>
      <c r="H181" s="240">
        <v>-0.14000000000000057</v>
      </c>
      <c r="I181" s="240">
        <v>0</v>
      </c>
      <c r="J181" s="240">
        <v>0</v>
      </c>
      <c r="K181" s="240">
        <v>-0.49999999999998934</v>
      </c>
    </row>
    <row r="182" spans="1:11" x14ac:dyDescent="0.3">
      <c r="A182" s="239">
        <v>46210</v>
      </c>
      <c r="B182" s="240" t="s">
        <v>10</v>
      </c>
      <c r="C182" s="241" t="s">
        <v>115</v>
      </c>
      <c r="D182" s="241" t="s">
        <v>116</v>
      </c>
      <c r="E182" s="240">
        <v>2.2875000000000001</v>
      </c>
      <c r="F182" s="240">
        <v>1.2500000000000178</v>
      </c>
      <c r="G182" s="240">
        <v>-2.2499999999999964</v>
      </c>
      <c r="H182" s="240">
        <v>-8.9999999999999858E-2</v>
      </c>
      <c r="I182" s="240">
        <v>0</v>
      </c>
      <c r="J182" s="240">
        <v>-1.2499999999999734</v>
      </c>
      <c r="K182" s="240">
        <v>-8.0000000000000071</v>
      </c>
    </row>
    <row r="183" spans="1:11" x14ac:dyDescent="0.3">
      <c r="A183" s="239">
        <v>46210</v>
      </c>
      <c r="B183" s="240" t="s">
        <v>11</v>
      </c>
      <c r="C183" s="241" t="s">
        <v>116</v>
      </c>
      <c r="D183" s="241" t="s">
        <v>117</v>
      </c>
      <c r="E183" s="240">
        <v>2.3374999999999999</v>
      </c>
      <c r="F183" s="240">
        <v>4.9999999999999822</v>
      </c>
      <c r="G183" s="240">
        <v>2.7499999999999858</v>
      </c>
      <c r="H183" s="240">
        <v>0.10999999999999943</v>
      </c>
      <c r="I183" s="240">
        <v>0.49999999999998934</v>
      </c>
      <c r="J183" s="240">
        <v>-2.7500000000000302</v>
      </c>
      <c r="K183" s="240">
        <v>-14.000000000000012</v>
      </c>
    </row>
    <row r="184" spans="1:11" x14ac:dyDescent="0.3">
      <c r="A184" s="239">
        <v>46210</v>
      </c>
      <c r="B184" s="240" t="s">
        <v>13</v>
      </c>
      <c r="C184" s="241" t="s">
        <v>117</v>
      </c>
      <c r="D184" s="241">
        <v>46415</v>
      </c>
      <c r="E184" s="240">
        <v>2.4175</v>
      </c>
      <c r="F184" s="240">
        <v>8.0000000000000071</v>
      </c>
      <c r="G184" s="240">
        <v>10.749999999999993</v>
      </c>
      <c r="H184" s="240">
        <v>0.42999999999999972</v>
      </c>
      <c r="I184" s="240">
        <v>1.5000000000000124</v>
      </c>
      <c r="J184" s="240">
        <v>-2.2499999999999964</v>
      </c>
      <c r="K184" s="240">
        <v>-18.250000000000011</v>
      </c>
    </row>
    <row r="185" spans="1:11" x14ac:dyDescent="0.3">
      <c r="A185" s="239">
        <v>46210</v>
      </c>
      <c r="B185" s="240" t="s">
        <v>28</v>
      </c>
      <c r="C185" s="241">
        <v>46415</v>
      </c>
      <c r="D185" s="241">
        <v>46464</v>
      </c>
      <c r="E185" s="240">
        <v>2.5</v>
      </c>
      <c r="F185" s="240">
        <v>8.2500000000000018</v>
      </c>
      <c r="G185" s="240">
        <v>18.999999999999993</v>
      </c>
      <c r="H185" s="240">
        <v>0.75999999999999968</v>
      </c>
      <c r="I185" s="240">
        <v>2.2499999999999964</v>
      </c>
      <c r="J185" s="240">
        <v>-2.2499999999999964</v>
      </c>
      <c r="K185" s="240">
        <v>-22.250000000000014</v>
      </c>
    </row>
    <row r="186" spans="1:11" x14ac:dyDescent="0.3">
      <c r="A186" s="239">
        <v>46210</v>
      </c>
      <c r="B186" s="240" t="s">
        <v>15</v>
      </c>
      <c r="C186" s="241">
        <v>46464</v>
      </c>
      <c r="D186" s="241">
        <v>46506</v>
      </c>
      <c r="E186" s="240">
        <v>2.5825</v>
      </c>
      <c r="F186" s="240">
        <v>8.2500000000000018</v>
      </c>
      <c r="G186" s="240">
        <v>27.249999999999996</v>
      </c>
      <c r="H186" s="240">
        <v>1.0899999999999999</v>
      </c>
      <c r="I186" s="240">
        <v>2.9999999999999805</v>
      </c>
      <c r="J186" s="240">
        <v>-1.5000000000000124</v>
      </c>
      <c r="K186" s="240">
        <v>-23.249999999999993</v>
      </c>
    </row>
    <row r="187" spans="1:11" x14ac:dyDescent="0.3">
      <c r="A187" s="239">
        <v>46210</v>
      </c>
      <c r="B187" s="240" t="s">
        <v>16</v>
      </c>
      <c r="C187" s="241">
        <v>46506</v>
      </c>
      <c r="D187" s="241">
        <v>46548</v>
      </c>
      <c r="E187" s="240">
        <v>2.6625000000000001</v>
      </c>
      <c r="F187" s="240">
        <v>8.0000000000000071</v>
      </c>
      <c r="G187" s="240">
        <v>35.25</v>
      </c>
      <c r="H187" s="240">
        <v>1.41</v>
      </c>
      <c r="I187" s="240">
        <v>3.7500000000000089</v>
      </c>
      <c r="J187" s="240">
        <v>-0.99999999999997868</v>
      </c>
      <c r="K187" s="240">
        <v>-25</v>
      </c>
    </row>
    <row r="188" spans="1:11" x14ac:dyDescent="0.3">
      <c r="A188" s="239">
        <v>46210</v>
      </c>
      <c r="B188" s="240" t="s">
        <v>28</v>
      </c>
      <c r="C188" s="241"/>
      <c r="D188" s="241"/>
      <c r="E188" s="240">
        <v>2.72</v>
      </c>
      <c r="F188" s="240">
        <v>5.7500000000000107</v>
      </c>
      <c r="G188" s="240">
        <v>41.000000000000014</v>
      </c>
      <c r="H188" s="240">
        <v>1.6400000000000006</v>
      </c>
      <c r="I188" s="240">
        <v>4.0000000000000036</v>
      </c>
      <c r="J188" s="240">
        <v>-0.49999999999998934</v>
      </c>
      <c r="K188" s="240">
        <v>272</v>
      </c>
    </row>
    <row r="189" spans="1:11" x14ac:dyDescent="0.3">
      <c r="A189" s="239">
        <v>46210</v>
      </c>
      <c r="B189" s="240"/>
      <c r="C189" s="241"/>
      <c r="D189" s="241"/>
      <c r="E189" s="240"/>
      <c r="F189" s="240"/>
      <c r="G189" s="240"/>
      <c r="H189" s="240"/>
      <c r="I189" s="240">
        <v>-268</v>
      </c>
      <c r="J189" s="240">
        <v>-272.5</v>
      </c>
      <c r="K189" s="240">
        <v>0</v>
      </c>
    </row>
    <row r="190" spans="1:11" x14ac:dyDescent="0.3">
      <c r="A190" s="239">
        <v>46210</v>
      </c>
      <c r="B190" s="240"/>
      <c r="C190" s="241"/>
      <c r="D190" s="241"/>
      <c r="E190" s="240"/>
      <c r="F190" s="240"/>
      <c r="G190" s="240"/>
      <c r="H190" s="240"/>
      <c r="I190" s="240">
        <v>-268</v>
      </c>
      <c r="J190" s="240">
        <v>-272.5</v>
      </c>
      <c r="K190" s="240">
        <v>0</v>
      </c>
    </row>
    <row r="191" spans="1:11" x14ac:dyDescent="0.3">
      <c r="A191" s="239">
        <v>46210</v>
      </c>
      <c r="B191" s="240"/>
      <c r="C191" s="241"/>
      <c r="D191" s="241"/>
      <c r="E191" s="240"/>
      <c r="F191" s="240"/>
      <c r="G191" s="240"/>
      <c r="H191" s="240"/>
      <c r="I191" s="240">
        <v>-268</v>
      </c>
      <c r="J191" s="240">
        <v>-272.5</v>
      </c>
      <c r="K191" s="240">
        <v>0</v>
      </c>
    </row>
    <row r="192" spans="1:11" x14ac:dyDescent="0.3">
      <c r="A192" s="239">
        <v>46210</v>
      </c>
      <c r="B192" s="240"/>
      <c r="C192" s="241"/>
      <c r="D192" s="241"/>
      <c r="E192" s="240"/>
      <c r="F192" s="240"/>
      <c r="G192" s="240"/>
      <c r="H192" s="240"/>
      <c r="I192" s="240">
        <v>-268</v>
      </c>
      <c r="J192" s="240">
        <v>-272.5</v>
      </c>
      <c r="K192" s="240">
        <v>0</v>
      </c>
    </row>
    <row r="193" spans="1:11" x14ac:dyDescent="0.3">
      <c r="A193" s="239">
        <v>46211</v>
      </c>
      <c r="B193" s="240" t="s">
        <v>19</v>
      </c>
      <c r="C193" s="241" t="s">
        <v>114</v>
      </c>
      <c r="D193" s="241" t="s">
        <v>115</v>
      </c>
      <c r="E193" s="240">
        <v>2.2749999999999999</v>
      </c>
      <c r="F193" s="240">
        <v>-0.49999999999998934</v>
      </c>
      <c r="G193" s="240">
        <v>-0.49999999999998934</v>
      </c>
      <c r="H193" s="240">
        <v>-1.9999999999999574E-2</v>
      </c>
      <c r="I193" s="240">
        <v>0</v>
      </c>
      <c r="J193" s="240">
        <v>0.24999999999999467</v>
      </c>
      <c r="K193" s="240">
        <v>-0.75000000000002842</v>
      </c>
    </row>
    <row r="194" spans="1:11" x14ac:dyDescent="0.3">
      <c r="A194" s="239">
        <v>46211</v>
      </c>
      <c r="B194" s="240" t="s">
        <v>10</v>
      </c>
      <c r="C194" s="241" t="s">
        <v>115</v>
      </c>
      <c r="D194" s="241" t="s">
        <v>116</v>
      </c>
      <c r="E194" s="240">
        <v>2.3125</v>
      </c>
      <c r="F194" s="240">
        <v>3.7500000000000089</v>
      </c>
      <c r="G194" s="240">
        <v>3.2500000000000195</v>
      </c>
      <c r="H194" s="240">
        <v>0.13000000000000078</v>
      </c>
      <c r="I194" s="240">
        <v>2.4999999999999911</v>
      </c>
      <c r="J194" s="240">
        <v>1.5000000000000124</v>
      </c>
      <c r="K194" s="240">
        <v>-2.9999999999999805</v>
      </c>
    </row>
    <row r="195" spans="1:11" x14ac:dyDescent="0.3">
      <c r="A195" s="239">
        <v>46211</v>
      </c>
      <c r="B195" s="240" t="s">
        <v>11</v>
      </c>
      <c r="C195" s="241" t="s">
        <v>116</v>
      </c>
      <c r="D195" s="241" t="s">
        <v>117</v>
      </c>
      <c r="E195" s="240">
        <v>2.38</v>
      </c>
      <c r="F195" s="240">
        <v>6.7499999999999893</v>
      </c>
      <c r="G195" s="240">
        <v>10.000000000000009</v>
      </c>
      <c r="H195" s="240">
        <v>0.40000000000000036</v>
      </c>
      <c r="I195" s="240">
        <v>4.2499999999999982</v>
      </c>
      <c r="J195" s="240">
        <v>2.0000000000000018</v>
      </c>
      <c r="K195" s="240">
        <v>-6.0000000000000053</v>
      </c>
    </row>
    <row r="196" spans="1:11" x14ac:dyDescent="0.3">
      <c r="A196" s="239">
        <v>46211</v>
      </c>
      <c r="B196" s="240" t="s">
        <v>13</v>
      </c>
      <c r="C196" s="241" t="s">
        <v>117</v>
      </c>
      <c r="D196" s="241">
        <v>46415</v>
      </c>
      <c r="E196" s="240">
        <v>2.4849999999999999</v>
      </c>
      <c r="F196" s="240">
        <v>10.499999999999998</v>
      </c>
      <c r="G196" s="240">
        <v>20.500000000000007</v>
      </c>
      <c r="H196" s="240">
        <v>0.82000000000000028</v>
      </c>
      <c r="I196" s="240">
        <v>6.7499999999999893</v>
      </c>
      <c r="J196" s="240">
        <v>5.4999999999999716</v>
      </c>
      <c r="K196" s="240">
        <v>-7.5000000000000178</v>
      </c>
    </row>
    <row r="197" spans="1:11" x14ac:dyDescent="0.3">
      <c r="A197" s="239">
        <v>46211</v>
      </c>
      <c r="B197" s="240" t="s">
        <v>28</v>
      </c>
      <c r="C197" s="241">
        <v>46415</v>
      </c>
      <c r="D197" s="241">
        <v>46464</v>
      </c>
      <c r="E197" s="240">
        <v>2.5975000000000001</v>
      </c>
      <c r="F197" s="240">
        <v>11.250000000000027</v>
      </c>
      <c r="G197" s="240">
        <v>31.750000000000036</v>
      </c>
      <c r="H197" s="240">
        <v>1.2700000000000014</v>
      </c>
      <c r="I197" s="240">
        <v>9.7500000000000142</v>
      </c>
      <c r="J197" s="240">
        <v>8.7500000000000355</v>
      </c>
      <c r="K197" s="240">
        <v>-8.2500000000000018</v>
      </c>
    </row>
    <row r="198" spans="1:11" x14ac:dyDescent="0.3">
      <c r="A198" s="239">
        <v>46211</v>
      </c>
      <c r="B198" s="240" t="s">
        <v>15</v>
      </c>
      <c r="C198" s="241">
        <v>46464</v>
      </c>
      <c r="D198" s="241">
        <v>46506</v>
      </c>
      <c r="E198" s="240">
        <v>2.6924999999999999</v>
      </c>
      <c r="F198" s="240">
        <v>9.4999999999999751</v>
      </c>
      <c r="G198" s="240">
        <v>41.250000000000007</v>
      </c>
      <c r="H198" s="240">
        <v>1.6500000000000004</v>
      </c>
      <c r="I198" s="240">
        <v>10.999999999999988</v>
      </c>
      <c r="J198" s="240">
        <v>11.249999999999982</v>
      </c>
      <c r="K198" s="240">
        <v>-7.0000000000000284</v>
      </c>
    </row>
    <row r="199" spans="1:11" x14ac:dyDescent="0.3">
      <c r="A199" s="239">
        <v>46211</v>
      </c>
      <c r="B199" s="240" t="s">
        <v>16</v>
      </c>
      <c r="C199" s="241">
        <v>46506</v>
      </c>
      <c r="D199" s="241">
        <v>46548</v>
      </c>
      <c r="E199" s="240">
        <v>2.7774999999999999</v>
      </c>
      <c r="F199" s="240">
        <v>8.4999999999999964</v>
      </c>
      <c r="G199" s="240">
        <v>49.750000000000007</v>
      </c>
      <c r="H199" s="240">
        <v>1.9900000000000002</v>
      </c>
      <c r="I199" s="240">
        <v>11.499999999999977</v>
      </c>
      <c r="J199" s="240">
        <v>12.5</v>
      </c>
      <c r="K199" s="240">
        <v>-6.7500000000000338</v>
      </c>
    </row>
    <row r="200" spans="1:11" x14ac:dyDescent="0.3">
      <c r="A200" s="239">
        <v>46211</v>
      </c>
      <c r="B200" s="240" t="s">
        <v>28</v>
      </c>
      <c r="C200" s="241"/>
      <c r="D200" s="241"/>
      <c r="E200" s="240">
        <v>2.8374999999999999</v>
      </c>
      <c r="F200" s="240">
        <v>6.0000000000000053</v>
      </c>
      <c r="G200" s="240">
        <v>55.750000000000014</v>
      </c>
      <c r="H200" s="240">
        <v>2.2300000000000004</v>
      </c>
      <c r="I200" s="240">
        <v>11.749999999999972</v>
      </c>
      <c r="J200" s="240">
        <v>13.249999999999984</v>
      </c>
      <c r="K200" s="240">
        <v>283.75</v>
      </c>
    </row>
    <row r="201" spans="1:11" x14ac:dyDescent="0.3">
      <c r="A201" s="239">
        <v>46211</v>
      </c>
      <c r="B201" s="240"/>
      <c r="C201" s="241"/>
      <c r="D201" s="241"/>
      <c r="E201" s="240"/>
      <c r="F201" s="240"/>
      <c r="G201" s="240"/>
      <c r="H201" s="240"/>
      <c r="I201" s="240">
        <v>-272</v>
      </c>
      <c r="J201" s="240">
        <v>-270.5</v>
      </c>
      <c r="K201" s="240">
        <v>0</v>
      </c>
    </row>
    <row r="202" spans="1:11" x14ac:dyDescent="0.3">
      <c r="A202" s="239">
        <v>46211</v>
      </c>
      <c r="B202" s="240"/>
      <c r="C202" s="241"/>
      <c r="D202" s="241"/>
      <c r="E202" s="240"/>
      <c r="F202" s="240"/>
      <c r="G202" s="240"/>
      <c r="H202" s="240"/>
      <c r="I202" s="240">
        <v>-272</v>
      </c>
      <c r="J202" s="240">
        <v>-270.5</v>
      </c>
      <c r="K202" s="240">
        <v>0</v>
      </c>
    </row>
    <row r="203" spans="1:11" x14ac:dyDescent="0.3">
      <c r="A203" s="239">
        <v>46211</v>
      </c>
      <c r="B203" s="240"/>
      <c r="C203" s="241"/>
      <c r="D203" s="241"/>
      <c r="E203" s="240"/>
      <c r="F203" s="240"/>
      <c r="G203" s="240"/>
      <c r="H203" s="240"/>
      <c r="I203" s="240">
        <v>-272</v>
      </c>
      <c r="J203" s="240">
        <v>-270.5</v>
      </c>
      <c r="K203" s="240">
        <v>0</v>
      </c>
    </row>
    <row r="204" spans="1:11" x14ac:dyDescent="0.3">
      <c r="A204" s="239">
        <v>46211</v>
      </c>
      <c r="B204" s="240"/>
      <c r="C204" s="241"/>
      <c r="D204" s="241"/>
      <c r="E204" s="240"/>
      <c r="F204" s="240"/>
      <c r="G204" s="240"/>
      <c r="H204" s="240"/>
      <c r="I204" s="240">
        <v>-272</v>
      </c>
      <c r="J204" s="240">
        <v>-270.5</v>
      </c>
      <c r="K204" s="240">
        <v>0</v>
      </c>
    </row>
    <row r="205" spans="1:11" x14ac:dyDescent="0.3">
      <c r="A205" s="453">
        <v>46212</v>
      </c>
      <c r="B205" s="454" t="s">
        <v>19</v>
      </c>
      <c r="C205" s="455" t="s">
        <v>114</v>
      </c>
      <c r="D205" s="455" t="s">
        <v>115</v>
      </c>
      <c r="E205" s="454">
        <v>2.2725</v>
      </c>
      <c r="F205" s="454"/>
      <c r="G205" s="454"/>
      <c r="H205" s="454"/>
      <c r="I205" s="454"/>
      <c r="J205" s="454"/>
      <c r="K205" s="454"/>
    </row>
    <row r="206" spans="1:11" x14ac:dyDescent="0.3">
      <c r="A206" s="453">
        <v>46212</v>
      </c>
      <c r="B206" s="454" t="s">
        <v>10</v>
      </c>
      <c r="C206" s="455" t="s">
        <v>115</v>
      </c>
      <c r="D206" s="455" t="s">
        <v>116</v>
      </c>
      <c r="E206" s="454">
        <v>2.3025000000000002</v>
      </c>
      <c r="F206" s="454"/>
      <c r="G206" s="454"/>
      <c r="H206" s="454"/>
      <c r="I206" s="454"/>
      <c r="J206" s="454"/>
      <c r="K206" s="454"/>
    </row>
    <row r="207" spans="1:11" x14ac:dyDescent="0.3">
      <c r="A207" s="453">
        <v>46212</v>
      </c>
      <c r="B207" s="454" t="s">
        <v>11</v>
      </c>
      <c r="C207" s="455" t="s">
        <v>116</v>
      </c>
      <c r="D207" s="455" t="s">
        <v>117</v>
      </c>
      <c r="E207" s="454">
        <v>2.3624999999999998</v>
      </c>
      <c r="F207" s="454"/>
      <c r="G207" s="454"/>
      <c r="H207" s="454"/>
      <c r="I207" s="454"/>
      <c r="J207" s="454"/>
      <c r="K207" s="454"/>
    </row>
    <row r="208" spans="1:11" x14ac:dyDescent="0.3">
      <c r="A208" s="453">
        <v>46212</v>
      </c>
      <c r="B208" s="454" t="s">
        <v>13</v>
      </c>
      <c r="C208" s="455" t="s">
        <v>117</v>
      </c>
      <c r="D208" s="455">
        <v>46415</v>
      </c>
      <c r="E208" s="454">
        <v>2.4474999999999998</v>
      </c>
      <c r="F208" s="454"/>
      <c r="G208" s="454"/>
      <c r="H208" s="454"/>
      <c r="I208" s="454"/>
      <c r="J208" s="454"/>
      <c r="K208" s="454"/>
    </row>
    <row r="209" spans="1:11" x14ac:dyDescent="0.3">
      <c r="A209" s="453">
        <v>46212</v>
      </c>
      <c r="B209" s="454" t="s">
        <v>28</v>
      </c>
      <c r="C209" s="455">
        <v>46415</v>
      </c>
      <c r="D209" s="455">
        <v>46464</v>
      </c>
      <c r="E209" s="454">
        <v>2.5350000000000001</v>
      </c>
      <c r="F209" s="454"/>
      <c r="G209" s="454"/>
      <c r="H209" s="454"/>
      <c r="I209" s="454"/>
      <c r="J209" s="454"/>
      <c r="K209" s="454"/>
    </row>
    <row r="210" spans="1:11" x14ac:dyDescent="0.3">
      <c r="A210" s="453">
        <v>46212</v>
      </c>
      <c r="B210" s="454" t="s">
        <v>15</v>
      </c>
      <c r="C210" s="455">
        <v>46464</v>
      </c>
      <c r="D210" s="455">
        <v>46506</v>
      </c>
      <c r="E210" s="454">
        <v>2.62</v>
      </c>
      <c r="F210" s="454"/>
      <c r="G210" s="454"/>
      <c r="H210" s="454"/>
      <c r="I210" s="454"/>
      <c r="J210" s="454"/>
      <c r="K210" s="454"/>
    </row>
    <row r="211" spans="1:11" x14ac:dyDescent="0.3">
      <c r="A211" s="453">
        <v>46212</v>
      </c>
      <c r="B211" s="454" t="s">
        <v>16</v>
      </c>
      <c r="C211" s="455">
        <v>46506</v>
      </c>
      <c r="D211" s="455">
        <v>46548</v>
      </c>
      <c r="E211" s="454">
        <v>2.7</v>
      </c>
      <c r="F211" s="454"/>
      <c r="G211" s="454"/>
      <c r="H211" s="454"/>
      <c r="I211" s="454"/>
      <c r="J211" s="454"/>
      <c r="K211" s="454"/>
    </row>
    <row r="212" spans="1:11" x14ac:dyDescent="0.3">
      <c r="A212" s="453">
        <v>46213</v>
      </c>
      <c r="B212" s="454" t="s">
        <v>19</v>
      </c>
      <c r="C212" s="455" t="s">
        <v>114</v>
      </c>
      <c r="D212" s="455" t="s">
        <v>115</v>
      </c>
      <c r="E212" s="454">
        <v>2.2749999999999999</v>
      </c>
      <c r="F212" s="454">
        <v>-1.5000000000000124</v>
      </c>
      <c r="G212" s="454">
        <v>-1.5000000000000124</v>
      </c>
      <c r="H212" s="454">
        <v>-6.0000000000000497E-2</v>
      </c>
      <c r="I212" s="454">
        <v>0.24999999999999467</v>
      </c>
      <c r="J212" s="454">
        <v>-0.24999999999999467</v>
      </c>
      <c r="K212" s="454">
        <v>-0.24999999999999467</v>
      </c>
    </row>
    <row r="213" spans="1:11" x14ac:dyDescent="0.3">
      <c r="A213" s="453">
        <v>46213</v>
      </c>
      <c r="B213" s="454" t="s">
        <v>10</v>
      </c>
      <c r="C213" s="455" t="s">
        <v>115</v>
      </c>
      <c r="D213" s="455" t="s">
        <v>116</v>
      </c>
      <c r="E213" s="454">
        <v>2.3075000000000001</v>
      </c>
      <c r="F213" s="454">
        <v>3.2500000000000195</v>
      </c>
      <c r="G213" s="454">
        <v>1.7500000000000071</v>
      </c>
      <c r="H213" s="454">
        <v>7.0000000000000284E-2</v>
      </c>
      <c r="I213" s="454">
        <v>0.49999999999998934</v>
      </c>
      <c r="J213" s="454">
        <v>1.5000000000000124</v>
      </c>
      <c r="K213" s="454">
        <v>-1.7500000000000071</v>
      </c>
    </row>
    <row r="214" spans="1:11" x14ac:dyDescent="0.3">
      <c r="A214" s="453">
        <v>46213</v>
      </c>
      <c r="B214" s="454" t="s">
        <v>11</v>
      </c>
      <c r="C214" s="455" t="s">
        <v>116</v>
      </c>
      <c r="D214" s="455" t="s">
        <v>117</v>
      </c>
      <c r="E214" s="454">
        <v>2.3774999999999999</v>
      </c>
      <c r="F214" s="454">
        <v>6.999999999999984</v>
      </c>
      <c r="G214" s="454">
        <v>8.7499999999999911</v>
      </c>
      <c r="H214" s="454">
        <v>0.34999999999999964</v>
      </c>
      <c r="I214" s="454">
        <v>1.5000000000000124</v>
      </c>
      <c r="J214" s="454">
        <v>3.2499999999999751</v>
      </c>
      <c r="K214" s="454">
        <v>-3.5000000000000142</v>
      </c>
    </row>
    <row r="215" spans="1:11" x14ac:dyDescent="0.3">
      <c r="A215" s="453">
        <v>46213</v>
      </c>
      <c r="B215" s="454" t="s">
        <v>13</v>
      </c>
      <c r="C215" s="455" t="s">
        <v>117</v>
      </c>
      <c r="D215" s="455">
        <v>46415</v>
      </c>
      <c r="E215" s="454">
        <v>2.46</v>
      </c>
      <c r="F215" s="454">
        <v>8.2500000000000018</v>
      </c>
      <c r="G215" s="454">
        <v>16.999999999999993</v>
      </c>
      <c r="H215" s="454">
        <v>0.67999999999999972</v>
      </c>
      <c r="I215" s="454">
        <v>1.2500000000000178</v>
      </c>
      <c r="J215" s="454">
        <v>4.4999999999999929</v>
      </c>
      <c r="K215" s="454">
        <v>-5.500000000000016</v>
      </c>
    </row>
    <row r="216" spans="1:11" x14ac:dyDescent="0.3">
      <c r="A216" s="453">
        <v>46213</v>
      </c>
      <c r="B216" s="454" t="s">
        <v>28</v>
      </c>
      <c r="C216" s="455">
        <v>46415</v>
      </c>
      <c r="D216" s="455">
        <v>46464</v>
      </c>
      <c r="E216" s="454">
        <v>2.5474999999999999</v>
      </c>
      <c r="F216" s="454">
        <v>8.7499999999999911</v>
      </c>
      <c r="G216" s="454">
        <v>25.749999999999986</v>
      </c>
      <c r="H216" s="454">
        <v>1.0299999999999994</v>
      </c>
      <c r="I216" s="454">
        <v>1.2499999999999734</v>
      </c>
      <c r="J216" s="454">
        <v>5.4999999999999716</v>
      </c>
      <c r="K216" s="454">
        <v>-8.7499999999999911</v>
      </c>
    </row>
    <row r="217" spans="1:11" x14ac:dyDescent="0.3">
      <c r="A217" s="453">
        <v>46213</v>
      </c>
      <c r="B217" s="454" t="s">
        <v>15</v>
      </c>
      <c r="C217" s="455">
        <v>46464</v>
      </c>
      <c r="D217" s="455">
        <v>46506</v>
      </c>
      <c r="E217" s="454">
        <v>2.6324999999999998</v>
      </c>
      <c r="F217" s="454">
        <v>8.4999999999999964</v>
      </c>
      <c r="G217" s="454">
        <v>34.249999999999979</v>
      </c>
      <c r="H217" s="454">
        <v>1.3699999999999992</v>
      </c>
      <c r="I217" s="454">
        <v>1.2499999999999734</v>
      </c>
      <c r="J217" s="454">
        <v>6.4999999999999947</v>
      </c>
      <c r="K217" s="454">
        <v>-8.4999999999999964</v>
      </c>
    </row>
    <row r="218" spans="1:11" x14ac:dyDescent="0.3">
      <c r="A218" s="453">
        <v>46213</v>
      </c>
      <c r="B218" s="454" t="s">
        <v>16</v>
      </c>
      <c r="C218" s="455">
        <v>46506</v>
      </c>
      <c r="D218" s="455">
        <v>46548</v>
      </c>
      <c r="E218" s="454">
        <v>2.7124999999999999</v>
      </c>
      <c r="F218" s="454">
        <v>8.0000000000000071</v>
      </c>
      <c r="G218" s="454">
        <v>42.249999999999986</v>
      </c>
      <c r="H218" s="454">
        <v>1.6899999999999995</v>
      </c>
      <c r="I218" s="454">
        <v>1.2499999999999734</v>
      </c>
      <c r="J218" s="454">
        <v>6.999999999999984</v>
      </c>
      <c r="K218" s="454">
        <v>-8.7499999999999911</v>
      </c>
    </row>
    <row r="219" spans="1:11" x14ac:dyDescent="0.3">
      <c r="A219" s="453">
        <v>46213</v>
      </c>
      <c r="B219" s="454" t="s">
        <v>28</v>
      </c>
      <c r="C219" s="455"/>
      <c r="D219" s="455"/>
      <c r="E219" s="454">
        <v>2.7749999999999999</v>
      </c>
      <c r="F219" s="454">
        <v>6.25</v>
      </c>
      <c r="G219" s="454">
        <v>48.499999999999986</v>
      </c>
      <c r="H219" s="454">
        <v>1.9399999999999995</v>
      </c>
      <c r="I219" s="454" t="s">
        <v>41</v>
      </c>
      <c r="J219" s="454">
        <v>7.4999999999999734</v>
      </c>
      <c r="K219" s="454">
        <v>277.5</v>
      </c>
    </row>
    <row r="220" spans="1:11" x14ac:dyDescent="0.3">
      <c r="A220" s="453">
        <v>46213</v>
      </c>
      <c r="B220" s="454"/>
      <c r="C220" s="455"/>
      <c r="D220" s="455"/>
      <c r="E220" s="454"/>
      <c r="F220" s="454"/>
      <c r="G220" s="454"/>
      <c r="H220" s="454"/>
      <c r="I220" s="454" t="s">
        <v>41</v>
      </c>
      <c r="J220" s="454">
        <v>-270</v>
      </c>
      <c r="K220" s="454">
        <v>0</v>
      </c>
    </row>
    <row r="221" spans="1:11" x14ac:dyDescent="0.3">
      <c r="A221" s="453">
        <v>46213</v>
      </c>
      <c r="B221" s="454"/>
      <c r="C221" s="455"/>
      <c r="D221" s="455"/>
      <c r="E221" s="454"/>
      <c r="F221" s="454"/>
      <c r="G221" s="454"/>
      <c r="H221" s="454"/>
      <c r="I221" s="454" t="s">
        <v>41</v>
      </c>
      <c r="J221" s="454">
        <v>-270</v>
      </c>
      <c r="K221" s="454">
        <v>0</v>
      </c>
    </row>
    <row r="222" spans="1:11" x14ac:dyDescent="0.3">
      <c r="A222" s="453">
        <v>46213</v>
      </c>
      <c r="B222" s="454"/>
      <c r="C222" s="455"/>
      <c r="D222" s="455"/>
      <c r="E222" s="454"/>
      <c r="F222" s="454"/>
      <c r="G222" s="454"/>
      <c r="H222" s="454"/>
      <c r="I222" s="454" t="s">
        <v>41</v>
      </c>
      <c r="J222" s="454">
        <v>-270</v>
      </c>
      <c r="K222" s="454">
        <v>0</v>
      </c>
    </row>
    <row r="223" spans="1:11" x14ac:dyDescent="0.3">
      <c r="A223" s="453">
        <v>46213</v>
      </c>
      <c r="B223" s="454"/>
      <c r="C223" s="455"/>
      <c r="D223" s="455"/>
      <c r="E223" s="454"/>
      <c r="F223" s="454"/>
      <c r="G223" s="454"/>
      <c r="H223" s="454"/>
      <c r="I223" s="454" t="s">
        <v>41</v>
      </c>
      <c r="J223" s="454">
        <v>-270</v>
      </c>
      <c r="K223" s="454">
        <v>0</v>
      </c>
    </row>
    <row r="224" spans="1:11" x14ac:dyDescent="0.3">
      <c r="A224" s="468">
        <v>46216</v>
      </c>
      <c r="B224" s="469" t="s">
        <v>19</v>
      </c>
      <c r="C224" s="470" t="s">
        <v>114</v>
      </c>
      <c r="D224" s="470" t="s">
        <v>115</v>
      </c>
      <c r="E224" s="469">
        <v>2.2774999999999999</v>
      </c>
      <c r="F224" s="469">
        <v>-2.2499999999999964</v>
      </c>
      <c r="G224" s="469">
        <v>-2.2499999999999964</v>
      </c>
      <c r="H224" s="469">
        <v>-8.9999999999999858E-2</v>
      </c>
      <c r="I224" s="469">
        <v>0.24999999999999467</v>
      </c>
      <c r="J224" s="469">
        <v>0.24999999999999467</v>
      </c>
      <c r="K224" s="469">
        <v>0</v>
      </c>
    </row>
    <row r="225" spans="1:11" x14ac:dyDescent="0.3">
      <c r="A225" s="468">
        <v>46216</v>
      </c>
      <c r="B225" s="469" t="s">
        <v>10</v>
      </c>
      <c r="C225" s="470" t="s">
        <v>115</v>
      </c>
      <c r="D225" s="470" t="s">
        <v>116</v>
      </c>
      <c r="E225" s="469">
        <v>2.3174999999999999</v>
      </c>
      <c r="F225" s="469">
        <v>4.0000000000000036</v>
      </c>
      <c r="G225" s="469">
        <v>1.7500000000000071</v>
      </c>
      <c r="H225" s="469">
        <v>7.0000000000000284E-2</v>
      </c>
      <c r="I225" s="469">
        <v>0.99999999999997868</v>
      </c>
      <c r="J225" s="469">
        <v>2.9999999999999805</v>
      </c>
      <c r="K225" s="469">
        <v>-0.75000000000002842</v>
      </c>
    </row>
    <row r="226" spans="1:11" x14ac:dyDescent="0.3">
      <c r="A226" s="468">
        <v>46216</v>
      </c>
      <c r="B226" s="469" t="s">
        <v>11</v>
      </c>
      <c r="C226" s="470" t="s">
        <v>116</v>
      </c>
      <c r="D226" s="470" t="s">
        <v>117</v>
      </c>
      <c r="E226" s="469">
        <v>2.3975</v>
      </c>
      <c r="F226" s="469">
        <v>8.0000000000000071</v>
      </c>
      <c r="G226" s="469">
        <v>9.7500000000000142</v>
      </c>
      <c r="H226" s="469">
        <v>0.39000000000000057</v>
      </c>
      <c r="I226" s="469">
        <v>2.0000000000000018</v>
      </c>
      <c r="J226" s="469">
        <v>6.4999999999999947</v>
      </c>
      <c r="K226" s="469">
        <v>-1.5000000000000124</v>
      </c>
    </row>
    <row r="227" spans="1:11" x14ac:dyDescent="0.3">
      <c r="A227" s="468">
        <v>46216</v>
      </c>
      <c r="B227" s="469" t="s">
        <v>13</v>
      </c>
      <c r="C227" s="470" t="s">
        <v>117</v>
      </c>
      <c r="D227" s="470">
        <v>46415</v>
      </c>
      <c r="E227" s="469">
        <v>2.4950000000000001</v>
      </c>
      <c r="F227" s="469">
        <v>9.7500000000000142</v>
      </c>
      <c r="G227" s="469">
        <v>19.500000000000028</v>
      </c>
      <c r="H227" s="469">
        <v>0.78000000000000114</v>
      </c>
      <c r="I227" s="469">
        <v>3.5000000000000142</v>
      </c>
      <c r="J227" s="469">
        <v>9.2500000000000249</v>
      </c>
      <c r="K227" s="469">
        <v>-2.0000000000000018</v>
      </c>
    </row>
    <row r="228" spans="1:11" x14ac:dyDescent="0.3">
      <c r="A228" s="468">
        <v>46216</v>
      </c>
      <c r="B228" s="469" t="s">
        <v>28</v>
      </c>
      <c r="C228" s="470">
        <v>46415</v>
      </c>
      <c r="D228" s="470">
        <v>46464</v>
      </c>
      <c r="E228" s="469">
        <v>2.5975000000000001</v>
      </c>
      <c r="F228" s="469">
        <v>10.250000000000004</v>
      </c>
      <c r="G228" s="469">
        <v>29.750000000000032</v>
      </c>
      <c r="H228" s="469">
        <v>1.1900000000000013</v>
      </c>
      <c r="I228" s="469">
        <v>5.0000000000000266</v>
      </c>
      <c r="J228" s="469">
        <v>12.000000000000011</v>
      </c>
      <c r="K228" s="469">
        <v>-3.7499999999999645</v>
      </c>
    </row>
    <row r="229" spans="1:11" x14ac:dyDescent="0.3">
      <c r="A229" s="468">
        <v>46216</v>
      </c>
      <c r="B229" s="469" t="s">
        <v>15</v>
      </c>
      <c r="C229" s="470">
        <v>46464</v>
      </c>
      <c r="D229" s="470">
        <v>46506</v>
      </c>
      <c r="E229" s="469">
        <v>2.6924999999999999</v>
      </c>
      <c r="F229" s="469">
        <v>9.4999999999999751</v>
      </c>
      <c r="G229" s="469">
        <v>39.250000000000007</v>
      </c>
      <c r="H229" s="469">
        <v>1.5700000000000003</v>
      </c>
      <c r="I229" s="469">
        <v>6.0000000000000053</v>
      </c>
      <c r="J229" s="469">
        <v>13.999999999999968</v>
      </c>
      <c r="K229" s="469">
        <v>-2.4999999999999911</v>
      </c>
    </row>
    <row r="230" spans="1:11" x14ac:dyDescent="0.3">
      <c r="A230" s="468">
        <v>46216</v>
      </c>
      <c r="B230" s="469" t="s">
        <v>16</v>
      </c>
      <c r="C230" s="470">
        <v>46506</v>
      </c>
      <c r="D230" s="470">
        <v>46548</v>
      </c>
      <c r="E230" s="469">
        <v>2.7825000000000002</v>
      </c>
      <c r="F230" s="469">
        <v>9.0000000000000302</v>
      </c>
      <c r="G230" s="469">
        <v>48.250000000000036</v>
      </c>
      <c r="H230" s="469">
        <v>1.9300000000000015</v>
      </c>
      <c r="I230" s="469">
        <v>7.0000000000000284</v>
      </c>
      <c r="J230" s="469">
        <v>15.75000000000002</v>
      </c>
      <c r="K230" s="469">
        <v>-1.7499999999999627</v>
      </c>
    </row>
    <row r="231" spans="1:11" x14ac:dyDescent="0.3">
      <c r="A231" s="468">
        <v>46216</v>
      </c>
      <c r="B231" s="469" t="s">
        <v>28</v>
      </c>
      <c r="C231" s="470"/>
      <c r="D231" s="470"/>
      <c r="E231" s="469">
        <v>2.8475000000000001</v>
      </c>
      <c r="F231" s="469">
        <v>6.4999999999999947</v>
      </c>
      <c r="G231" s="469">
        <v>54.750000000000028</v>
      </c>
      <c r="H231" s="469">
        <v>2.1900000000000013</v>
      </c>
      <c r="I231" s="469">
        <v>7.2500000000000231</v>
      </c>
      <c r="J231" s="469">
        <v>16.75</v>
      </c>
      <c r="K231" s="469">
        <v>284.75</v>
      </c>
    </row>
    <row r="232" spans="1:11" x14ac:dyDescent="0.3">
      <c r="A232" s="468">
        <v>46216</v>
      </c>
      <c r="B232" s="469"/>
      <c r="C232" s="470"/>
      <c r="D232" s="470"/>
      <c r="E232" s="469"/>
      <c r="F232" s="469"/>
      <c r="G232" s="469"/>
      <c r="H232" s="469"/>
      <c r="I232" s="469">
        <v>-277.5</v>
      </c>
      <c r="J232" s="469">
        <v>-268</v>
      </c>
      <c r="K232" s="469">
        <v>0</v>
      </c>
    </row>
    <row r="233" spans="1:11" x14ac:dyDescent="0.3">
      <c r="A233" s="468">
        <v>46216</v>
      </c>
      <c r="B233" s="469"/>
      <c r="C233" s="470"/>
      <c r="D233" s="470"/>
      <c r="E233" s="469"/>
      <c r="F233" s="469"/>
      <c r="G233" s="469"/>
      <c r="H233" s="469"/>
      <c r="I233" s="469">
        <v>-277.5</v>
      </c>
      <c r="J233" s="469">
        <v>-268</v>
      </c>
      <c r="K233" s="469">
        <v>0</v>
      </c>
    </row>
    <row r="234" spans="1:11" x14ac:dyDescent="0.3">
      <c r="A234" s="468">
        <v>46216</v>
      </c>
      <c r="B234" s="469"/>
      <c r="C234" s="470"/>
      <c r="D234" s="470"/>
      <c r="E234" s="469"/>
      <c r="F234" s="469"/>
      <c r="G234" s="469"/>
      <c r="H234" s="469"/>
      <c r="I234" s="469">
        <v>-277.5</v>
      </c>
      <c r="J234" s="469">
        <v>-268</v>
      </c>
      <c r="K234" s="469">
        <v>0</v>
      </c>
    </row>
    <row r="235" spans="1:11" x14ac:dyDescent="0.3">
      <c r="A235" s="468">
        <v>46216</v>
      </c>
      <c r="B235" s="469"/>
      <c r="C235" s="470"/>
      <c r="D235" s="470"/>
      <c r="E235" s="469"/>
      <c r="F235" s="469"/>
      <c r="G235" s="469"/>
      <c r="H235" s="469"/>
      <c r="I235" s="469">
        <v>-277.5</v>
      </c>
      <c r="J235" s="469">
        <v>-268</v>
      </c>
      <c r="K235" s="469">
        <v>0</v>
      </c>
    </row>
    <row r="236" spans="1:11" x14ac:dyDescent="0.3">
      <c r="A236" s="483">
        <v>46217</v>
      </c>
      <c r="B236" s="484" t="s">
        <v>19</v>
      </c>
      <c r="C236" s="485" t="s">
        <v>114</v>
      </c>
      <c r="D236" s="485" t="s">
        <v>115</v>
      </c>
      <c r="E236" s="484">
        <v>2.2774999999999999</v>
      </c>
      <c r="F236" s="484">
        <v>-2.2499999999999964</v>
      </c>
      <c r="G236" s="484">
        <v>-2.2499999999999964</v>
      </c>
      <c r="H236" s="484">
        <v>-8.9999999999999858E-2</v>
      </c>
      <c r="I236" s="484">
        <v>0</v>
      </c>
      <c r="J236" s="484">
        <v>0.24999999999999467</v>
      </c>
      <c r="K236" s="484">
        <v>0.74999999999998401</v>
      </c>
    </row>
    <row r="237" spans="1:11" x14ac:dyDescent="0.3">
      <c r="A237" s="483">
        <v>46217</v>
      </c>
      <c r="B237" s="484" t="s">
        <v>10</v>
      </c>
      <c r="C237" s="485" t="s">
        <v>115</v>
      </c>
      <c r="D237" s="485" t="s">
        <v>116</v>
      </c>
      <c r="E237" s="484">
        <v>2.3149999999999999</v>
      </c>
      <c r="F237" s="484">
        <v>3.7500000000000089</v>
      </c>
      <c r="G237" s="484">
        <v>1.5000000000000124</v>
      </c>
      <c r="H237" s="484">
        <v>6.0000000000000497E-2</v>
      </c>
      <c r="I237" s="484">
        <v>-0.24999999999999467</v>
      </c>
      <c r="J237" s="484">
        <v>2.7499999999999858</v>
      </c>
      <c r="K237" s="484">
        <v>0.99999999999997868</v>
      </c>
    </row>
    <row r="238" spans="1:11" x14ac:dyDescent="0.3">
      <c r="A238" s="483">
        <v>46217</v>
      </c>
      <c r="B238" s="484" t="s">
        <v>11</v>
      </c>
      <c r="C238" s="485" t="s">
        <v>116</v>
      </c>
      <c r="D238" s="485" t="s">
        <v>117</v>
      </c>
      <c r="E238" s="484">
        <v>2.3849999999999998</v>
      </c>
      <c r="F238" s="484">
        <v>6.999999999999984</v>
      </c>
      <c r="G238" s="484">
        <v>8.4999999999999964</v>
      </c>
      <c r="H238" s="484">
        <v>0.33999999999999986</v>
      </c>
      <c r="I238" s="484">
        <v>-1.2500000000000178</v>
      </c>
      <c r="J238" s="484">
        <v>4.7499999999999876</v>
      </c>
      <c r="K238" s="484">
        <v>1.7499999999999627</v>
      </c>
    </row>
    <row r="239" spans="1:11" x14ac:dyDescent="0.3">
      <c r="A239" s="483">
        <v>46217</v>
      </c>
      <c r="B239" s="484" t="s">
        <v>13</v>
      </c>
      <c r="C239" s="485" t="s">
        <v>117</v>
      </c>
      <c r="D239" s="485">
        <v>46415</v>
      </c>
      <c r="E239" s="484">
        <v>2.4849999999999999</v>
      </c>
      <c r="F239" s="484">
        <v>10.000000000000009</v>
      </c>
      <c r="G239" s="484">
        <v>18.500000000000007</v>
      </c>
      <c r="H239" s="484">
        <v>0.74000000000000032</v>
      </c>
      <c r="I239" s="484">
        <v>-1.0000000000000231</v>
      </c>
      <c r="J239" s="484">
        <v>6.7499999999999893</v>
      </c>
      <c r="K239" s="484">
        <v>2.7499999999999858</v>
      </c>
    </row>
    <row r="240" spans="1:11" x14ac:dyDescent="0.3">
      <c r="A240" s="483">
        <v>46217</v>
      </c>
      <c r="B240" s="484" t="s">
        <v>28</v>
      </c>
      <c r="C240" s="485">
        <v>46415</v>
      </c>
      <c r="D240" s="485">
        <v>46464</v>
      </c>
      <c r="E240" s="484">
        <v>2.5950000000000002</v>
      </c>
      <c r="F240" s="484">
        <v>11.000000000000032</v>
      </c>
      <c r="G240" s="484">
        <v>29.500000000000036</v>
      </c>
      <c r="H240" s="484">
        <v>1.1800000000000015</v>
      </c>
      <c r="I240" s="484">
        <v>-0.24999999999999467</v>
      </c>
      <c r="J240" s="484">
        <v>9.5000000000000195</v>
      </c>
      <c r="K240" s="484">
        <v>4.2499999999999982</v>
      </c>
    </row>
    <row r="241" spans="1:11" x14ac:dyDescent="0.3">
      <c r="A241" s="483">
        <v>46217</v>
      </c>
      <c r="B241" s="484" t="s">
        <v>15</v>
      </c>
      <c r="C241" s="485">
        <v>46464</v>
      </c>
      <c r="D241" s="485">
        <v>46506</v>
      </c>
      <c r="E241" s="484">
        <v>2.6875</v>
      </c>
      <c r="F241" s="484">
        <v>9.2499999999999805</v>
      </c>
      <c r="G241" s="484">
        <v>38.750000000000014</v>
      </c>
      <c r="H241" s="484">
        <v>1.5500000000000005</v>
      </c>
      <c r="I241" s="484">
        <v>-0.49999999999998934</v>
      </c>
      <c r="J241" s="484">
        <v>10.499999999999998</v>
      </c>
      <c r="K241" s="484">
        <v>6.25</v>
      </c>
    </row>
    <row r="242" spans="1:11" x14ac:dyDescent="0.3">
      <c r="A242" s="483">
        <v>46217</v>
      </c>
      <c r="B242" s="484" t="s">
        <v>16</v>
      </c>
      <c r="C242" s="485">
        <v>46506</v>
      </c>
      <c r="D242" s="485">
        <v>46548</v>
      </c>
      <c r="E242" s="484">
        <v>2.7725</v>
      </c>
      <c r="F242" s="484">
        <v>8.4999999999999964</v>
      </c>
      <c r="G242" s="484">
        <v>47.250000000000014</v>
      </c>
      <c r="H242" s="484">
        <v>1.8900000000000006</v>
      </c>
      <c r="I242" s="484">
        <v>-1.0000000000000231</v>
      </c>
      <c r="J242" s="484">
        <v>10.999999999999988</v>
      </c>
      <c r="K242" s="484">
        <v>7.5000000000000178</v>
      </c>
    </row>
    <row r="243" spans="1:11" x14ac:dyDescent="0.3">
      <c r="A243" s="483">
        <v>46217</v>
      </c>
      <c r="B243" s="484" t="s">
        <v>28</v>
      </c>
      <c r="C243" s="485"/>
      <c r="D243" s="485"/>
      <c r="E243" s="484">
        <v>2.835</v>
      </c>
      <c r="F243" s="484">
        <v>6.25</v>
      </c>
      <c r="G243" s="484">
        <v>53.500000000000014</v>
      </c>
      <c r="H243" s="484">
        <v>2.1400000000000006</v>
      </c>
      <c r="I243" s="484">
        <v>-1.2500000000000178</v>
      </c>
      <c r="J243" s="484">
        <v>11.499999999999977</v>
      </c>
      <c r="K243" s="484" t="s">
        <v>41</v>
      </c>
    </row>
    <row r="244" spans="1:11" x14ac:dyDescent="0.3">
      <c r="A244" s="483">
        <v>46217</v>
      </c>
      <c r="B244" s="484"/>
      <c r="C244" s="485"/>
      <c r="D244" s="485"/>
      <c r="E244" s="484"/>
      <c r="F244" s="484"/>
      <c r="G244" s="484"/>
      <c r="H244" s="484"/>
      <c r="I244" s="484">
        <v>-284.75</v>
      </c>
      <c r="J244" s="484">
        <v>-272</v>
      </c>
      <c r="K244" s="484" t="s">
        <v>41</v>
      </c>
    </row>
    <row r="245" spans="1:11" x14ac:dyDescent="0.3">
      <c r="A245" s="483">
        <v>46217</v>
      </c>
      <c r="B245" s="484"/>
      <c r="C245" s="485"/>
      <c r="D245" s="485"/>
      <c r="E245" s="484"/>
      <c r="F245" s="484"/>
      <c r="G245" s="484"/>
      <c r="H245" s="484"/>
      <c r="I245" s="484">
        <v>-284.75</v>
      </c>
      <c r="J245" s="484">
        <v>-272</v>
      </c>
      <c r="K245" s="484" t="s">
        <v>41</v>
      </c>
    </row>
    <row r="246" spans="1:11" x14ac:dyDescent="0.3">
      <c r="A246" s="483">
        <v>46217</v>
      </c>
      <c r="B246" s="484"/>
      <c r="C246" s="485"/>
      <c r="D246" s="485"/>
      <c r="E246" s="484"/>
      <c r="F246" s="484"/>
      <c r="G246" s="484"/>
      <c r="H246" s="484"/>
      <c r="I246" s="484">
        <v>-284.75</v>
      </c>
      <c r="J246" s="484">
        <v>-272</v>
      </c>
      <c r="K246" s="484" t="s">
        <v>41</v>
      </c>
    </row>
    <row r="247" spans="1:11" x14ac:dyDescent="0.3">
      <c r="A247" s="483">
        <v>46217</v>
      </c>
      <c r="B247" s="484"/>
      <c r="C247" s="485"/>
      <c r="D247" s="485"/>
      <c r="E247" s="484"/>
      <c r="F247" s="484"/>
      <c r="G247" s="484"/>
      <c r="H247" s="484"/>
      <c r="I247" s="484">
        <v>-284.75</v>
      </c>
      <c r="J247" s="484">
        <v>-272</v>
      </c>
      <c r="K247" s="484" t="s">
        <v>41</v>
      </c>
    </row>
    <row r="248" spans="1:11" x14ac:dyDescent="0.3">
      <c r="A248" s="239">
        <v>46218</v>
      </c>
      <c r="B248" s="240" t="s">
        <v>19</v>
      </c>
      <c r="C248" s="241" t="s">
        <v>114</v>
      </c>
      <c r="D248" s="241" t="s">
        <v>115</v>
      </c>
      <c r="E248" s="240">
        <v>2.2799999999999998</v>
      </c>
      <c r="F248" s="240">
        <v>0</v>
      </c>
      <c r="G248" s="240">
        <v>0</v>
      </c>
      <c r="H248" s="240">
        <v>0</v>
      </c>
      <c r="I248" s="240">
        <v>0.24999999999999467</v>
      </c>
      <c r="J248" s="240">
        <v>0.49999999999998934</v>
      </c>
      <c r="K248" s="240">
        <v>0.74999999999998401</v>
      </c>
    </row>
    <row r="249" spans="1:11" x14ac:dyDescent="0.3">
      <c r="A249" s="239">
        <v>46218</v>
      </c>
      <c r="B249" s="240" t="s">
        <v>10</v>
      </c>
      <c r="C249" s="241" t="s">
        <v>115</v>
      </c>
      <c r="D249" s="241" t="s">
        <v>116</v>
      </c>
      <c r="E249" s="240">
        <v>2.2999999999999998</v>
      </c>
      <c r="F249" s="240">
        <v>2.0000000000000018</v>
      </c>
      <c r="G249" s="240">
        <v>2.0000000000000018</v>
      </c>
      <c r="H249" s="240">
        <v>8.0000000000000071E-2</v>
      </c>
      <c r="I249" s="240">
        <v>-1.5000000000000124</v>
      </c>
      <c r="J249" s="240">
        <v>-1.2500000000000178</v>
      </c>
      <c r="K249" s="240">
        <v>0.49999999999998934</v>
      </c>
    </row>
    <row r="250" spans="1:11" x14ac:dyDescent="0.3">
      <c r="A250" s="239">
        <v>46218</v>
      </c>
      <c r="B250" s="240" t="s">
        <v>11</v>
      </c>
      <c r="C250" s="241" t="s">
        <v>116</v>
      </c>
      <c r="D250" s="241" t="s">
        <v>117</v>
      </c>
      <c r="E250" s="240">
        <v>2.36</v>
      </c>
      <c r="F250" s="240">
        <v>6.0000000000000053</v>
      </c>
      <c r="G250" s="240">
        <v>8.0000000000000071</v>
      </c>
      <c r="H250" s="240">
        <v>0.32000000000000028</v>
      </c>
      <c r="I250" s="240">
        <v>-2.4999999999999911</v>
      </c>
      <c r="J250" s="240">
        <v>-2.0000000000000018</v>
      </c>
      <c r="K250" s="240">
        <v>0.99999999999997868</v>
      </c>
    </row>
    <row r="251" spans="1:11" x14ac:dyDescent="0.3">
      <c r="A251" s="239">
        <v>46218</v>
      </c>
      <c r="B251" s="240" t="s">
        <v>13</v>
      </c>
      <c r="C251" s="241" t="s">
        <v>117</v>
      </c>
      <c r="D251" s="241">
        <v>46415</v>
      </c>
      <c r="E251" s="240">
        <v>2.4550000000000001</v>
      </c>
      <c r="F251" s="240">
        <v>9.5000000000000195</v>
      </c>
      <c r="G251" s="240">
        <v>17.500000000000028</v>
      </c>
      <c r="H251" s="240">
        <v>0.70000000000000118</v>
      </c>
      <c r="I251" s="240">
        <v>-2.9999999999999805</v>
      </c>
      <c r="J251" s="240">
        <v>-2.9999999999999805</v>
      </c>
      <c r="K251" s="240">
        <v>2.4999999999999911</v>
      </c>
    </row>
    <row r="252" spans="1:11" x14ac:dyDescent="0.3">
      <c r="A252" s="239">
        <v>46218</v>
      </c>
      <c r="B252" s="240" t="s">
        <v>28</v>
      </c>
      <c r="C252" s="241">
        <v>46415</v>
      </c>
      <c r="D252" s="241">
        <v>46464</v>
      </c>
      <c r="E252" s="240">
        <v>2.5575000000000001</v>
      </c>
      <c r="F252" s="240">
        <v>10.250000000000004</v>
      </c>
      <c r="G252" s="240">
        <v>27.750000000000028</v>
      </c>
      <c r="H252" s="240">
        <v>1.1100000000000012</v>
      </c>
      <c r="I252" s="240">
        <v>-3.7500000000000089</v>
      </c>
      <c r="J252" s="240">
        <v>-4.0000000000000036</v>
      </c>
      <c r="K252" s="240">
        <v>4.2499999999999982</v>
      </c>
    </row>
    <row r="253" spans="1:11" x14ac:dyDescent="0.3">
      <c r="A253" s="239">
        <v>46218</v>
      </c>
      <c r="B253" s="240" t="s">
        <v>15</v>
      </c>
      <c r="C253" s="241">
        <v>46464</v>
      </c>
      <c r="D253" s="241">
        <v>46506</v>
      </c>
      <c r="E253" s="240">
        <v>2.65</v>
      </c>
      <c r="F253" s="240">
        <v>9.2499999999999805</v>
      </c>
      <c r="G253" s="240">
        <v>37.000000000000014</v>
      </c>
      <c r="H253" s="240">
        <v>1.4800000000000006</v>
      </c>
      <c r="I253" s="240">
        <v>-3.7500000000000089</v>
      </c>
      <c r="J253" s="240">
        <v>-4.2499999999999982</v>
      </c>
      <c r="K253" s="240">
        <v>6.7499999999999893</v>
      </c>
    </row>
    <row r="254" spans="1:11" x14ac:dyDescent="0.3">
      <c r="A254" s="239">
        <v>46218</v>
      </c>
      <c r="B254" s="240" t="s">
        <v>16</v>
      </c>
      <c r="C254" s="241">
        <v>46506</v>
      </c>
      <c r="D254" s="241">
        <v>46548</v>
      </c>
      <c r="E254" s="240">
        <v>2.7324999999999999</v>
      </c>
      <c r="F254" s="240">
        <v>8.2500000000000018</v>
      </c>
      <c r="G254" s="240">
        <v>45.250000000000014</v>
      </c>
      <c r="H254" s="240">
        <v>1.8100000000000005</v>
      </c>
      <c r="I254" s="240">
        <v>-4.0000000000000036</v>
      </c>
      <c r="J254" s="240">
        <v>-4.4999999999999929</v>
      </c>
      <c r="K254" s="240">
        <v>8.2500000000000018</v>
      </c>
    </row>
    <row r="255" spans="1:11" x14ac:dyDescent="0.3">
      <c r="A255" s="239">
        <v>46218</v>
      </c>
      <c r="B255" s="240" t="s">
        <v>28</v>
      </c>
      <c r="C255" s="241"/>
      <c r="D255" s="241"/>
      <c r="E255" s="240">
        <v>2.7949999999999999</v>
      </c>
      <c r="F255" s="240">
        <v>6.25</v>
      </c>
      <c r="G255" s="240">
        <v>51.500000000000014</v>
      </c>
      <c r="H255" s="240">
        <v>2.0600000000000005</v>
      </c>
      <c r="I255" s="240">
        <v>-4.0000000000000036</v>
      </c>
      <c r="J255" s="240">
        <v>-4.2499999999999982</v>
      </c>
      <c r="K255" s="240">
        <v>9.7500000000000142</v>
      </c>
    </row>
    <row r="256" spans="1:11" x14ac:dyDescent="0.3">
      <c r="A256" s="239">
        <v>46218</v>
      </c>
      <c r="B256" s="240"/>
      <c r="C256" s="241"/>
      <c r="D256" s="241"/>
      <c r="E256" s="240"/>
      <c r="F256" s="240"/>
      <c r="G256" s="240"/>
      <c r="H256" s="240"/>
      <c r="I256" s="240">
        <v>-283.5</v>
      </c>
      <c r="J256" s="240">
        <v>-283.75</v>
      </c>
      <c r="K256" s="240">
        <v>-269.75</v>
      </c>
    </row>
    <row r="257" spans="1:11" x14ac:dyDescent="0.3">
      <c r="A257" s="239">
        <v>46218</v>
      </c>
      <c r="B257" s="240"/>
      <c r="C257" s="241"/>
      <c r="D257" s="241"/>
      <c r="E257" s="240"/>
      <c r="F257" s="240"/>
      <c r="G257" s="240"/>
      <c r="H257" s="240"/>
      <c r="I257" s="240">
        <v>-283.5</v>
      </c>
      <c r="J257" s="240">
        <v>-283.75</v>
      </c>
      <c r="K257" s="240">
        <v>-269.75</v>
      </c>
    </row>
    <row r="258" spans="1:11" x14ac:dyDescent="0.3">
      <c r="A258" s="239">
        <v>46218</v>
      </c>
      <c r="B258" s="240"/>
      <c r="C258" s="241"/>
      <c r="D258" s="241"/>
      <c r="E258" s="240"/>
      <c r="F258" s="240"/>
      <c r="G258" s="240"/>
      <c r="H258" s="240"/>
      <c r="I258" s="240">
        <v>-283.5</v>
      </c>
      <c r="J258" s="240">
        <v>-283.75</v>
      </c>
      <c r="K258" s="240">
        <v>-269.75</v>
      </c>
    </row>
    <row r="259" spans="1:11" x14ac:dyDescent="0.3">
      <c r="A259" s="239">
        <v>46218</v>
      </c>
      <c r="B259" s="240"/>
      <c r="C259" s="241"/>
      <c r="D259" s="241"/>
      <c r="E259" s="240"/>
      <c r="F259" s="240"/>
      <c r="G259" s="240"/>
      <c r="H259" s="240"/>
      <c r="I259" s="240">
        <v>-283.5</v>
      </c>
      <c r="J259" s="240">
        <v>-283.75</v>
      </c>
      <c r="K259" s="240">
        <v>-269.75</v>
      </c>
    </row>
    <row r="260" spans="1:11" x14ac:dyDescent="0.3">
      <c r="A260" s="239">
        <v>46219</v>
      </c>
      <c r="B260" s="240" t="s">
        <v>10</v>
      </c>
      <c r="C260" s="241" t="s">
        <v>115</v>
      </c>
      <c r="D260" s="241" t="s">
        <v>116</v>
      </c>
      <c r="E260" s="240">
        <v>2.3050000000000002</v>
      </c>
      <c r="F260" s="240">
        <v>-0.49999999999998934</v>
      </c>
      <c r="G260" s="240">
        <v>-0.49999999999998934</v>
      </c>
      <c r="H260" s="240">
        <v>-1.9999999999999574E-2</v>
      </c>
      <c r="I260" s="240">
        <v>0.50000000000003375</v>
      </c>
      <c r="J260" s="240">
        <v>0.24999999999999467</v>
      </c>
      <c r="K260" s="240">
        <v>0</v>
      </c>
    </row>
    <row r="261" spans="1:11" x14ac:dyDescent="0.3">
      <c r="A261" s="239">
        <v>46219</v>
      </c>
      <c r="B261" s="240" t="s">
        <v>11</v>
      </c>
      <c r="C261" s="241" t="s">
        <v>116</v>
      </c>
      <c r="D261" s="241" t="s">
        <v>117</v>
      </c>
      <c r="E261" s="240">
        <v>2.3675000000000002</v>
      </c>
      <c r="F261" s="240">
        <v>6.25</v>
      </c>
      <c r="G261" s="240">
        <v>5.7500000000000107</v>
      </c>
      <c r="H261" s="240">
        <v>0.23000000000000043</v>
      </c>
      <c r="I261" s="240">
        <v>0.75000000000002842</v>
      </c>
      <c r="J261" s="240">
        <v>0.50000000000003375</v>
      </c>
      <c r="K261" s="240">
        <v>0</v>
      </c>
    </row>
    <row r="262" spans="1:11" x14ac:dyDescent="0.3">
      <c r="A262" s="239">
        <v>46219</v>
      </c>
      <c r="B262" s="240" t="s">
        <v>13</v>
      </c>
      <c r="C262" s="241" t="s">
        <v>117</v>
      </c>
      <c r="D262" s="241">
        <v>46415</v>
      </c>
      <c r="E262" s="240">
        <v>2.4624999999999999</v>
      </c>
      <c r="F262" s="240">
        <v>9.4999999999999751</v>
      </c>
      <c r="G262" s="240">
        <v>15.249999999999986</v>
      </c>
      <c r="H262" s="240">
        <v>0.60999999999999943</v>
      </c>
      <c r="I262" s="240">
        <v>0.74999999999998401</v>
      </c>
      <c r="J262" s="240">
        <v>1.5000000000000124</v>
      </c>
      <c r="K262" s="240">
        <v>1.5000000000000124</v>
      </c>
    </row>
    <row r="263" spans="1:11" x14ac:dyDescent="0.3">
      <c r="A263" s="239">
        <v>46219</v>
      </c>
      <c r="B263" s="240" t="s">
        <v>28</v>
      </c>
      <c r="C263" s="241">
        <v>46415</v>
      </c>
      <c r="D263" s="241">
        <v>46464</v>
      </c>
      <c r="E263" s="240">
        <v>2.5674999999999999</v>
      </c>
      <c r="F263" s="240">
        <v>10.499999999999998</v>
      </c>
      <c r="G263" s="240">
        <v>25.749999999999986</v>
      </c>
      <c r="H263" s="240">
        <v>1.0299999999999994</v>
      </c>
      <c r="I263" s="240">
        <v>0.99999999999997868</v>
      </c>
      <c r="J263" s="240">
        <v>3.2499999999999751</v>
      </c>
      <c r="K263" s="240">
        <v>3.4999999999999698</v>
      </c>
    </row>
    <row r="264" spans="1:11" x14ac:dyDescent="0.3">
      <c r="A264" s="239">
        <v>46219</v>
      </c>
      <c r="B264" s="240" t="s">
        <v>15</v>
      </c>
      <c r="C264" s="241">
        <v>46464</v>
      </c>
      <c r="D264" s="241">
        <v>46506</v>
      </c>
      <c r="E264" s="240">
        <v>2.66</v>
      </c>
      <c r="F264" s="240">
        <v>9.2500000000000249</v>
      </c>
      <c r="G264" s="240">
        <v>35.000000000000007</v>
      </c>
      <c r="H264" s="240">
        <v>1.4000000000000004</v>
      </c>
      <c r="I264" s="240">
        <v>1.0000000000000231</v>
      </c>
      <c r="J264" s="240">
        <v>4.0000000000000036</v>
      </c>
      <c r="K264" s="240">
        <v>5.2500000000000213</v>
      </c>
    </row>
    <row r="265" spans="1:11" x14ac:dyDescent="0.3">
      <c r="A265" s="239">
        <v>46219</v>
      </c>
      <c r="B265" s="240" t="s">
        <v>16</v>
      </c>
      <c r="C265" s="241">
        <v>46506</v>
      </c>
      <c r="D265" s="241">
        <v>46548</v>
      </c>
      <c r="E265" s="240">
        <v>2.7425000000000002</v>
      </c>
      <c r="F265" s="240">
        <v>8.2500000000000018</v>
      </c>
      <c r="G265" s="240">
        <v>43.250000000000014</v>
      </c>
      <c r="H265" s="240">
        <v>1.7300000000000006</v>
      </c>
      <c r="I265" s="240">
        <v>1.0000000000000231</v>
      </c>
      <c r="J265" s="240">
        <v>4.2499999999999982</v>
      </c>
      <c r="K265" s="240">
        <v>6.4999999999999947</v>
      </c>
    </row>
    <row r="266" spans="1:11" x14ac:dyDescent="0.3">
      <c r="A266" s="239">
        <v>46219</v>
      </c>
      <c r="B266" s="240" t="s">
        <v>28</v>
      </c>
      <c r="C266" s="241"/>
      <c r="D266" s="241"/>
      <c r="E266" s="240"/>
      <c r="F266" s="240"/>
      <c r="G266" s="240"/>
      <c r="H266" s="240"/>
      <c r="I266" s="240">
        <v>-279.5</v>
      </c>
      <c r="J266" s="240" t="s">
        <v>41</v>
      </c>
      <c r="K266" s="240">
        <v>-272.5</v>
      </c>
    </row>
    <row r="267" spans="1:11" x14ac:dyDescent="0.3">
      <c r="A267" s="239">
        <v>46219</v>
      </c>
      <c r="B267" s="240" t="s">
        <v>28</v>
      </c>
      <c r="C267" s="241"/>
      <c r="D267" s="241"/>
      <c r="E267" s="240"/>
      <c r="F267" s="240"/>
      <c r="G267" s="240"/>
      <c r="H267" s="240"/>
      <c r="I267" s="240">
        <v>-279.5</v>
      </c>
      <c r="J267" s="240" t="s">
        <v>41</v>
      </c>
      <c r="K267" s="240">
        <v>-272.5</v>
      </c>
    </row>
    <row r="268" spans="1:11" x14ac:dyDescent="0.3">
      <c r="A268" s="239">
        <v>46219</v>
      </c>
      <c r="B268" s="240"/>
      <c r="C268" s="241"/>
      <c r="D268" s="241"/>
      <c r="E268" s="240"/>
      <c r="F268" s="240"/>
      <c r="G268" s="240"/>
      <c r="H268" s="240"/>
      <c r="I268" s="240">
        <v>-279.5</v>
      </c>
      <c r="J268" s="240" t="s">
        <v>41</v>
      </c>
      <c r="K268" s="240">
        <v>-272.5</v>
      </c>
    </row>
    <row r="269" spans="1:11" x14ac:dyDescent="0.3">
      <c r="A269" s="239">
        <v>46219</v>
      </c>
      <c r="B269" s="240"/>
      <c r="C269" s="241"/>
      <c r="D269" s="241"/>
      <c r="E269" s="240"/>
      <c r="F269" s="240"/>
      <c r="G269" s="240"/>
      <c r="H269" s="240"/>
      <c r="I269" s="240">
        <v>-279.5</v>
      </c>
      <c r="J269" s="240" t="s">
        <v>41</v>
      </c>
      <c r="K269" s="240">
        <v>-272.5</v>
      </c>
    </row>
    <row r="270" spans="1:11" x14ac:dyDescent="0.3">
      <c r="A270" s="239">
        <v>46219</v>
      </c>
      <c r="B270" s="240"/>
      <c r="C270" s="241"/>
      <c r="D270" s="241"/>
      <c r="E270" s="240"/>
      <c r="F270" s="240"/>
      <c r="G270" s="240"/>
      <c r="H270" s="240"/>
      <c r="I270" s="240">
        <v>-279.5</v>
      </c>
      <c r="J270" s="240" t="s">
        <v>41</v>
      </c>
      <c r="K270" s="240">
        <v>-272.5</v>
      </c>
    </row>
    <row r="271" spans="1:11" x14ac:dyDescent="0.3">
      <c r="A271" s="239">
        <v>46219</v>
      </c>
      <c r="B271" s="240"/>
      <c r="C271" s="241"/>
      <c r="D271" s="241"/>
      <c r="E271" s="240"/>
      <c r="F271" s="240"/>
      <c r="G271" s="240"/>
      <c r="H271" s="240"/>
      <c r="I271" s="240">
        <v>-279.5</v>
      </c>
      <c r="J271" s="240" t="s">
        <v>41</v>
      </c>
      <c r="K271" s="240">
        <v>-272.5</v>
      </c>
    </row>
    <row r="272" spans="1:11" x14ac:dyDescent="0.3">
      <c r="A272" s="498">
        <v>46220</v>
      </c>
      <c r="B272" s="499" t="s">
        <v>10</v>
      </c>
      <c r="C272" s="500" t="s">
        <v>115</v>
      </c>
      <c r="D272" s="500" t="s">
        <v>116</v>
      </c>
      <c r="E272" s="499">
        <v>2.3075000000000001</v>
      </c>
      <c r="F272" s="499">
        <v>0.75000000000002842</v>
      </c>
      <c r="G272" s="499">
        <v>0.75000000000002842</v>
      </c>
      <c r="H272" s="499">
        <v>3.0000000000001137E-2</v>
      </c>
      <c r="I272" s="499">
        <v>0.24999999999999467</v>
      </c>
      <c r="J272" s="499">
        <v>0</v>
      </c>
      <c r="K272" s="499">
        <v>0.24999999999999467</v>
      </c>
    </row>
    <row r="273" spans="1:11" x14ac:dyDescent="0.3">
      <c r="A273" s="498">
        <v>46220</v>
      </c>
      <c r="B273" s="499" t="s">
        <v>11</v>
      </c>
      <c r="C273" s="500" t="s">
        <v>116</v>
      </c>
      <c r="D273" s="500" t="s">
        <v>117</v>
      </c>
      <c r="E273" s="499">
        <v>2.3675000000000002</v>
      </c>
      <c r="F273" s="499">
        <v>6.0000000000000053</v>
      </c>
      <c r="G273" s="499">
        <v>6.7500000000000338</v>
      </c>
      <c r="H273" s="499">
        <v>0.27000000000000135</v>
      </c>
      <c r="I273" s="499">
        <v>0</v>
      </c>
      <c r="J273" s="499">
        <v>-0.99999999999997868</v>
      </c>
      <c r="K273" s="499">
        <v>-0.24999999999999467</v>
      </c>
    </row>
    <row r="274" spans="1:11" x14ac:dyDescent="0.3">
      <c r="A274" s="498">
        <v>46220</v>
      </c>
      <c r="B274" s="499" t="s">
        <v>13</v>
      </c>
      <c r="C274" s="500" t="s">
        <v>117</v>
      </c>
      <c r="D274" s="500">
        <v>46415</v>
      </c>
      <c r="E274" s="499">
        <v>2.4674999999999998</v>
      </c>
      <c r="F274" s="499">
        <v>9.9999999999999645</v>
      </c>
      <c r="G274" s="499">
        <v>16.75</v>
      </c>
      <c r="H274" s="499">
        <v>0.67</v>
      </c>
      <c r="I274" s="499">
        <v>0.49999999999998934</v>
      </c>
      <c r="J274" s="499">
        <v>0.74999999999998401</v>
      </c>
      <c r="K274" s="499">
        <v>2.2499999999999964</v>
      </c>
    </row>
    <row r="275" spans="1:11" x14ac:dyDescent="0.3">
      <c r="A275" s="498">
        <v>46220</v>
      </c>
      <c r="B275" s="499" t="s">
        <v>28</v>
      </c>
      <c r="C275" s="500">
        <v>46415</v>
      </c>
      <c r="D275" s="500">
        <v>46464</v>
      </c>
      <c r="E275" s="499">
        <v>2.5750000000000002</v>
      </c>
      <c r="F275" s="499">
        <v>10.750000000000037</v>
      </c>
      <c r="G275" s="499">
        <v>27.500000000000036</v>
      </c>
      <c r="H275" s="499">
        <v>1.1000000000000014</v>
      </c>
      <c r="I275" s="499">
        <v>0.75000000000002842</v>
      </c>
      <c r="J275" s="499">
        <v>2.7500000000000302</v>
      </c>
      <c r="K275" s="499">
        <v>5.0000000000000266</v>
      </c>
    </row>
    <row r="276" spans="1:11" x14ac:dyDescent="0.3">
      <c r="A276" s="498">
        <v>46220</v>
      </c>
      <c r="B276" s="499" t="s">
        <v>15</v>
      </c>
      <c r="C276" s="500">
        <v>46464</v>
      </c>
      <c r="D276" s="500">
        <v>46506</v>
      </c>
      <c r="E276" s="499">
        <v>2.6625000000000001</v>
      </c>
      <c r="F276" s="499">
        <v>8.7499999999999911</v>
      </c>
      <c r="G276" s="499">
        <v>36.250000000000028</v>
      </c>
      <c r="H276" s="499">
        <v>1.4500000000000011</v>
      </c>
      <c r="I276" s="499">
        <v>0.24999999999999467</v>
      </c>
      <c r="J276" s="499">
        <v>3.0000000000000249</v>
      </c>
      <c r="K276" s="499">
        <v>6.0000000000000053</v>
      </c>
    </row>
    <row r="277" spans="1:11" x14ac:dyDescent="0.3">
      <c r="A277" s="498">
        <v>46220</v>
      </c>
      <c r="B277" s="499" t="s">
        <v>16</v>
      </c>
      <c r="C277" s="500">
        <v>46506</v>
      </c>
      <c r="D277" s="500">
        <v>46548</v>
      </c>
      <c r="E277" s="499">
        <v>2.7374999999999998</v>
      </c>
      <c r="F277" s="499">
        <v>7.4999999999999734</v>
      </c>
      <c r="G277" s="499">
        <v>43.75</v>
      </c>
      <c r="H277" s="499">
        <v>1.75</v>
      </c>
      <c r="I277" s="499">
        <v>-0.50000000000003375</v>
      </c>
      <c r="J277" s="499">
        <v>2.4999999999999911</v>
      </c>
      <c r="K277" s="499">
        <v>5.9999999999999609</v>
      </c>
    </row>
    <row r="278" spans="1:11" x14ac:dyDescent="0.3">
      <c r="A278" s="498">
        <v>46220</v>
      </c>
      <c r="B278" s="499" t="s">
        <v>28</v>
      </c>
      <c r="C278" s="500"/>
      <c r="D278" s="500"/>
      <c r="E278" s="499"/>
      <c r="F278" s="499"/>
      <c r="G278" s="499"/>
      <c r="H278" s="499"/>
      <c r="I278" s="499">
        <v>0</v>
      </c>
      <c r="J278" s="499">
        <v>-277.5</v>
      </c>
      <c r="K278" s="499">
        <v>-272.25</v>
      </c>
    </row>
    <row r="279" spans="1:11" x14ac:dyDescent="0.3">
      <c r="A279" s="498">
        <v>46220</v>
      </c>
      <c r="B279" s="499" t="s">
        <v>28</v>
      </c>
      <c r="C279" s="500"/>
      <c r="D279" s="500"/>
      <c r="E279" s="499"/>
      <c r="F279" s="499"/>
      <c r="G279" s="499"/>
      <c r="H279" s="499"/>
      <c r="I279" s="499">
        <v>0</v>
      </c>
      <c r="J279" s="499">
        <v>-277.5</v>
      </c>
      <c r="K279" s="499">
        <v>-272.25</v>
      </c>
    </row>
    <row r="280" spans="1:11" x14ac:dyDescent="0.3">
      <c r="A280" s="498">
        <v>46220</v>
      </c>
      <c r="B280" s="499"/>
      <c r="C280" s="500"/>
      <c r="D280" s="500"/>
      <c r="E280" s="499"/>
      <c r="F280" s="499"/>
      <c r="G280" s="499"/>
      <c r="H280" s="499"/>
      <c r="I280" s="499">
        <v>0</v>
      </c>
      <c r="J280" s="499">
        <v>-277.5</v>
      </c>
      <c r="K280" s="499">
        <v>-272.25</v>
      </c>
    </row>
    <row r="281" spans="1:11" x14ac:dyDescent="0.3">
      <c r="A281" s="498">
        <v>46220</v>
      </c>
      <c r="B281" s="499"/>
      <c r="C281" s="500"/>
      <c r="D281" s="500"/>
      <c r="E281" s="499"/>
      <c r="F281" s="499"/>
      <c r="G281" s="499"/>
      <c r="H281" s="499"/>
      <c r="I281" s="499">
        <v>0</v>
      </c>
      <c r="J281" s="499">
        <v>-277.5</v>
      </c>
      <c r="K281" s="499">
        <v>-272.25</v>
      </c>
    </row>
    <row r="282" spans="1:11" x14ac:dyDescent="0.3">
      <c r="A282" s="498">
        <v>46220</v>
      </c>
      <c r="B282" s="499"/>
      <c r="C282" s="500"/>
      <c r="D282" s="500"/>
      <c r="E282" s="499"/>
      <c r="F282" s="499"/>
      <c r="G282" s="499"/>
      <c r="H282" s="499"/>
      <c r="I282" s="499">
        <v>0</v>
      </c>
      <c r="J282" s="499">
        <v>-277.5</v>
      </c>
      <c r="K282" s="499">
        <v>-272.25</v>
      </c>
    </row>
    <row r="283" spans="1:11" x14ac:dyDescent="0.3">
      <c r="A283" s="498">
        <v>46220</v>
      </c>
      <c r="B283" s="499"/>
      <c r="C283" s="500"/>
      <c r="D283" s="500"/>
      <c r="E283" s="499"/>
      <c r="F283" s="499"/>
      <c r="G283" s="499"/>
      <c r="H283" s="499"/>
      <c r="I283" s="499">
        <v>0</v>
      </c>
      <c r="J283" s="499">
        <v>-277.5</v>
      </c>
      <c r="K283" s="499">
        <v>-272.25</v>
      </c>
    </row>
    <row r="284" spans="1:11" x14ac:dyDescent="0.3">
      <c r="A284" s="498">
        <v>46223</v>
      </c>
      <c r="B284" s="499" t="s">
        <v>10</v>
      </c>
      <c r="C284" s="500" t="s">
        <v>115</v>
      </c>
      <c r="D284" s="500" t="s">
        <v>116</v>
      </c>
      <c r="E284" s="499">
        <v>2.3050000000000002</v>
      </c>
      <c r="F284" s="499">
        <v>1.5000000000000124</v>
      </c>
      <c r="G284" s="499">
        <v>1.5000000000000124</v>
      </c>
      <c r="H284" s="499">
        <v>6.0000000000000497E-2</v>
      </c>
      <c r="I284" s="499">
        <v>-0.24999999999999467</v>
      </c>
      <c r="J284" s="499">
        <v>-1.2499999999999734</v>
      </c>
      <c r="K284" s="499">
        <v>0</v>
      </c>
    </row>
    <row r="285" spans="1:11" x14ac:dyDescent="0.3">
      <c r="A285" s="498">
        <v>46223</v>
      </c>
      <c r="B285" s="499" t="s">
        <v>11</v>
      </c>
      <c r="C285" s="500" t="s">
        <v>116</v>
      </c>
      <c r="D285" s="500" t="s">
        <v>117</v>
      </c>
      <c r="E285" s="499">
        <v>2.3624999999999998</v>
      </c>
      <c r="F285" s="499">
        <v>5.7499999999999662</v>
      </c>
      <c r="G285" s="499">
        <v>7.2499999999999787</v>
      </c>
      <c r="H285" s="499">
        <v>0.28999999999999915</v>
      </c>
      <c r="I285" s="499">
        <v>-0.50000000000003375</v>
      </c>
      <c r="J285" s="499">
        <v>-3.5000000000000142</v>
      </c>
      <c r="K285" s="499">
        <v>-0.75000000000002842</v>
      </c>
    </row>
    <row r="286" spans="1:11" x14ac:dyDescent="0.3">
      <c r="A286" s="498">
        <v>46223</v>
      </c>
      <c r="B286" s="499" t="s">
        <v>13</v>
      </c>
      <c r="C286" s="500" t="s">
        <v>117</v>
      </c>
      <c r="D286" s="500">
        <v>46415</v>
      </c>
      <c r="E286" s="499">
        <v>2.46</v>
      </c>
      <c r="F286" s="499">
        <v>9.7500000000000142</v>
      </c>
      <c r="G286" s="499">
        <v>16.999999999999993</v>
      </c>
      <c r="H286" s="499">
        <v>0.67999999999999972</v>
      </c>
      <c r="I286" s="499">
        <v>-0.74999999999998401</v>
      </c>
      <c r="J286" s="499">
        <v>-3.5000000000000142</v>
      </c>
      <c r="K286" s="499">
        <v>1.5000000000000124</v>
      </c>
    </row>
    <row r="287" spans="1:11" x14ac:dyDescent="0.3">
      <c r="A287" s="498">
        <v>46223</v>
      </c>
      <c r="B287" s="499" t="s">
        <v>28</v>
      </c>
      <c r="C287" s="500">
        <v>46415</v>
      </c>
      <c r="D287" s="500">
        <v>46464</v>
      </c>
      <c r="E287" s="499">
        <v>2.5674999999999999</v>
      </c>
      <c r="F287" s="499">
        <v>10.749999999999993</v>
      </c>
      <c r="G287" s="499">
        <v>27.749999999999986</v>
      </c>
      <c r="H287" s="499">
        <v>1.1099999999999994</v>
      </c>
      <c r="I287" s="499">
        <v>-0.75000000000002842</v>
      </c>
      <c r="J287" s="499">
        <v>-3.0000000000000249</v>
      </c>
      <c r="K287" s="499">
        <v>4.2499999999999982</v>
      </c>
    </row>
    <row r="288" spans="1:11" x14ac:dyDescent="0.3">
      <c r="A288" s="498">
        <v>46223</v>
      </c>
      <c r="B288" s="499" t="s">
        <v>15</v>
      </c>
      <c r="C288" s="500">
        <v>46464</v>
      </c>
      <c r="D288" s="500">
        <v>46506</v>
      </c>
      <c r="E288" s="499">
        <v>2.6575000000000002</v>
      </c>
      <c r="F288" s="499">
        <v>9.0000000000000302</v>
      </c>
      <c r="G288" s="499">
        <v>36.750000000000014</v>
      </c>
      <c r="H288" s="499">
        <v>1.4700000000000006</v>
      </c>
      <c r="I288" s="499">
        <v>-0.49999999999998934</v>
      </c>
      <c r="J288" s="499">
        <v>-3.4999999999999698</v>
      </c>
      <c r="K288" s="499">
        <v>5.500000000000016</v>
      </c>
    </row>
    <row r="289" spans="1:11" x14ac:dyDescent="0.3">
      <c r="A289" s="498">
        <v>46223</v>
      </c>
      <c r="B289" s="499" t="s">
        <v>16</v>
      </c>
      <c r="C289" s="500">
        <v>46506</v>
      </c>
      <c r="D289" s="500">
        <v>46548</v>
      </c>
      <c r="E289" s="499">
        <v>2.7349999999999999</v>
      </c>
      <c r="F289" s="499">
        <v>7.749999999999968</v>
      </c>
      <c r="G289" s="499">
        <v>44.499999999999986</v>
      </c>
      <c r="H289" s="499">
        <v>1.7799999999999994</v>
      </c>
      <c r="I289" s="499">
        <v>-0.24999999999999467</v>
      </c>
      <c r="J289" s="499">
        <v>-4.750000000000032</v>
      </c>
      <c r="K289" s="499">
        <v>5.7499999999999662</v>
      </c>
    </row>
    <row r="290" spans="1:11" x14ac:dyDescent="0.3">
      <c r="A290" s="498">
        <v>46223</v>
      </c>
      <c r="B290" s="499" t="s">
        <v>28</v>
      </c>
      <c r="C290" s="500"/>
      <c r="D290" s="500"/>
      <c r="E290" s="499"/>
      <c r="F290" s="499"/>
      <c r="G290" s="499"/>
      <c r="H290" s="499"/>
      <c r="I290" s="499">
        <v>0</v>
      </c>
      <c r="J290" s="499">
        <v>-284.75</v>
      </c>
      <c r="K290" s="499">
        <v>-272.25</v>
      </c>
    </row>
    <row r="291" spans="1:11" x14ac:dyDescent="0.3">
      <c r="A291" s="498">
        <v>46223</v>
      </c>
      <c r="B291" s="499" t="s">
        <v>28</v>
      </c>
      <c r="C291" s="500"/>
      <c r="D291" s="500"/>
      <c r="E291" s="499"/>
      <c r="F291" s="499"/>
      <c r="G291" s="499"/>
      <c r="H291" s="499"/>
      <c r="I291" s="499">
        <v>0</v>
      </c>
      <c r="J291" s="499">
        <v>-284.75</v>
      </c>
      <c r="K291" s="499">
        <v>-272.25</v>
      </c>
    </row>
    <row r="292" spans="1:11" x14ac:dyDescent="0.3">
      <c r="A292" s="498">
        <v>46223</v>
      </c>
      <c r="B292" s="499"/>
      <c r="C292" s="500"/>
      <c r="D292" s="500"/>
      <c r="E292" s="499"/>
      <c r="F292" s="499"/>
      <c r="G292" s="499"/>
      <c r="H292" s="499"/>
      <c r="I292" s="499">
        <v>0</v>
      </c>
      <c r="J292" s="499">
        <v>-284.75</v>
      </c>
      <c r="K292" s="499">
        <v>-272.25</v>
      </c>
    </row>
    <row r="293" spans="1:11" x14ac:dyDescent="0.3">
      <c r="A293" s="498">
        <v>46223</v>
      </c>
      <c r="B293" s="499"/>
      <c r="C293" s="500"/>
      <c r="D293" s="500"/>
      <c r="E293" s="499"/>
      <c r="F293" s="499"/>
      <c r="G293" s="499"/>
      <c r="H293" s="499"/>
      <c r="I293" s="499">
        <v>0</v>
      </c>
      <c r="J293" s="499">
        <v>-284.75</v>
      </c>
      <c r="K293" s="499">
        <v>-272.25</v>
      </c>
    </row>
    <row r="294" spans="1:11" x14ac:dyDescent="0.3">
      <c r="A294" s="498">
        <v>46223</v>
      </c>
      <c r="B294" s="499"/>
      <c r="C294" s="500"/>
      <c r="D294" s="500"/>
      <c r="E294" s="499"/>
      <c r="F294" s="499"/>
      <c r="G294" s="499"/>
      <c r="H294" s="499"/>
      <c r="I294" s="499">
        <v>0</v>
      </c>
      <c r="J294" s="499">
        <v>-284.75</v>
      </c>
      <c r="K294" s="499">
        <v>-272.25</v>
      </c>
    </row>
    <row r="295" spans="1:11" x14ac:dyDescent="0.3">
      <c r="A295" s="498">
        <v>46223</v>
      </c>
      <c r="B295" s="499"/>
      <c r="C295" s="500"/>
      <c r="D295" s="500"/>
      <c r="E295" s="499"/>
      <c r="F295" s="499"/>
      <c r="G295" s="499"/>
      <c r="H295" s="499"/>
      <c r="I295" s="499">
        <v>0</v>
      </c>
      <c r="J295" s="499">
        <v>-284.75</v>
      </c>
      <c r="K295" s="499">
        <v>-272.25</v>
      </c>
    </row>
    <row r="296" spans="1:11" x14ac:dyDescent="0.3">
      <c r="A296" s="498">
        <v>46224</v>
      </c>
      <c r="B296" s="499" t="s">
        <v>10</v>
      </c>
      <c r="C296" s="500" t="s">
        <v>115</v>
      </c>
      <c r="D296" s="500" t="s">
        <v>116</v>
      </c>
      <c r="E296" s="499">
        <v>2.2974999999999999</v>
      </c>
      <c r="F296" s="499">
        <v>0.74999999999998401</v>
      </c>
      <c r="G296" s="499">
        <v>0.74999999999998401</v>
      </c>
      <c r="H296" s="499">
        <v>2.9999999999999361E-2</v>
      </c>
      <c r="I296" s="499">
        <v>-0.75000000000002842</v>
      </c>
      <c r="J296" s="499">
        <v>-1.7500000000000071</v>
      </c>
      <c r="K296" s="499">
        <v>-1.0000000000000231</v>
      </c>
    </row>
    <row r="297" spans="1:11" x14ac:dyDescent="0.3">
      <c r="A297" s="498">
        <v>46224</v>
      </c>
      <c r="B297" s="499" t="s">
        <v>11</v>
      </c>
      <c r="C297" s="500" t="s">
        <v>116</v>
      </c>
      <c r="D297" s="500" t="s">
        <v>117</v>
      </c>
      <c r="E297" s="499">
        <v>2.3450000000000002</v>
      </c>
      <c r="F297" s="499">
        <v>4.750000000000032</v>
      </c>
      <c r="G297" s="499">
        <v>5.500000000000016</v>
      </c>
      <c r="H297" s="499">
        <v>0.22000000000000064</v>
      </c>
      <c r="I297" s="499">
        <v>-1.7499999999999627</v>
      </c>
      <c r="J297" s="499">
        <v>-3.9999999999999591</v>
      </c>
      <c r="K297" s="499">
        <v>-2.2499999999999964</v>
      </c>
    </row>
    <row r="298" spans="1:11" x14ac:dyDescent="0.3">
      <c r="A298" s="498">
        <v>46224</v>
      </c>
      <c r="B298" s="499" t="s">
        <v>13</v>
      </c>
      <c r="C298" s="500" t="s">
        <v>117</v>
      </c>
      <c r="D298" s="500">
        <v>46415</v>
      </c>
      <c r="E298" s="499">
        <v>2.44</v>
      </c>
      <c r="F298" s="499">
        <v>9.4999999999999751</v>
      </c>
      <c r="G298" s="499">
        <v>14.999999999999991</v>
      </c>
      <c r="H298" s="499">
        <v>0.59999999999999964</v>
      </c>
      <c r="I298" s="499">
        <v>-2.0000000000000018</v>
      </c>
      <c r="J298" s="499">
        <v>-4.4999999999999929</v>
      </c>
      <c r="K298" s="499">
        <v>-1.5000000000000124</v>
      </c>
    </row>
    <row r="299" spans="1:11" x14ac:dyDescent="0.3">
      <c r="A299" s="498">
        <v>46224</v>
      </c>
      <c r="B299" s="499" t="s">
        <v>28</v>
      </c>
      <c r="C299" s="500">
        <v>46415</v>
      </c>
      <c r="D299" s="500">
        <v>46464</v>
      </c>
      <c r="E299" s="499">
        <v>2.5425</v>
      </c>
      <c r="F299" s="499">
        <v>10.250000000000004</v>
      </c>
      <c r="G299" s="499">
        <v>25.249999999999993</v>
      </c>
      <c r="H299" s="499">
        <v>1.0099999999999998</v>
      </c>
      <c r="I299" s="499">
        <v>-2.4999999999999911</v>
      </c>
      <c r="J299" s="499">
        <v>-5.2500000000000213</v>
      </c>
      <c r="K299" s="499">
        <v>-0.49999999999998934</v>
      </c>
    </row>
    <row r="300" spans="1:11" x14ac:dyDescent="0.3">
      <c r="A300" s="498">
        <v>46224</v>
      </c>
      <c r="B300" s="499" t="s">
        <v>15</v>
      </c>
      <c r="C300" s="500">
        <v>46464</v>
      </c>
      <c r="D300" s="500">
        <v>46506</v>
      </c>
      <c r="E300" s="499">
        <v>2.6324999999999998</v>
      </c>
      <c r="F300" s="499">
        <v>8.9999999999999858</v>
      </c>
      <c r="G300" s="499">
        <v>34.249999999999979</v>
      </c>
      <c r="H300" s="499">
        <v>1.3699999999999992</v>
      </c>
      <c r="I300" s="499">
        <v>-2.5000000000000355</v>
      </c>
      <c r="J300" s="499">
        <v>-5.500000000000016</v>
      </c>
      <c r="K300" s="499">
        <v>1.2499999999999734</v>
      </c>
    </row>
    <row r="301" spans="1:11" x14ac:dyDescent="0.3">
      <c r="A301" s="498">
        <v>46224</v>
      </c>
      <c r="B301" s="499" t="s">
        <v>16</v>
      </c>
      <c r="C301" s="500">
        <v>46506</v>
      </c>
      <c r="D301" s="500">
        <v>46548</v>
      </c>
      <c r="E301" s="499">
        <v>2.7124999999999999</v>
      </c>
      <c r="F301" s="499">
        <v>8.0000000000000071</v>
      </c>
      <c r="G301" s="499">
        <v>42.249999999999986</v>
      </c>
      <c r="H301" s="499">
        <v>1.6899999999999995</v>
      </c>
      <c r="I301" s="499">
        <v>-2.2499999999999964</v>
      </c>
      <c r="J301" s="499">
        <v>-6.0000000000000053</v>
      </c>
      <c r="K301" s="499">
        <v>2.0000000000000018</v>
      </c>
    </row>
    <row r="302" spans="1:11" x14ac:dyDescent="0.3">
      <c r="A302" s="498">
        <v>46224</v>
      </c>
      <c r="B302" s="499" t="s">
        <v>28</v>
      </c>
      <c r="C302" s="500"/>
      <c r="D302" s="500"/>
      <c r="E302" s="499"/>
      <c r="F302" s="499"/>
      <c r="G302" s="499"/>
      <c r="H302" s="499"/>
      <c r="I302" s="499">
        <v>0</v>
      </c>
      <c r="J302" s="499">
        <v>-283.5</v>
      </c>
      <c r="K302" s="499">
        <v>-274.5</v>
      </c>
    </row>
    <row r="303" spans="1:11" x14ac:dyDescent="0.3">
      <c r="A303" s="498">
        <v>46224</v>
      </c>
      <c r="B303" s="499" t="s">
        <v>28</v>
      </c>
      <c r="C303" s="500"/>
      <c r="D303" s="500"/>
      <c r="E303" s="499"/>
      <c r="F303" s="499"/>
      <c r="G303" s="499"/>
      <c r="H303" s="499"/>
      <c r="I303" s="499">
        <v>0</v>
      </c>
      <c r="J303" s="499">
        <v>-283.5</v>
      </c>
      <c r="K303" s="499">
        <v>-274.5</v>
      </c>
    </row>
    <row r="304" spans="1:11" x14ac:dyDescent="0.3">
      <c r="A304" s="498">
        <v>46224</v>
      </c>
      <c r="B304" s="499"/>
      <c r="C304" s="500"/>
      <c r="D304" s="500"/>
      <c r="E304" s="499"/>
      <c r="F304" s="499"/>
      <c r="G304" s="499"/>
      <c r="H304" s="499"/>
      <c r="I304" s="499">
        <v>0</v>
      </c>
      <c r="J304" s="499">
        <v>-283.5</v>
      </c>
      <c r="K304" s="499">
        <v>-274.5</v>
      </c>
    </row>
    <row r="305" spans="1:11" x14ac:dyDescent="0.3">
      <c r="A305" s="498">
        <v>46224</v>
      </c>
      <c r="B305" s="499"/>
      <c r="C305" s="500"/>
      <c r="D305" s="500"/>
      <c r="E305" s="499"/>
      <c r="F305" s="499"/>
      <c r="G305" s="499"/>
      <c r="H305" s="499"/>
      <c r="I305" s="499">
        <v>0</v>
      </c>
      <c r="J305" s="499">
        <v>-283.5</v>
      </c>
      <c r="K305" s="499">
        <v>-274.5</v>
      </c>
    </row>
    <row r="306" spans="1:11" x14ac:dyDescent="0.3">
      <c r="A306" s="498">
        <v>46224</v>
      </c>
      <c r="B306" s="499"/>
      <c r="C306" s="500"/>
      <c r="D306" s="500"/>
      <c r="E306" s="499"/>
      <c r="F306" s="499"/>
      <c r="G306" s="499"/>
      <c r="H306" s="499"/>
      <c r="I306" s="499">
        <v>0</v>
      </c>
      <c r="J306" s="499">
        <v>-283.5</v>
      </c>
      <c r="K306" s="499">
        <v>-274.5</v>
      </c>
    </row>
    <row r="307" spans="1:11" x14ac:dyDescent="0.3">
      <c r="A307" s="498">
        <v>46224</v>
      </c>
      <c r="B307" s="499"/>
      <c r="C307" s="500"/>
      <c r="D307" s="500"/>
      <c r="E307" s="499"/>
      <c r="F307" s="499"/>
      <c r="G307" s="499"/>
      <c r="H307" s="499"/>
      <c r="I307" s="499">
        <v>0</v>
      </c>
      <c r="J307" s="499">
        <v>-283.5</v>
      </c>
      <c r="K307" s="499">
        <v>-274.5</v>
      </c>
    </row>
    <row r="308" spans="1:11" x14ac:dyDescent="0.3">
      <c r="A308" s="513">
        <v>46225</v>
      </c>
      <c r="B308" s="514" t="s">
        <v>10</v>
      </c>
      <c r="C308" s="515" t="s">
        <v>115</v>
      </c>
      <c r="D308" s="515" t="s">
        <v>116</v>
      </c>
      <c r="E308" s="514">
        <v>2.2999999999999998</v>
      </c>
      <c r="F308" s="514">
        <v>0.99999999999997868</v>
      </c>
      <c r="G308" s="514">
        <v>0.99999999999997868</v>
      </c>
      <c r="H308" s="514">
        <v>3.9999999999999147E-2</v>
      </c>
      <c r="I308" s="514">
        <v>0.24999999999999467</v>
      </c>
      <c r="J308" s="514">
        <v>0</v>
      </c>
      <c r="K308" s="514">
        <v>-0.80000000000000071</v>
      </c>
    </row>
    <row r="309" spans="1:11" x14ac:dyDescent="0.3">
      <c r="A309" s="513">
        <v>46225</v>
      </c>
      <c r="B309" s="514" t="s">
        <v>11</v>
      </c>
      <c r="C309" s="515" t="s">
        <v>116</v>
      </c>
      <c r="D309" s="515" t="s">
        <v>117</v>
      </c>
      <c r="E309" s="514">
        <v>2.3624999999999998</v>
      </c>
      <c r="F309" s="514">
        <v>6.25</v>
      </c>
      <c r="G309" s="514">
        <v>7.2499999999999787</v>
      </c>
      <c r="H309" s="514">
        <v>0.28999999999999915</v>
      </c>
      <c r="I309" s="514">
        <v>1.7499999999999627</v>
      </c>
      <c r="J309" s="514">
        <v>0.24999999999999467</v>
      </c>
      <c r="K309" s="514">
        <v>-0.25000000000003908</v>
      </c>
    </row>
    <row r="310" spans="1:11" x14ac:dyDescent="0.3">
      <c r="A310" s="513">
        <v>46225</v>
      </c>
      <c r="B310" s="514" t="s">
        <v>13</v>
      </c>
      <c r="C310" s="515" t="s">
        <v>117</v>
      </c>
      <c r="D310" s="515">
        <v>46415</v>
      </c>
      <c r="E310" s="514">
        <v>2.4700000000000002</v>
      </c>
      <c r="F310" s="514">
        <v>10.750000000000037</v>
      </c>
      <c r="G310" s="514">
        <v>18.000000000000014</v>
      </c>
      <c r="H310" s="514">
        <v>0.72000000000000053</v>
      </c>
      <c r="I310" s="514">
        <v>3.0000000000000249</v>
      </c>
      <c r="J310" s="514">
        <v>1.5000000000000124</v>
      </c>
      <c r="K310" s="514">
        <v>1.0000000000000231</v>
      </c>
    </row>
    <row r="311" spans="1:11" x14ac:dyDescent="0.3">
      <c r="A311" s="513">
        <v>46225</v>
      </c>
      <c r="B311" s="514" t="s">
        <v>28</v>
      </c>
      <c r="C311" s="515">
        <v>46415</v>
      </c>
      <c r="D311" s="515">
        <v>46464</v>
      </c>
      <c r="E311" s="514">
        <v>2.585</v>
      </c>
      <c r="F311" s="514">
        <v>11.499999999999977</v>
      </c>
      <c r="G311" s="514">
        <v>29.499999999999993</v>
      </c>
      <c r="H311" s="514">
        <v>1.1799999999999997</v>
      </c>
      <c r="I311" s="514">
        <v>4.2499999999999982</v>
      </c>
      <c r="J311" s="514">
        <v>2.7499999999999858</v>
      </c>
      <c r="K311" s="514">
        <v>2.7000000000000135</v>
      </c>
    </row>
    <row r="312" spans="1:11" x14ac:dyDescent="0.3">
      <c r="A312" s="513">
        <v>46225</v>
      </c>
      <c r="B312" s="514" t="s">
        <v>15</v>
      </c>
      <c r="C312" s="515">
        <v>46464</v>
      </c>
      <c r="D312" s="515">
        <v>46506</v>
      </c>
      <c r="E312" s="514">
        <v>2.6850000000000001</v>
      </c>
      <c r="F312" s="514">
        <v>10.000000000000009</v>
      </c>
      <c r="G312" s="514">
        <v>39.5</v>
      </c>
      <c r="H312" s="514">
        <v>1.58</v>
      </c>
      <c r="I312" s="514">
        <v>5.2500000000000213</v>
      </c>
      <c r="J312" s="514">
        <v>3.5000000000000142</v>
      </c>
      <c r="K312" s="514">
        <v>5.2000000000000046</v>
      </c>
    </row>
    <row r="313" spans="1:11" x14ac:dyDescent="0.3">
      <c r="A313" s="513">
        <v>46225</v>
      </c>
      <c r="B313" s="514" t="s">
        <v>16</v>
      </c>
      <c r="C313" s="515">
        <v>46506</v>
      </c>
      <c r="D313" s="515">
        <v>46548</v>
      </c>
      <c r="E313" s="514">
        <v>2.7675000000000001</v>
      </c>
      <c r="F313" s="514">
        <v>8.2500000000000018</v>
      </c>
      <c r="G313" s="514">
        <v>47.75</v>
      </c>
      <c r="H313" s="514">
        <v>1.91</v>
      </c>
      <c r="I313" s="514">
        <v>5.500000000000016</v>
      </c>
      <c r="J313" s="514">
        <v>3.5000000000000142</v>
      </c>
      <c r="K313" s="514">
        <v>5.9499999999999886</v>
      </c>
    </row>
    <row r="314" spans="1:11" x14ac:dyDescent="0.3">
      <c r="A314" s="513">
        <v>46225</v>
      </c>
      <c r="B314" s="514" t="s">
        <v>28</v>
      </c>
      <c r="C314" s="515"/>
      <c r="D314" s="515"/>
      <c r="E314" s="514"/>
      <c r="F314" s="514"/>
      <c r="G314" s="514"/>
      <c r="H314" s="514"/>
      <c r="I314" s="514">
        <v>0</v>
      </c>
      <c r="J314" s="514">
        <v>-279.5</v>
      </c>
      <c r="K314" s="514">
        <v>-278.25</v>
      </c>
    </row>
    <row r="315" spans="1:11" x14ac:dyDescent="0.3">
      <c r="A315" s="513">
        <v>46225</v>
      </c>
      <c r="B315" s="514" t="s">
        <v>28</v>
      </c>
      <c r="C315" s="515"/>
      <c r="D315" s="515"/>
      <c r="E315" s="514"/>
      <c r="F315" s="514"/>
      <c r="G315" s="514"/>
      <c r="H315" s="514"/>
      <c r="I315" s="514">
        <v>0</v>
      </c>
      <c r="J315" s="514">
        <v>-279.5</v>
      </c>
      <c r="K315" s="514">
        <v>-278.25</v>
      </c>
    </row>
    <row r="316" spans="1:11" x14ac:dyDescent="0.3">
      <c r="A316" s="513">
        <v>46225</v>
      </c>
      <c r="B316" s="514"/>
      <c r="C316" s="515"/>
      <c r="D316" s="515"/>
      <c r="E316" s="514"/>
      <c r="F316" s="514"/>
      <c r="G316" s="514"/>
      <c r="H316" s="514"/>
      <c r="I316" s="514">
        <v>0</v>
      </c>
      <c r="J316" s="514">
        <v>-279.5</v>
      </c>
      <c r="K316" s="514">
        <v>-278.25</v>
      </c>
    </row>
    <row r="317" spans="1:11" x14ac:dyDescent="0.3">
      <c r="A317" s="513">
        <v>46225</v>
      </c>
      <c r="B317" s="514"/>
      <c r="C317" s="515"/>
      <c r="D317" s="515"/>
      <c r="E317" s="514"/>
      <c r="F317" s="514"/>
      <c r="G317" s="514"/>
      <c r="H317" s="514"/>
      <c r="I317" s="514">
        <v>0</v>
      </c>
      <c r="J317" s="514">
        <v>-279.5</v>
      </c>
      <c r="K317" s="514">
        <v>-278.25</v>
      </c>
    </row>
    <row r="318" spans="1:11" x14ac:dyDescent="0.3">
      <c r="A318" s="513">
        <v>46225</v>
      </c>
      <c r="B318" s="514"/>
      <c r="C318" s="515"/>
      <c r="D318" s="515"/>
      <c r="E318" s="514"/>
      <c r="F318" s="514"/>
      <c r="G318" s="514"/>
      <c r="H318" s="514"/>
      <c r="I318" s="514">
        <v>0</v>
      </c>
      <c r="J318" s="514">
        <v>-279.5</v>
      </c>
      <c r="K318" s="514">
        <v>-278.25</v>
      </c>
    </row>
    <row r="319" spans="1:11" x14ac:dyDescent="0.3">
      <c r="A319" s="513">
        <v>46225</v>
      </c>
      <c r="B319" s="514"/>
      <c r="C319" s="515"/>
      <c r="D319" s="515"/>
      <c r="E319" s="514"/>
      <c r="F319" s="514"/>
      <c r="G319" s="514"/>
      <c r="H319" s="514"/>
      <c r="I319" s="514">
        <v>0</v>
      </c>
      <c r="J319" s="514">
        <v>-279.5</v>
      </c>
      <c r="K319" s="514">
        <v>-278.25</v>
      </c>
    </row>
    <row r="320" spans="1:11" x14ac:dyDescent="0.3">
      <c r="A320" s="239">
        <v>46226</v>
      </c>
      <c r="B320" s="240" t="s">
        <v>10</v>
      </c>
      <c r="C320" s="241" t="s">
        <v>115</v>
      </c>
      <c r="D320" s="241" t="s">
        <v>116</v>
      </c>
      <c r="E320" s="240">
        <v>2.3224999999999998</v>
      </c>
      <c r="F320" s="240">
        <v>4.2499999999999982</v>
      </c>
      <c r="G320" s="240">
        <v>4.2499999999999982</v>
      </c>
      <c r="H320" s="240">
        <v>0.16999999999999993</v>
      </c>
      <c r="I320" s="240">
        <v>2.2499999999999964</v>
      </c>
      <c r="J320" s="240">
        <v>1.7499999999999627</v>
      </c>
      <c r="K320" s="240">
        <v>2.2499999999999964</v>
      </c>
    </row>
    <row r="321" spans="1:11" x14ac:dyDescent="0.3">
      <c r="A321" s="239">
        <v>46226</v>
      </c>
      <c r="B321" s="240" t="s">
        <v>11</v>
      </c>
      <c r="C321" s="241" t="s">
        <v>116</v>
      </c>
      <c r="D321" s="241" t="s">
        <v>117</v>
      </c>
      <c r="E321" s="240">
        <v>2.4075000000000002</v>
      </c>
      <c r="F321" s="240">
        <v>8.5000000000000409</v>
      </c>
      <c r="G321" s="240">
        <v>12.750000000000039</v>
      </c>
      <c r="H321" s="240">
        <v>0.51000000000000156</v>
      </c>
      <c r="I321" s="240">
        <v>4.5000000000000373</v>
      </c>
      <c r="J321" s="240">
        <v>4.0000000000000036</v>
      </c>
      <c r="K321" s="240">
        <v>5.0000000000000266</v>
      </c>
    </row>
    <row r="322" spans="1:11" x14ac:dyDescent="0.3">
      <c r="A322" s="239">
        <v>46226</v>
      </c>
      <c r="B322" s="240" t="s">
        <v>13</v>
      </c>
      <c r="C322" s="241" t="s">
        <v>117</v>
      </c>
      <c r="D322" s="241">
        <v>46415</v>
      </c>
      <c r="E322" s="240">
        <v>2.5299999999999998</v>
      </c>
      <c r="F322" s="240">
        <v>12.249999999999961</v>
      </c>
      <c r="G322" s="240">
        <v>25</v>
      </c>
      <c r="H322" s="240">
        <v>1</v>
      </c>
      <c r="I322" s="240">
        <v>5.9999999999999609</v>
      </c>
      <c r="J322" s="240">
        <v>6.7499999999999893</v>
      </c>
      <c r="K322" s="240">
        <v>8.4999999999999964</v>
      </c>
    </row>
    <row r="323" spans="1:11" x14ac:dyDescent="0.3">
      <c r="A323" s="239">
        <v>46226</v>
      </c>
      <c r="B323" s="240" t="s">
        <v>28</v>
      </c>
      <c r="C323" s="241">
        <v>46415</v>
      </c>
      <c r="D323" s="241">
        <v>46464</v>
      </c>
      <c r="E323" s="240">
        <v>2.6749999999999998</v>
      </c>
      <c r="F323" s="240">
        <v>14.500000000000002</v>
      </c>
      <c r="G323" s="240">
        <v>39.5</v>
      </c>
      <c r="H323" s="240">
        <v>1.58</v>
      </c>
      <c r="I323" s="240">
        <v>8.9999999999999858</v>
      </c>
      <c r="J323" s="240">
        <v>10.749999999999993</v>
      </c>
      <c r="K323" s="240">
        <v>13.999999999999968</v>
      </c>
    </row>
    <row r="324" spans="1:11" x14ac:dyDescent="0.3">
      <c r="A324" s="239">
        <v>46226</v>
      </c>
      <c r="B324" s="240" t="s">
        <v>15</v>
      </c>
      <c r="C324" s="241">
        <v>46464</v>
      </c>
      <c r="D324" s="241">
        <v>46506</v>
      </c>
      <c r="E324" s="240">
        <v>2.7925</v>
      </c>
      <c r="F324" s="240">
        <v>11.750000000000016</v>
      </c>
      <c r="G324" s="240">
        <v>51.250000000000014</v>
      </c>
      <c r="H324" s="240">
        <v>2.0500000000000007</v>
      </c>
      <c r="I324" s="240">
        <v>10.749999999999993</v>
      </c>
      <c r="J324" s="240">
        <v>13.249999999999984</v>
      </c>
      <c r="K324" s="240">
        <v>18.000000000000014</v>
      </c>
    </row>
    <row r="325" spans="1:11" x14ac:dyDescent="0.3">
      <c r="A325" s="239">
        <v>46226</v>
      </c>
      <c r="B325" s="240" t="s">
        <v>16</v>
      </c>
      <c r="C325" s="241">
        <v>46506</v>
      </c>
      <c r="D325" s="241">
        <v>46548</v>
      </c>
      <c r="E325" s="240">
        <v>2.875</v>
      </c>
      <c r="F325" s="240">
        <v>8.2500000000000018</v>
      </c>
      <c r="G325" s="240">
        <v>59.500000000000021</v>
      </c>
      <c r="H325" s="240">
        <v>2.3800000000000008</v>
      </c>
      <c r="I325" s="240">
        <v>10.749999999999993</v>
      </c>
      <c r="J325" s="240">
        <v>13.249999999999984</v>
      </c>
      <c r="K325" s="240">
        <v>18.500000000000007</v>
      </c>
    </row>
    <row r="326" spans="1:11" x14ac:dyDescent="0.3">
      <c r="A326" s="239">
        <v>46226</v>
      </c>
      <c r="B326" s="240" t="s">
        <v>28</v>
      </c>
      <c r="C326" s="241"/>
      <c r="D326" s="241"/>
      <c r="E326" s="240"/>
      <c r="F326" s="240"/>
      <c r="G326" s="240"/>
      <c r="H326" s="240"/>
      <c r="I326" s="240">
        <v>0</v>
      </c>
      <c r="J326" s="240">
        <v>0</v>
      </c>
      <c r="K326" s="240">
        <v>-274.25</v>
      </c>
    </row>
    <row r="327" spans="1:11" x14ac:dyDescent="0.3">
      <c r="A327" s="239">
        <v>46226</v>
      </c>
      <c r="B327" s="240" t="s">
        <v>28</v>
      </c>
      <c r="C327" s="241"/>
      <c r="D327" s="241"/>
      <c r="E327" s="240"/>
      <c r="F327" s="240"/>
      <c r="G327" s="240"/>
      <c r="H327" s="240"/>
      <c r="I327" s="240">
        <v>0</v>
      </c>
      <c r="J327" s="240">
        <v>0</v>
      </c>
      <c r="K327" s="240">
        <v>-274.25</v>
      </c>
    </row>
    <row r="328" spans="1:11" x14ac:dyDescent="0.3">
      <c r="A328" s="239">
        <v>46226</v>
      </c>
      <c r="B328" s="240"/>
      <c r="C328" s="241"/>
      <c r="D328" s="241"/>
      <c r="E328" s="240"/>
      <c r="F328" s="240"/>
      <c r="G328" s="240"/>
      <c r="H328" s="240"/>
      <c r="I328" s="240">
        <v>0</v>
      </c>
      <c r="J328" s="240">
        <v>0</v>
      </c>
      <c r="K328" s="240">
        <v>-274.25</v>
      </c>
    </row>
    <row r="329" spans="1:11" x14ac:dyDescent="0.3">
      <c r="A329" s="239">
        <v>46226</v>
      </c>
      <c r="B329" s="240"/>
      <c r="C329" s="241"/>
      <c r="D329" s="241"/>
      <c r="E329" s="240"/>
      <c r="F329" s="240"/>
      <c r="G329" s="240"/>
      <c r="H329" s="240"/>
      <c r="I329" s="240">
        <v>0</v>
      </c>
      <c r="J329" s="240">
        <v>0</v>
      </c>
      <c r="K329" s="240">
        <v>-274.25</v>
      </c>
    </row>
    <row r="330" spans="1:11" x14ac:dyDescent="0.3">
      <c r="A330" s="239">
        <v>46226</v>
      </c>
      <c r="B330" s="240"/>
      <c r="C330" s="241"/>
      <c r="D330" s="241"/>
      <c r="E330" s="240"/>
      <c r="F330" s="240"/>
      <c r="G330" s="240"/>
      <c r="H330" s="240"/>
      <c r="I330" s="240">
        <v>0</v>
      </c>
      <c r="J330" s="240">
        <v>0</v>
      </c>
      <c r="K330" s="240">
        <v>-274.25</v>
      </c>
    </row>
    <row r="331" spans="1:11" x14ac:dyDescent="0.3">
      <c r="A331" s="239">
        <v>46226</v>
      </c>
      <c r="B331" s="240"/>
      <c r="C331" s="241"/>
      <c r="D331" s="241"/>
      <c r="E331" s="240"/>
      <c r="F331" s="240"/>
      <c r="G331" s="240"/>
      <c r="H331" s="240"/>
      <c r="I331" s="240">
        <v>0</v>
      </c>
      <c r="J331" s="240">
        <v>0</v>
      </c>
      <c r="K331" s="240">
        <v>-274.25</v>
      </c>
    </row>
    <row r="332" spans="1:11" x14ac:dyDescent="0.3">
      <c r="A332" s="524">
        <v>46227</v>
      </c>
      <c r="B332" s="525" t="s">
        <v>10</v>
      </c>
      <c r="C332" s="526" t="s">
        <v>115</v>
      </c>
      <c r="D332" s="526" t="s">
        <v>116</v>
      </c>
      <c r="E332" s="525">
        <v>2.3050000000000002</v>
      </c>
      <c r="F332" s="525">
        <v>3.5000000000000142</v>
      </c>
      <c r="G332" s="525">
        <v>3.5000000000000142</v>
      </c>
      <c r="H332" s="525">
        <v>0.14000000000000057</v>
      </c>
      <c r="I332" s="525">
        <v>-1.7499999999999627</v>
      </c>
      <c r="J332" s="525">
        <v>-0.24999999999999467</v>
      </c>
      <c r="K332" s="525">
        <v>1.5000000000000124</v>
      </c>
    </row>
    <row r="333" spans="1:11" x14ac:dyDescent="0.3">
      <c r="A333" s="524">
        <v>46227</v>
      </c>
      <c r="B333" s="525" t="s">
        <v>11</v>
      </c>
      <c r="C333" s="526" t="s">
        <v>116</v>
      </c>
      <c r="D333" s="526" t="s">
        <v>117</v>
      </c>
      <c r="E333" s="525">
        <v>2.375</v>
      </c>
      <c r="F333" s="525">
        <v>6.999999999999984</v>
      </c>
      <c r="G333" s="525">
        <v>10.499999999999998</v>
      </c>
      <c r="H333" s="525">
        <v>0.41999999999999993</v>
      </c>
      <c r="I333" s="525">
        <v>-3.2500000000000195</v>
      </c>
      <c r="J333" s="525">
        <v>0.74999999999998401</v>
      </c>
      <c r="K333" s="525">
        <v>4.0000000000000036</v>
      </c>
    </row>
    <row r="334" spans="1:11" x14ac:dyDescent="0.3">
      <c r="A334" s="524">
        <v>46227</v>
      </c>
      <c r="B334" s="525" t="s">
        <v>13</v>
      </c>
      <c r="C334" s="526" t="s">
        <v>117</v>
      </c>
      <c r="D334" s="526">
        <v>46415</v>
      </c>
      <c r="E334" s="525">
        <v>2.4874999999999998</v>
      </c>
      <c r="F334" s="525">
        <v>11.249999999999982</v>
      </c>
      <c r="G334" s="525">
        <v>21.749999999999979</v>
      </c>
      <c r="H334" s="525">
        <v>0.86999999999999911</v>
      </c>
      <c r="I334" s="525">
        <v>-4.2499999999999982</v>
      </c>
      <c r="J334" s="525">
        <v>2.0000000000000018</v>
      </c>
      <c r="K334" s="525">
        <v>8.4999999999999964</v>
      </c>
    </row>
    <row r="335" spans="1:11" x14ac:dyDescent="0.3">
      <c r="A335" s="524">
        <v>46227</v>
      </c>
      <c r="B335" s="525" t="s">
        <v>28</v>
      </c>
      <c r="C335" s="526">
        <v>46415</v>
      </c>
      <c r="D335" s="526">
        <v>46464</v>
      </c>
      <c r="E335" s="525">
        <v>2.6124999999999998</v>
      </c>
      <c r="F335" s="525">
        <v>12.5</v>
      </c>
      <c r="G335" s="525">
        <v>34.249999999999979</v>
      </c>
      <c r="H335" s="525">
        <v>1.3699999999999992</v>
      </c>
      <c r="I335" s="525">
        <v>-6.25</v>
      </c>
      <c r="J335" s="525">
        <v>3.7499999999999645</v>
      </c>
      <c r="K335" s="525">
        <v>13.249999999999984</v>
      </c>
    </row>
    <row r="336" spans="1:11" x14ac:dyDescent="0.3">
      <c r="A336" s="524">
        <v>46227</v>
      </c>
      <c r="B336" s="525" t="s">
        <v>15</v>
      </c>
      <c r="C336" s="526">
        <v>46464</v>
      </c>
      <c r="D336" s="526">
        <v>46506</v>
      </c>
      <c r="E336" s="525">
        <v>2.7275</v>
      </c>
      <c r="F336" s="525">
        <v>11.500000000000021</v>
      </c>
      <c r="G336" s="525">
        <v>45.75</v>
      </c>
      <c r="H336" s="525">
        <v>1.83</v>
      </c>
      <c r="I336" s="525">
        <v>-6.4999999999999947</v>
      </c>
      <c r="J336" s="525">
        <v>6.4999999999999947</v>
      </c>
      <c r="K336" s="525">
        <v>16.75</v>
      </c>
    </row>
    <row r="337" spans="1:11" x14ac:dyDescent="0.3">
      <c r="A337" s="524">
        <v>46227</v>
      </c>
      <c r="B337" s="525" t="s">
        <v>16</v>
      </c>
      <c r="C337" s="526">
        <v>46506</v>
      </c>
      <c r="D337" s="526">
        <v>46548</v>
      </c>
      <c r="E337" s="525">
        <v>2.8075000000000001</v>
      </c>
      <c r="F337" s="525">
        <v>8.0000000000000071</v>
      </c>
      <c r="G337" s="525">
        <v>53.750000000000007</v>
      </c>
      <c r="H337" s="525">
        <v>2.1500000000000004</v>
      </c>
      <c r="I337" s="525">
        <v>-6.7499999999999893</v>
      </c>
      <c r="J337" s="525">
        <v>7.0000000000000284</v>
      </c>
      <c r="K337" s="525">
        <v>16.75</v>
      </c>
    </row>
    <row r="338" spans="1:11" x14ac:dyDescent="0.3">
      <c r="A338" s="524">
        <v>46227</v>
      </c>
      <c r="B338" s="525" t="s">
        <v>28</v>
      </c>
      <c r="C338" s="526"/>
      <c r="D338" s="526"/>
      <c r="E338" s="525"/>
      <c r="F338" s="525"/>
      <c r="G338" s="525"/>
      <c r="H338" s="525"/>
      <c r="I338" s="525">
        <v>0</v>
      </c>
      <c r="J338" s="525">
        <v>0</v>
      </c>
      <c r="K338" s="525">
        <v>-269.25</v>
      </c>
    </row>
    <row r="339" spans="1:11" x14ac:dyDescent="0.3">
      <c r="A339" s="524">
        <v>46227</v>
      </c>
      <c r="B339" s="525" t="s">
        <v>28</v>
      </c>
      <c r="C339" s="526"/>
      <c r="D339" s="526"/>
      <c r="E339" s="525"/>
      <c r="F339" s="525"/>
      <c r="G339" s="525"/>
      <c r="H339" s="525"/>
      <c r="I339" s="525">
        <v>0</v>
      </c>
      <c r="J339" s="525">
        <v>0</v>
      </c>
      <c r="K339" s="525">
        <v>-269.25</v>
      </c>
    </row>
    <row r="340" spans="1:11" x14ac:dyDescent="0.3">
      <c r="A340" s="524">
        <v>46227</v>
      </c>
      <c r="B340" s="525"/>
      <c r="C340" s="526"/>
      <c r="D340" s="526"/>
      <c r="E340" s="525"/>
      <c r="F340" s="525"/>
      <c r="G340" s="525"/>
      <c r="H340" s="525"/>
      <c r="I340" s="525">
        <v>0</v>
      </c>
      <c r="J340" s="525">
        <v>0</v>
      </c>
      <c r="K340" s="525">
        <v>-269.25</v>
      </c>
    </row>
    <row r="341" spans="1:11" x14ac:dyDescent="0.3">
      <c r="A341" s="524">
        <v>46227</v>
      </c>
      <c r="B341" s="525"/>
      <c r="C341" s="526"/>
      <c r="D341" s="526"/>
      <c r="E341" s="525"/>
      <c r="F341" s="525"/>
      <c r="G341" s="525"/>
      <c r="H341" s="525"/>
      <c r="I341" s="525">
        <v>0</v>
      </c>
      <c r="J341" s="525">
        <v>0</v>
      </c>
      <c r="K341" s="525">
        <v>-269.25</v>
      </c>
    </row>
    <row r="342" spans="1:11" x14ac:dyDescent="0.3">
      <c r="A342" s="524">
        <v>46227</v>
      </c>
      <c r="B342" s="525"/>
      <c r="C342" s="526"/>
      <c r="D342" s="526"/>
      <c r="E342" s="525"/>
      <c r="F342" s="525"/>
      <c r="G342" s="525"/>
      <c r="H342" s="525"/>
      <c r="I342" s="525">
        <v>0</v>
      </c>
      <c r="J342" s="525">
        <v>0</v>
      </c>
      <c r="K342" s="525">
        <v>-269.25</v>
      </c>
    </row>
    <row r="343" spans="1:11" x14ac:dyDescent="0.3">
      <c r="A343" s="524">
        <v>46227</v>
      </c>
      <c r="B343" s="525"/>
      <c r="C343" s="526"/>
      <c r="D343" s="526"/>
      <c r="E343" s="525"/>
      <c r="F343" s="525"/>
      <c r="G343" s="525"/>
      <c r="H343" s="525"/>
      <c r="I343" s="525">
        <v>0</v>
      </c>
      <c r="J343" s="525">
        <v>0</v>
      </c>
      <c r="K343" s="525">
        <v>-269.25</v>
      </c>
    </row>
    <row r="344" spans="1:11" x14ac:dyDescent="0.3">
      <c r="A344" s="524">
        <v>46230</v>
      </c>
      <c r="B344" s="525" t="s">
        <v>10</v>
      </c>
      <c r="C344" s="526" t="s">
        <v>115</v>
      </c>
      <c r="D344" s="526" t="s">
        <v>116</v>
      </c>
      <c r="E344" s="525">
        <v>2.2974999999999999</v>
      </c>
      <c r="F344" s="525">
        <v>1.7500000000000071</v>
      </c>
      <c r="G344" s="525">
        <v>1.7500000000000071</v>
      </c>
      <c r="H344" s="525">
        <v>7.0000000000000284E-2</v>
      </c>
      <c r="I344" s="525">
        <v>-0.75000000000002842</v>
      </c>
      <c r="J344" s="525">
        <v>-0.75000000000002842</v>
      </c>
      <c r="K344" s="525">
        <v>0.74999999999998401</v>
      </c>
    </row>
    <row r="345" spans="1:11" x14ac:dyDescent="0.3">
      <c r="A345" s="524">
        <v>46230</v>
      </c>
      <c r="B345" s="525" t="s">
        <v>11</v>
      </c>
      <c r="C345" s="526" t="s">
        <v>116</v>
      </c>
      <c r="D345" s="526" t="s">
        <v>117</v>
      </c>
      <c r="E345" s="525">
        <v>2.3574999999999999</v>
      </c>
      <c r="F345" s="525">
        <v>6.0000000000000053</v>
      </c>
      <c r="G345" s="525">
        <v>7.7500000000000124</v>
      </c>
      <c r="H345" s="525">
        <v>0.3100000000000005</v>
      </c>
      <c r="I345" s="525">
        <v>-1.7500000000000071</v>
      </c>
      <c r="J345" s="525">
        <v>-0.49999999999998934</v>
      </c>
      <c r="K345" s="525">
        <v>2.2499999999999964</v>
      </c>
    </row>
    <row r="346" spans="1:11" x14ac:dyDescent="0.3">
      <c r="A346" s="524">
        <v>46230</v>
      </c>
      <c r="B346" s="525" t="s">
        <v>13</v>
      </c>
      <c r="C346" s="526" t="s">
        <v>117</v>
      </c>
      <c r="D346" s="526">
        <v>46415</v>
      </c>
      <c r="E346" s="525">
        <v>2.4725000000000001</v>
      </c>
      <c r="F346" s="525">
        <v>11.500000000000021</v>
      </c>
      <c r="G346" s="525">
        <v>19.250000000000036</v>
      </c>
      <c r="H346" s="525">
        <v>0.77000000000000146</v>
      </c>
      <c r="I346" s="525">
        <v>-1.499999999999968</v>
      </c>
      <c r="J346" s="525">
        <v>1.2500000000000178</v>
      </c>
      <c r="K346" s="525">
        <v>7.0000000000000284</v>
      </c>
    </row>
    <row r="347" spans="1:11" x14ac:dyDescent="0.3">
      <c r="A347" s="524">
        <v>46230</v>
      </c>
      <c r="B347" s="525" t="s">
        <v>28</v>
      </c>
      <c r="C347" s="526">
        <v>46415</v>
      </c>
      <c r="D347" s="526">
        <v>46464</v>
      </c>
      <c r="E347" s="525">
        <v>2.5975000000000001</v>
      </c>
      <c r="F347" s="525">
        <v>12.5</v>
      </c>
      <c r="G347" s="525">
        <v>31.750000000000036</v>
      </c>
      <c r="H347" s="525">
        <v>1.2700000000000014</v>
      </c>
      <c r="I347" s="525">
        <v>-1.499999999999968</v>
      </c>
      <c r="J347" s="525">
        <v>3.0000000000000249</v>
      </c>
      <c r="K347" s="525">
        <v>11.750000000000016</v>
      </c>
    </row>
    <row r="348" spans="1:11" x14ac:dyDescent="0.3">
      <c r="A348" s="524">
        <v>46230</v>
      </c>
      <c r="B348" s="525" t="s">
        <v>15</v>
      </c>
      <c r="C348" s="526">
        <v>46464</v>
      </c>
      <c r="D348" s="526">
        <v>46506</v>
      </c>
      <c r="E348" s="525">
        <v>2.7025000000000001</v>
      </c>
      <c r="F348" s="525">
        <v>10.499999999999998</v>
      </c>
      <c r="G348" s="525">
        <v>42.250000000000028</v>
      </c>
      <c r="H348" s="525">
        <v>1.6900000000000011</v>
      </c>
      <c r="I348" s="525">
        <v>-2.4999999999999911</v>
      </c>
      <c r="J348" s="525">
        <v>4.4999999999999929</v>
      </c>
      <c r="K348" s="525">
        <v>14.250000000000007</v>
      </c>
    </row>
    <row r="349" spans="1:11" x14ac:dyDescent="0.3">
      <c r="A349" s="524">
        <v>46230</v>
      </c>
      <c r="B349" s="525" t="s">
        <v>16</v>
      </c>
      <c r="C349" s="526">
        <v>46506</v>
      </c>
      <c r="D349" s="526">
        <v>46548</v>
      </c>
      <c r="E349" s="525">
        <v>2.7925</v>
      </c>
      <c r="F349" s="525">
        <v>8.9999999999999858</v>
      </c>
      <c r="G349" s="525">
        <v>51.250000000000014</v>
      </c>
      <c r="H349" s="525">
        <v>2.0500000000000007</v>
      </c>
      <c r="I349" s="525">
        <v>-1.5000000000000124</v>
      </c>
      <c r="J349" s="525">
        <v>5.7500000000000107</v>
      </c>
      <c r="K349" s="525">
        <v>15.249999999999986</v>
      </c>
    </row>
    <row r="350" spans="1:11" x14ac:dyDescent="0.3">
      <c r="A350" s="524">
        <v>46230</v>
      </c>
      <c r="B350" s="525" t="s">
        <v>28</v>
      </c>
      <c r="C350" s="526"/>
      <c r="D350" s="526"/>
      <c r="E350" s="525"/>
      <c r="F350" s="525"/>
      <c r="G350" s="525"/>
      <c r="H350" s="525"/>
      <c r="I350" s="525">
        <v>0</v>
      </c>
      <c r="J350" s="525">
        <v>0</v>
      </c>
      <c r="K350" s="525">
        <v>-269.25</v>
      </c>
    </row>
    <row r="351" spans="1:11" x14ac:dyDescent="0.3">
      <c r="A351" s="524">
        <v>46230</v>
      </c>
      <c r="B351" s="525" t="s">
        <v>28</v>
      </c>
      <c r="C351" s="526"/>
      <c r="D351" s="526"/>
      <c r="E351" s="525"/>
      <c r="F351" s="525"/>
      <c r="G351" s="525"/>
      <c r="H351" s="525"/>
      <c r="I351" s="525">
        <v>0</v>
      </c>
      <c r="J351" s="525">
        <v>0</v>
      </c>
      <c r="K351" s="525">
        <v>-269.25</v>
      </c>
    </row>
    <row r="352" spans="1:11" x14ac:dyDescent="0.3">
      <c r="A352" s="524">
        <v>46230</v>
      </c>
      <c r="B352" s="525"/>
      <c r="C352" s="526"/>
      <c r="D352" s="526"/>
      <c r="E352" s="525"/>
      <c r="F352" s="525"/>
      <c r="G352" s="525"/>
      <c r="H352" s="525"/>
      <c r="I352" s="525">
        <v>0</v>
      </c>
      <c r="J352" s="525">
        <v>0</v>
      </c>
      <c r="K352" s="525">
        <v>-269.25</v>
      </c>
    </row>
    <row r="353" spans="1:11" x14ac:dyDescent="0.3">
      <c r="A353" s="524">
        <v>46230</v>
      </c>
      <c r="B353" s="525"/>
      <c r="C353" s="526"/>
      <c r="D353" s="526"/>
      <c r="E353" s="525"/>
      <c r="F353" s="525"/>
      <c r="G353" s="525"/>
      <c r="H353" s="525"/>
      <c r="I353" s="525">
        <v>0</v>
      </c>
      <c r="J353" s="525">
        <v>0</v>
      </c>
      <c r="K353" s="525">
        <v>-269.25</v>
      </c>
    </row>
    <row r="354" spans="1:11" x14ac:dyDescent="0.3">
      <c r="A354" s="524">
        <v>46230</v>
      </c>
      <c r="B354" s="525"/>
      <c r="C354" s="526"/>
      <c r="D354" s="526"/>
      <c r="E354" s="525"/>
      <c r="F354" s="525"/>
      <c r="G354" s="525"/>
      <c r="H354" s="525"/>
      <c r="I354" s="525">
        <v>0</v>
      </c>
      <c r="J354" s="525">
        <v>0</v>
      </c>
      <c r="K354" s="525">
        <v>-269.25</v>
      </c>
    </row>
    <row r="355" spans="1:11" x14ac:dyDescent="0.3">
      <c r="A355" s="524">
        <v>46230</v>
      </c>
      <c r="B355" s="525"/>
      <c r="C355" s="526"/>
      <c r="D355" s="526"/>
      <c r="E355" s="525"/>
      <c r="F355" s="525"/>
      <c r="G355" s="525"/>
      <c r="H355" s="525"/>
      <c r="I355" s="525">
        <v>0</v>
      </c>
      <c r="J355" s="525">
        <v>0</v>
      </c>
      <c r="K355" s="525">
        <v>-269.25</v>
      </c>
    </row>
    <row r="356" spans="1:11" x14ac:dyDescent="0.3">
      <c r="A356" s="239">
        <v>46231</v>
      </c>
      <c r="B356" s="240" t="s">
        <v>10</v>
      </c>
      <c r="C356" s="241" t="s">
        <v>115</v>
      </c>
      <c r="D356" s="241" t="s">
        <v>116</v>
      </c>
      <c r="E356" s="240">
        <v>2.2974999999999999</v>
      </c>
      <c r="F356" s="240">
        <v>1.7500000000000071</v>
      </c>
      <c r="G356" s="240">
        <v>1.7500000000000071</v>
      </c>
      <c r="H356" s="240">
        <v>7.0000000000000284E-2</v>
      </c>
      <c r="I356" s="240">
        <v>0</v>
      </c>
      <c r="J356" s="240">
        <v>0</v>
      </c>
      <c r="K356" s="240">
        <v>0</v>
      </c>
    </row>
    <row r="357" spans="1:11" x14ac:dyDescent="0.3">
      <c r="A357" s="239">
        <v>46231</v>
      </c>
      <c r="B357" s="240" t="s">
        <v>11</v>
      </c>
      <c r="C357" s="241" t="s">
        <v>116</v>
      </c>
      <c r="D357" s="241" t="s">
        <v>117</v>
      </c>
      <c r="E357" s="240">
        <v>2.3574999999999999</v>
      </c>
      <c r="F357" s="240">
        <v>6.0000000000000053</v>
      </c>
      <c r="G357" s="240">
        <v>7.7500000000000124</v>
      </c>
      <c r="H357" s="240">
        <v>0.3100000000000005</v>
      </c>
      <c r="I357" s="240">
        <v>0</v>
      </c>
      <c r="J357" s="240">
        <v>1.2499999999999734</v>
      </c>
      <c r="K357" s="240">
        <v>0.99999999999997868</v>
      </c>
    </row>
    <row r="358" spans="1:11" x14ac:dyDescent="0.3">
      <c r="A358" s="239">
        <v>46231</v>
      </c>
      <c r="B358" s="240" t="s">
        <v>13</v>
      </c>
      <c r="C358" s="241" t="s">
        <v>117</v>
      </c>
      <c r="D358" s="241">
        <v>46415</v>
      </c>
      <c r="E358" s="240">
        <v>2.4575</v>
      </c>
      <c r="F358" s="240">
        <v>10.000000000000009</v>
      </c>
      <c r="G358" s="240">
        <v>17.750000000000021</v>
      </c>
      <c r="H358" s="240">
        <v>0.71000000000000085</v>
      </c>
      <c r="I358" s="240">
        <v>-1.5000000000000124</v>
      </c>
      <c r="J358" s="240">
        <v>1.7500000000000071</v>
      </c>
      <c r="K358" s="240">
        <v>3.7500000000000089</v>
      </c>
    </row>
    <row r="359" spans="1:11" x14ac:dyDescent="0.3">
      <c r="A359" s="239">
        <v>46231</v>
      </c>
      <c r="B359" s="240" t="s">
        <v>28</v>
      </c>
      <c r="C359" s="241">
        <v>46415</v>
      </c>
      <c r="D359" s="241">
        <v>46464</v>
      </c>
      <c r="E359" s="240">
        <v>2.5575000000000001</v>
      </c>
      <c r="F359" s="240">
        <v>10.000000000000009</v>
      </c>
      <c r="G359" s="240">
        <v>27.750000000000028</v>
      </c>
      <c r="H359" s="240">
        <v>1.1100000000000012</v>
      </c>
      <c r="I359" s="240">
        <v>-4.0000000000000036</v>
      </c>
      <c r="J359" s="240">
        <v>1.5000000000000124</v>
      </c>
      <c r="K359" s="240">
        <v>6.0000000000000053</v>
      </c>
    </row>
    <row r="360" spans="1:11" x14ac:dyDescent="0.3">
      <c r="A360" s="239">
        <v>46231</v>
      </c>
      <c r="B360" s="240" t="s">
        <v>15</v>
      </c>
      <c r="C360" s="241">
        <v>46464</v>
      </c>
      <c r="D360" s="241">
        <v>46506</v>
      </c>
      <c r="E360" s="240">
        <v>2.66</v>
      </c>
      <c r="F360" s="240">
        <v>10.250000000000004</v>
      </c>
      <c r="G360" s="240">
        <v>38.000000000000036</v>
      </c>
      <c r="H360" s="240">
        <v>1.5200000000000014</v>
      </c>
      <c r="I360" s="240">
        <v>-4.2499999999999982</v>
      </c>
      <c r="J360" s="240">
        <v>2.7500000000000302</v>
      </c>
      <c r="K360" s="240">
        <v>8.7500000000000355</v>
      </c>
    </row>
    <row r="361" spans="1:11" x14ac:dyDescent="0.3">
      <c r="A361" s="239">
        <v>46231</v>
      </c>
      <c r="B361" s="240" t="s">
        <v>16</v>
      </c>
      <c r="C361" s="241">
        <v>46506</v>
      </c>
      <c r="D361" s="241">
        <v>46548</v>
      </c>
      <c r="E361" s="240">
        <v>2.7549999999999999</v>
      </c>
      <c r="F361" s="240">
        <v>9.4999999999999751</v>
      </c>
      <c r="G361" s="240">
        <v>47.500000000000007</v>
      </c>
      <c r="H361" s="240">
        <v>1.9000000000000004</v>
      </c>
      <c r="I361" s="240">
        <v>-3.7500000000000089</v>
      </c>
      <c r="J361" s="240">
        <v>4.2499999999999982</v>
      </c>
      <c r="K361" s="240">
        <v>10.749999999999993</v>
      </c>
    </row>
    <row r="362" spans="1:11" x14ac:dyDescent="0.3">
      <c r="A362" s="239">
        <v>46231</v>
      </c>
      <c r="B362" s="240" t="s">
        <v>28</v>
      </c>
      <c r="C362" s="241"/>
      <c r="D362" s="241"/>
      <c r="E362" s="240"/>
      <c r="F362" s="240"/>
      <c r="G362" s="240"/>
      <c r="H362" s="240"/>
      <c r="I362" s="240">
        <v>0</v>
      </c>
      <c r="J362" s="240">
        <v>0</v>
      </c>
      <c r="K362" s="240">
        <v>-270</v>
      </c>
    </row>
    <row r="363" spans="1:11" x14ac:dyDescent="0.3">
      <c r="A363" s="239">
        <v>46231</v>
      </c>
      <c r="B363" s="240" t="s">
        <v>28</v>
      </c>
      <c r="C363" s="241"/>
      <c r="D363" s="241"/>
      <c r="E363" s="240"/>
      <c r="F363" s="240"/>
      <c r="G363" s="240"/>
      <c r="H363" s="240"/>
      <c r="I363" s="240">
        <v>0</v>
      </c>
      <c r="J363" s="240">
        <v>0</v>
      </c>
      <c r="K363" s="240">
        <v>-270</v>
      </c>
    </row>
    <row r="364" spans="1:11" x14ac:dyDescent="0.3">
      <c r="A364" s="239">
        <v>46231</v>
      </c>
      <c r="B364" s="240"/>
      <c r="C364" s="241"/>
      <c r="D364" s="241"/>
      <c r="E364" s="240"/>
      <c r="F364" s="240"/>
      <c r="G364" s="240"/>
      <c r="H364" s="240"/>
      <c r="I364" s="240">
        <v>0</v>
      </c>
      <c r="J364" s="240">
        <v>0</v>
      </c>
      <c r="K364" s="240">
        <v>-270</v>
      </c>
    </row>
    <row r="365" spans="1:11" x14ac:dyDescent="0.3">
      <c r="A365" s="239">
        <v>46231</v>
      </c>
      <c r="B365" s="240"/>
      <c r="C365" s="241"/>
      <c r="D365" s="241"/>
      <c r="E365" s="240"/>
      <c r="F365" s="240"/>
      <c r="G365" s="240"/>
      <c r="H365" s="240"/>
      <c r="I365" s="240">
        <v>0</v>
      </c>
      <c r="J365" s="240">
        <v>0</v>
      </c>
      <c r="K365" s="240">
        <v>-270</v>
      </c>
    </row>
    <row r="366" spans="1:11" x14ac:dyDescent="0.3">
      <c r="A366" s="239">
        <v>46231</v>
      </c>
      <c r="B366" s="240"/>
      <c r="C366" s="241"/>
      <c r="D366" s="241"/>
      <c r="E366" s="240"/>
      <c r="F366" s="240"/>
      <c r="G366" s="240"/>
      <c r="H366" s="240"/>
      <c r="I366" s="240">
        <v>0</v>
      </c>
      <c r="J366" s="240">
        <v>0</v>
      </c>
      <c r="K366" s="240">
        <v>-270</v>
      </c>
    </row>
    <row r="367" spans="1:11" x14ac:dyDescent="0.3">
      <c r="A367" s="239">
        <v>46231</v>
      </c>
      <c r="B367" s="240"/>
      <c r="C367" s="241"/>
      <c r="D367" s="241"/>
      <c r="E367" s="240"/>
      <c r="F367" s="240"/>
      <c r="G367" s="240"/>
      <c r="H367" s="240"/>
      <c r="I367" s="240">
        <v>0</v>
      </c>
      <c r="J367" s="240">
        <v>0</v>
      </c>
      <c r="K367" s="240">
        <v>-270</v>
      </c>
    </row>
    <row r="368" spans="1:11" x14ac:dyDescent="0.3">
      <c r="A368" s="239">
        <v>46232</v>
      </c>
      <c r="B368" s="240" t="s">
        <v>10</v>
      </c>
      <c r="C368" s="241" t="s">
        <v>115</v>
      </c>
      <c r="D368" s="241" t="s">
        <v>116</v>
      </c>
      <c r="E368" s="240">
        <v>2.3025000000000002</v>
      </c>
      <c r="F368" s="240">
        <v>2.2500000000000409</v>
      </c>
      <c r="G368" s="240">
        <v>2.2500000000000409</v>
      </c>
      <c r="H368" s="240">
        <v>9.0000000000001634E-2</v>
      </c>
      <c r="I368" s="240">
        <v>0.50000000000003375</v>
      </c>
      <c r="J368" s="240">
        <v>0.25000000000003908</v>
      </c>
      <c r="K368" s="240">
        <v>0.50000000000003375</v>
      </c>
    </row>
    <row r="369" spans="1:11" x14ac:dyDescent="0.3">
      <c r="A369" s="239">
        <v>46232</v>
      </c>
      <c r="B369" s="240" t="s">
        <v>11</v>
      </c>
      <c r="C369" s="241" t="s">
        <v>116</v>
      </c>
      <c r="D369" s="241" t="s">
        <v>117</v>
      </c>
      <c r="E369" s="240">
        <v>2.38</v>
      </c>
      <c r="F369" s="240">
        <v>7.749999999999968</v>
      </c>
      <c r="G369" s="240">
        <v>10.000000000000009</v>
      </c>
      <c r="H369" s="240">
        <v>0.40000000000000036</v>
      </c>
      <c r="I369" s="240">
        <v>2.2499999999999964</v>
      </c>
      <c r="J369" s="240">
        <v>1.7500000000000071</v>
      </c>
      <c r="K369" s="240">
        <v>3.2499999999999751</v>
      </c>
    </row>
    <row r="370" spans="1:11" x14ac:dyDescent="0.3">
      <c r="A370" s="239">
        <v>46232</v>
      </c>
      <c r="B370" s="240" t="s">
        <v>13</v>
      </c>
      <c r="C370" s="241" t="s">
        <v>117</v>
      </c>
      <c r="D370" s="241">
        <v>46415</v>
      </c>
      <c r="E370" s="240">
        <v>2.4874999999999998</v>
      </c>
      <c r="F370" s="240">
        <v>10.749999999999993</v>
      </c>
      <c r="G370" s="240">
        <v>20.75</v>
      </c>
      <c r="H370" s="240">
        <v>0.83</v>
      </c>
      <c r="I370" s="240">
        <v>2.9999999999999805</v>
      </c>
      <c r="J370" s="240">
        <v>1.7499999999999627</v>
      </c>
      <c r="K370" s="240">
        <v>6.999999999999984</v>
      </c>
    </row>
    <row r="371" spans="1:11" x14ac:dyDescent="0.3">
      <c r="A371" s="239">
        <v>46232</v>
      </c>
      <c r="B371" s="240" t="s">
        <v>28</v>
      </c>
      <c r="C371" s="241">
        <v>46415</v>
      </c>
      <c r="D371" s="241">
        <v>46464</v>
      </c>
      <c r="E371" s="240">
        <v>2.6175000000000002</v>
      </c>
      <c r="F371" s="240">
        <v>13.000000000000034</v>
      </c>
      <c r="G371" s="240">
        <v>33.750000000000036</v>
      </c>
      <c r="H371" s="240">
        <v>1.3500000000000014</v>
      </c>
      <c r="I371" s="240">
        <v>6.0000000000000053</v>
      </c>
      <c r="J371" s="240">
        <v>3.2500000000000195</v>
      </c>
      <c r="K371" s="240">
        <v>12.250000000000005</v>
      </c>
    </row>
    <row r="372" spans="1:11" x14ac:dyDescent="0.3">
      <c r="A372" s="239">
        <v>46232</v>
      </c>
      <c r="B372" s="240" t="s">
        <v>15</v>
      </c>
      <c r="C372" s="241">
        <v>46464</v>
      </c>
      <c r="D372" s="241">
        <v>46506</v>
      </c>
      <c r="E372" s="240">
        <v>2.7275</v>
      </c>
      <c r="F372" s="240">
        <v>10.999999999999988</v>
      </c>
      <c r="G372" s="240">
        <v>44.750000000000021</v>
      </c>
      <c r="H372" s="240">
        <v>1.7900000000000009</v>
      </c>
      <c r="I372" s="240">
        <v>6.7499999999999893</v>
      </c>
      <c r="J372" s="240">
        <v>4.2499999999999982</v>
      </c>
      <c r="K372" s="240">
        <v>15.75000000000002</v>
      </c>
    </row>
    <row r="373" spans="1:11" x14ac:dyDescent="0.3">
      <c r="A373" s="239">
        <v>46232</v>
      </c>
      <c r="B373" s="240" t="s">
        <v>16</v>
      </c>
      <c r="C373" s="241">
        <v>46506</v>
      </c>
      <c r="D373" s="241">
        <v>46548</v>
      </c>
      <c r="E373" s="240">
        <v>2.8224999999999998</v>
      </c>
      <c r="F373" s="240">
        <v>9.4999999999999751</v>
      </c>
      <c r="G373" s="240">
        <v>54.25</v>
      </c>
      <c r="H373" s="240">
        <v>2.17</v>
      </c>
      <c r="I373" s="240">
        <v>6.7499999999999893</v>
      </c>
      <c r="J373" s="240">
        <v>5.4999999999999716</v>
      </c>
      <c r="K373" s="240">
        <v>17.749999999999979</v>
      </c>
    </row>
    <row r="374" spans="1:11" x14ac:dyDescent="0.3">
      <c r="A374" s="239">
        <v>46232</v>
      </c>
      <c r="B374" s="240" t="s">
        <v>28</v>
      </c>
      <c r="C374" s="241"/>
      <c r="D374" s="241"/>
      <c r="E374" s="240"/>
      <c r="F374" s="240"/>
      <c r="G374" s="240"/>
      <c r="H374" s="240"/>
      <c r="I374" s="240">
        <v>0</v>
      </c>
      <c r="J374" s="240">
        <v>0</v>
      </c>
      <c r="K374" s="240">
        <v>-269.75</v>
      </c>
    </row>
    <row r="375" spans="1:11" x14ac:dyDescent="0.3">
      <c r="A375" s="239">
        <v>46232</v>
      </c>
      <c r="B375" s="240" t="s">
        <v>28</v>
      </c>
      <c r="C375" s="241"/>
      <c r="D375" s="241"/>
      <c r="E375" s="240"/>
      <c r="F375" s="240"/>
      <c r="G375" s="240"/>
      <c r="H375" s="240"/>
      <c r="I375" s="240">
        <v>0</v>
      </c>
      <c r="J375" s="240">
        <v>0</v>
      </c>
      <c r="K375" s="240">
        <v>-269.75</v>
      </c>
    </row>
    <row r="376" spans="1:11" x14ac:dyDescent="0.3">
      <c r="A376" s="239">
        <v>46232</v>
      </c>
      <c r="B376" s="240"/>
      <c r="C376" s="241"/>
      <c r="D376" s="241"/>
      <c r="E376" s="240"/>
      <c r="F376" s="240"/>
      <c r="G376" s="240"/>
      <c r="H376" s="240"/>
      <c r="I376" s="240">
        <v>0</v>
      </c>
      <c r="J376" s="240">
        <v>0</v>
      </c>
      <c r="K376" s="240">
        <v>-269.75</v>
      </c>
    </row>
    <row r="377" spans="1:11" x14ac:dyDescent="0.3">
      <c r="A377" s="239">
        <v>46232</v>
      </c>
      <c r="B377" s="240"/>
      <c r="C377" s="241"/>
      <c r="D377" s="241"/>
      <c r="E377" s="240"/>
      <c r="F377" s="240"/>
      <c r="G377" s="240"/>
      <c r="H377" s="240"/>
      <c r="I377" s="240">
        <v>0</v>
      </c>
      <c r="J377" s="240">
        <v>0</v>
      </c>
      <c r="K377" s="240">
        <v>-269.75</v>
      </c>
    </row>
    <row r="378" spans="1:11" x14ac:dyDescent="0.3">
      <c r="A378" s="239">
        <v>46232</v>
      </c>
      <c r="B378" s="240"/>
      <c r="C378" s="241"/>
      <c r="D378" s="241"/>
      <c r="E378" s="240"/>
      <c r="F378" s="240"/>
      <c r="G378" s="240"/>
      <c r="H378" s="240"/>
      <c r="I378" s="240">
        <v>0</v>
      </c>
      <c r="J378" s="240">
        <v>0</v>
      </c>
      <c r="K378" s="240">
        <v>-269.75</v>
      </c>
    </row>
    <row r="379" spans="1:11" x14ac:dyDescent="0.3">
      <c r="A379" s="239">
        <v>46232</v>
      </c>
      <c r="B379" s="240"/>
      <c r="C379" s="241"/>
      <c r="D379" s="241"/>
      <c r="E379" s="240"/>
      <c r="F379" s="240"/>
      <c r="G379" s="240"/>
      <c r="H379" s="240"/>
      <c r="I379" s="240">
        <v>0</v>
      </c>
      <c r="J379" s="240">
        <v>0</v>
      </c>
      <c r="K379" s="240">
        <v>-269.75</v>
      </c>
    </row>
    <row r="380" spans="1:11" x14ac:dyDescent="0.3">
      <c r="A380" s="239">
        <v>46233</v>
      </c>
      <c r="B380" s="240" t="s">
        <v>10</v>
      </c>
      <c r="C380" s="241" t="s">
        <v>115</v>
      </c>
      <c r="D380" s="241" t="s">
        <v>116</v>
      </c>
      <c r="E380" s="240">
        <v>2.29</v>
      </c>
      <c r="F380" s="240">
        <v>-2.0000000000000018</v>
      </c>
      <c r="G380" s="240">
        <v>-2.0000000000000018</v>
      </c>
      <c r="H380" s="240">
        <v>-8.0000000000000071E-2</v>
      </c>
      <c r="I380" s="240">
        <v>-1.2500000000000178</v>
      </c>
      <c r="J380" s="240">
        <v>-3.2499999999999751</v>
      </c>
      <c r="K380" s="240">
        <v>-0.99999999999997868</v>
      </c>
    </row>
    <row r="381" spans="1:11" x14ac:dyDescent="0.3">
      <c r="A381" s="239">
        <v>46233</v>
      </c>
      <c r="B381" s="240" t="s">
        <v>11</v>
      </c>
      <c r="C381" s="241" t="s">
        <v>116</v>
      </c>
      <c r="D381" s="241" t="s">
        <v>117</v>
      </c>
      <c r="E381" s="240">
        <v>2.355</v>
      </c>
      <c r="F381" s="240">
        <v>6.4999999999999947</v>
      </c>
      <c r="G381" s="240">
        <v>4.4999999999999929</v>
      </c>
      <c r="H381" s="240">
        <v>0.17999999999999972</v>
      </c>
      <c r="I381" s="240">
        <v>-2.4999999999999911</v>
      </c>
      <c r="J381" s="240">
        <v>-5.2500000000000213</v>
      </c>
      <c r="K381" s="240">
        <v>-1.0000000000000231</v>
      </c>
    </row>
    <row r="382" spans="1:11" x14ac:dyDescent="0.3">
      <c r="A382" s="239">
        <v>46233</v>
      </c>
      <c r="B382" s="240" t="s">
        <v>13</v>
      </c>
      <c r="C382" s="241" t="s">
        <v>117</v>
      </c>
      <c r="D382" s="241">
        <v>46415</v>
      </c>
      <c r="E382" s="240">
        <v>2.4424999999999999</v>
      </c>
      <c r="F382" s="240">
        <v>8.7499999999999911</v>
      </c>
      <c r="G382" s="240">
        <v>13.249999999999984</v>
      </c>
      <c r="H382" s="240">
        <v>0.52999999999999936</v>
      </c>
      <c r="I382" s="240">
        <v>-4.4999999999999929</v>
      </c>
      <c r="J382" s="240">
        <v>-8.7499999999999911</v>
      </c>
      <c r="K382" s="240">
        <v>0.24999999999999467</v>
      </c>
    </row>
    <row r="383" spans="1:11" x14ac:dyDescent="0.3">
      <c r="A383" s="239">
        <v>46233</v>
      </c>
      <c r="B383" s="240" t="s">
        <v>28</v>
      </c>
      <c r="C383" s="241">
        <v>46415</v>
      </c>
      <c r="D383" s="241">
        <v>46464</v>
      </c>
      <c r="E383" s="240">
        <v>2.5499999999999998</v>
      </c>
      <c r="F383" s="240">
        <v>10.749999999999993</v>
      </c>
      <c r="G383" s="240">
        <v>23.999999999999979</v>
      </c>
      <c r="H383" s="240">
        <v>0.95999999999999919</v>
      </c>
      <c r="I383" s="240">
        <v>-6.7500000000000338</v>
      </c>
      <c r="J383" s="240">
        <v>-12.5</v>
      </c>
      <c r="K383" s="240">
        <v>2.7499999999999858</v>
      </c>
    </row>
    <row r="384" spans="1:11" x14ac:dyDescent="0.3">
      <c r="A384" s="239">
        <v>46233</v>
      </c>
      <c r="B384" s="240" t="s">
        <v>15</v>
      </c>
      <c r="C384" s="241">
        <v>46464</v>
      </c>
      <c r="D384" s="241">
        <v>46506</v>
      </c>
      <c r="E384" s="240">
        <v>2.645</v>
      </c>
      <c r="F384" s="240">
        <v>9.5000000000000195</v>
      </c>
      <c r="G384" s="240">
        <v>33.5</v>
      </c>
      <c r="H384" s="240">
        <v>1.34</v>
      </c>
      <c r="I384" s="240">
        <v>-8.2500000000000018</v>
      </c>
      <c r="J384" s="240">
        <v>-14.749999999999996</v>
      </c>
      <c r="K384" s="240">
        <v>4.7499999999999876</v>
      </c>
    </row>
    <row r="385" spans="1:11" x14ac:dyDescent="0.3">
      <c r="A385" s="239">
        <v>46233</v>
      </c>
      <c r="B385" s="240" t="s">
        <v>16</v>
      </c>
      <c r="C385" s="241">
        <v>46506</v>
      </c>
      <c r="D385" s="241">
        <v>46548</v>
      </c>
      <c r="E385" s="240">
        <v>2.7349999999999999</v>
      </c>
      <c r="F385" s="240">
        <v>8.9999999999999858</v>
      </c>
      <c r="G385" s="240">
        <v>42.499999999999986</v>
      </c>
      <c r="H385" s="240">
        <v>1.6999999999999995</v>
      </c>
      <c r="I385" s="240">
        <v>-8.7499999999999911</v>
      </c>
      <c r="J385" s="240">
        <v>-14.000000000000012</v>
      </c>
      <c r="K385" s="240">
        <v>6.25</v>
      </c>
    </row>
    <row r="386" spans="1:11" x14ac:dyDescent="0.3">
      <c r="A386" s="239">
        <v>46233</v>
      </c>
      <c r="B386" s="240" t="s">
        <v>28</v>
      </c>
      <c r="C386" s="241"/>
      <c r="D386" s="241"/>
      <c r="E386" s="240"/>
      <c r="F386" s="240"/>
      <c r="G386" s="240"/>
      <c r="H386" s="240"/>
      <c r="I386" s="240">
        <v>0</v>
      </c>
      <c r="J386" s="240">
        <v>0</v>
      </c>
      <c r="K386" s="240">
        <v>-272.5</v>
      </c>
    </row>
    <row r="387" spans="1:11" x14ac:dyDescent="0.3">
      <c r="A387" s="239">
        <v>46233</v>
      </c>
      <c r="B387" s="240" t="s">
        <v>28</v>
      </c>
      <c r="C387" s="241"/>
      <c r="D387" s="241"/>
      <c r="E387" s="240"/>
      <c r="F387" s="240"/>
      <c r="G387" s="240"/>
      <c r="H387" s="240"/>
      <c r="I387" s="240">
        <v>0</v>
      </c>
      <c r="J387" s="240">
        <v>0</v>
      </c>
      <c r="K387" s="240">
        <v>-272.5</v>
      </c>
    </row>
    <row r="388" spans="1:11" x14ac:dyDescent="0.3">
      <c r="A388" s="239">
        <v>46233</v>
      </c>
      <c r="B388" s="240"/>
      <c r="C388" s="241"/>
      <c r="D388" s="241"/>
      <c r="E388" s="240"/>
      <c r="F388" s="240"/>
      <c r="G388" s="240"/>
      <c r="H388" s="240"/>
      <c r="I388" s="240">
        <v>0</v>
      </c>
      <c r="J388" s="240">
        <v>0</v>
      </c>
      <c r="K388" s="240">
        <v>-272.5</v>
      </c>
    </row>
    <row r="389" spans="1:11" x14ac:dyDescent="0.3">
      <c r="A389" s="239">
        <v>46233</v>
      </c>
      <c r="B389" s="240"/>
      <c r="C389" s="241"/>
      <c r="D389" s="241"/>
      <c r="E389" s="240"/>
      <c r="F389" s="240"/>
      <c r="G389" s="240"/>
      <c r="H389" s="240"/>
      <c r="I389" s="240">
        <v>0</v>
      </c>
      <c r="J389" s="240">
        <v>0</v>
      </c>
      <c r="K389" s="240">
        <v>-272.5</v>
      </c>
    </row>
    <row r="390" spans="1:11" x14ac:dyDescent="0.3">
      <c r="A390" s="239">
        <v>46233</v>
      </c>
      <c r="B390" s="240"/>
      <c r="C390" s="241"/>
      <c r="D390" s="241"/>
      <c r="E390" s="240"/>
      <c r="F390" s="240"/>
      <c r="G390" s="240"/>
      <c r="H390" s="240"/>
      <c r="I390" s="240">
        <v>0</v>
      </c>
      <c r="J390" s="240">
        <v>0</v>
      </c>
      <c r="K390" s="240">
        <v>-272.5</v>
      </c>
    </row>
    <row r="391" spans="1:11" x14ac:dyDescent="0.3">
      <c r="A391" s="239">
        <v>46233</v>
      </c>
      <c r="B391" s="240"/>
      <c r="C391" s="241"/>
      <c r="D391" s="241"/>
      <c r="E391" s="240"/>
      <c r="F391" s="240"/>
      <c r="G391" s="240"/>
      <c r="H391" s="240"/>
      <c r="I391" s="240">
        <v>0</v>
      </c>
      <c r="J391" s="240">
        <v>0</v>
      </c>
      <c r="K391" s="240">
        <v>-272.5</v>
      </c>
    </row>
    <row r="392" spans="1:11" x14ac:dyDescent="0.3">
      <c r="A392" s="543">
        <v>46234</v>
      </c>
      <c r="B392" s="544" t="s">
        <v>10</v>
      </c>
      <c r="C392" s="545" t="s">
        <v>115</v>
      </c>
      <c r="D392" s="545" t="s">
        <v>116</v>
      </c>
      <c r="E392" s="544">
        <v>2.2949999999999999</v>
      </c>
      <c r="F392" s="544">
        <v>-1.5000000000000124</v>
      </c>
      <c r="G392" s="544">
        <v>-1.5000000000000124</v>
      </c>
      <c r="H392" s="544">
        <v>-6.0000000000000497E-2</v>
      </c>
      <c r="I392" s="544">
        <v>0.49999999999998934</v>
      </c>
      <c r="J392" s="544">
        <v>-1.0000000000000231</v>
      </c>
      <c r="K392" s="544">
        <v>-0.49999999999998934</v>
      </c>
    </row>
    <row r="393" spans="1:11" x14ac:dyDescent="0.3">
      <c r="A393" s="543">
        <v>46234</v>
      </c>
      <c r="B393" s="544" t="s">
        <v>11</v>
      </c>
      <c r="C393" s="545" t="s">
        <v>116</v>
      </c>
      <c r="D393" s="545" t="s">
        <v>117</v>
      </c>
      <c r="E393" s="544">
        <v>2.3650000000000002</v>
      </c>
      <c r="F393" s="544">
        <v>7.0000000000000284</v>
      </c>
      <c r="G393" s="544">
        <v>5.500000000000016</v>
      </c>
      <c r="H393" s="544">
        <v>0.22000000000000064</v>
      </c>
      <c r="I393" s="544">
        <v>1.0000000000000231</v>
      </c>
      <c r="J393" s="544">
        <v>-0.99999999999997868</v>
      </c>
      <c r="K393" s="544">
        <v>0</v>
      </c>
    </row>
    <row r="394" spans="1:11" x14ac:dyDescent="0.3">
      <c r="A394" s="543">
        <v>46234</v>
      </c>
      <c r="B394" s="544" t="s">
        <v>13</v>
      </c>
      <c r="C394" s="545" t="s">
        <v>117</v>
      </c>
      <c r="D394" s="545">
        <v>46415</v>
      </c>
      <c r="E394" s="544">
        <v>2.4674999999999998</v>
      </c>
      <c r="F394" s="544">
        <v>10.249999999999959</v>
      </c>
      <c r="G394" s="544">
        <v>15.749999999999975</v>
      </c>
      <c r="H394" s="544">
        <v>0.62999999999999901</v>
      </c>
      <c r="I394" s="544">
        <v>2.4999999999999911</v>
      </c>
      <c r="J394" s="544">
        <v>-2.0000000000000018</v>
      </c>
      <c r="K394" s="544">
        <v>2.7499999999999858</v>
      </c>
    </row>
    <row r="395" spans="1:11" x14ac:dyDescent="0.3">
      <c r="A395" s="543">
        <v>46234</v>
      </c>
      <c r="B395" s="544" t="s">
        <v>28</v>
      </c>
      <c r="C395" s="545">
        <v>46415</v>
      </c>
      <c r="D395" s="545">
        <v>46464</v>
      </c>
      <c r="E395" s="544">
        <v>2.5825</v>
      </c>
      <c r="F395" s="544">
        <v>11.500000000000021</v>
      </c>
      <c r="G395" s="544">
        <v>27.249999999999996</v>
      </c>
      <c r="H395" s="544">
        <v>1.0899999999999999</v>
      </c>
      <c r="I395" s="544">
        <v>3.2500000000000195</v>
      </c>
      <c r="J395" s="544">
        <v>-2.9999999999999805</v>
      </c>
      <c r="K395" s="544">
        <v>6.0000000000000053</v>
      </c>
    </row>
    <row r="396" spans="1:11" x14ac:dyDescent="0.3">
      <c r="A396" s="543">
        <v>46234</v>
      </c>
      <c r="B396" s="544" t="s">
        <v>15</v>
      </c>
      <c r="C396" s="545">
        <v>46464</v>
      </c>
      <c r="D396" s="545">
        <v>46506</v>
      </c>
      <c r="E396" s="544">
        <v>2.6924999999999999</v>
      </c>
      <c r="F396" s="544">
        <v>10.999999999999988</v>
      </c>
      <c r="G396" s="544">
        <v>38.249999999999986</v>
      </c>
      <c r="H396" s="544">
        <v>1.5299999999999994</v>
      </c>
      <c r="I396" s="544">
        <v>4.7499999999999876</v>
      </c>
      <c r="J396" s="544">
        <v>-3.5000000000000142</v>
      </c>
      <c r="K396" s="544">
        <v>9.4999999999999751</v>
      </c>
    </row>
    <row r="397" spans="1:11" x14ac:dyDescent="0.3">
      <c r="A397" s="543">
        <v>46234</v>
      </c>
      <c r="B397" s="544" t="s">
        <v>16</v>
      </c>
      <c r="C397" s="545">
        <v>46506</v>
      </c>
      <c r="D397" s="545">
        <v>46548</v>
      </c>
      <c r="E397" s="544">
        <v>2.7875000000000001</v>
      </c>
      <c r="F397" s="544">
        <v>9.5000000000000195</v>
      </c>
      <c r="G397" s="544">
        <v>47.75</v>
      </c>
      <c r="H397" s="544">
        <v>1.91</v>
      </c>
      <c r="I397" s="544">
        <v>5.2500000000000213</v>
      </c>
      <c r="J397" s="544">
        <v>-2.0000000000000018</v>
      </c>
      <c r="K397" s="544">
        <v>11.500000000000021</v>
      </c>
    </row>
    <row r="398" spans="1:11" x14ac:dyDescent="0.3">
      <c r="A398" s="543">
        <v>46234</v>
      </c>
      <c r="B398" s="544" t="s">
        <v>28</v>
      </c>
      <c r="C398" s="545"/>
      <c r="D398" s="545"/>
      <c r="E398" s="544"/>
      <c r="F398" s="544"/>
      <c r="G398" s="544"/>
      <c r="H398" s="544"/>
      <c r="I398" s="544">
        <v>0</v>
      </c>
      <c r="J398" s="544">
        <v>0</v>
      </c>
      <c r="K398" s="544">
        <v>-272.5</v>
      </c>
    </row>
    <row r="399" spans="1:11" x14ac:dyDescent="0.3">
      <c r="A399" s="543">
        <v>46234</v>
      </c>
      <c r="B399" s="544" t="s">
        <v>28</v>
      </c>
      <c r="C399" s="545"/>
      <c r="D399" s="545"/>
      <c r="E399" s="544"/>
      <c r="F399" s="544"/>
      <c r="G399" s="544"/>
      <c r="H399" s="544"/>
      <c r="I399" s="544">
        <v>0</v>
      </c>
      <c r="J399" s="544">
        <v>0</v>
      </c>
      <c r="K399" s="544">
        <v>-272.5</v>
      </c>
    </row>
    <row r="400" spans="1:11" x14ac:dyDescent="0.3">
      <c r="A400" s="543">
        <v>46234</v>
      </c>
      <c r="B400" s="544"/>
      <c r="C400" s="545"/>
      <c r="D400" s="545"/>
      <c r="E400" s="544"/>
      <c r="F400" s="544"/>
      <c r="G400" s="544"/>
      <c r="H400" s="544"/>
      <c r="I400" s="544">
        <v>0</v>
      </c>
      <c r="J400" s="544">
        <v>0</v>
      </c>
      <c r="K400" s="544">
        <v>-272.5</v>
      </c>
    </row>
    <row r="401" spans="1:11" x14ac:dyDescent="0.3">
      <c r="A401" s="543">
        <v>46234</v>
      </c>
      <c r="B401" s="544"/>
      <c r="C401" s="545"/>
      <c r="D401" s="545"/>
      <c r="E401" s="544"/>
      <c r="F401" s="544"/>
      <c r="G401" s="544"/>
      <c r="H401" s="544"/>
      <c r="I401" s="544">
        <v>0</v>
      </c>
      <c r="J401" s="544">
        <v>0</v>
      </c>
      <c r="K401" s="544">
        <v>-272.5</v>
      </c>
    </row>
    <row r="402" spans="1:11" x14ac:dyDescent="0.3">
      <c r="A402" s="543">
        <v>46234</v>
      </c>
      <c r="B402" s="544"/>
      <c r="C402" s="545"/>
      <c r="D402" s="545"/>
      <c r="E402" s="544"/>
      <c r="F402" s="544"/>
      <c r="G402" s="544"/>
      <c r="H402" s="544"/>
      <c r="I402" s="544">
        <v>0</v>
      </c>
      <c r="J402" s="544">
        <v>0</v>
      </c>
      <c r="K402" s="544">
        <v>-272.5</v>
      </c>
    </row>
    <row r="403" spans="1:11" x14ac:dyDescent="0.3">
      <c r="A403" s="543">
        <v>46234</v>
      </c>
      <c r="B403" s="544"/>
      <c r="C403" s="545"/>
      <c r="D403" s="545"/>
      <c r="E403" s="544"/>
      <c r="F403" s="544"/>
      <c r="G403" s="544"/>
      <c r="H403" s="544"/>
      <c r="I403" s="544">
        <v>0</v>
      </c>
      <c r="J403" s="544">
        <v>0</v>
      </c>
      <c r="K403" s="544">
        <v>-272.5</v>
      </c>
    </row>
    <row r="404" spans="1:11" x14ac:dyDescent="0.3">
      <c r="A404" s="543">
        <v>46237</v>
      </c>
      <c r="B404" s="544" t="s">
        <v>10</v>
      </c>
      <c r="C404" s="545" t="s">
        <v>115</v>
      </c>
      <c r="D404" s="545" t="s">
        <v>116</v>
      </c>
      <c r="E404" s="544">
        <v>2.2949999999999999</v>
      </c>
      <c r="F404" s="544">
        <v>-1.5000000000000124</v>
      </c>
      <c r="G404" s="544">
        <v>-1.5000000000000124</v>
      </c>
      <c r="H404" s="544">
        <v>-6.0000000000000497E-2</v>
      </c>
      <c r="I404" s="544">
        <v>0</v>
      </c>
      <c r="J404" s="544">
        <v>-0.24999999999999467</v>
      </c>
      <c r="K404" s="544">
        <v>0.24999999999999467</v>
      </c>
    </row>
    <row r="405" spans="1:11" x14ac:dyDescent="0.3">
      <c r="A405" s="543">
        <v>46237</v>
      </c>
      <c r="B405" s="544" t="s">
        <v>11</v>
      </c>
      <c r="C405" s="545" t="s">
        <v>116</v>
      </c>
      <c r="D405" s="545" t="s">
        <v>117</v>
      </c>
      <c r="E405" s="544">
        <v>2.3624999999999998</v>
      </c>
      <c r="F405" s="544">
        <v>6.7499999999999893</v>
      </c>
      <c r="G405" s="544">
        <v>5.2499999999999769</v>
      </c>
      <c r="H405" s="544">
        <v>0.20999999999999908</v>
      </c>
      <c r="I405" s="544">
        <v>-0.25000000000003908</v>
      </c>
      <c r="J405" s="544">
        <v>0.49999999999998934</v>
      </c>
      <c r="K405" s="544">
        <v>1.7499999999999627</v>
      </c>
    </row>
    <row r="406" spans="1:11" x14ac:dyDescent="0.3">
      <c r="A406" s="543">
        <v>46237</v>
      </c>
      <c r="B406" s="544" t="s">
        <v>13</v>
      </c>
      <c r="C406" s="545" t="s">
        <v>117</v>
      </c>
      <c r="D406" s="545">
        <v>46415</v>
      </c>
      <c r="E406" s="544">
        <v>2.4674999999999998</v>
      </c>
      <c r="F406" s="544">
        <v>10.499999999999998</v>
      </c>
      <c r="G406" s="544">
        <v>15.749999999999975</v>
      </c>
      <c r="H406" s="544">
        <v>0.62999999999999901</v>
      </c>
      <c r="I406" s="544">
        <v>0</v>
      </c>
      <c r="J406" s="544">
        <v>-0.50000000000003375</v>
      </c>
      <c r="K406" s="544">
        <v>5.2499999999999769</v>
      </c>
    </row>
    <row r="407" spans="1:11" x14ac:dyDescent="0.3">
      <c r="A407" s="543">
        <v>46237</v>
      </c>
      <c r="B407" s="544" t="s">
        <v>28</v>
      </c>
      <c r="C407" s="545">
        <v>46415</v>
      </c>
      <c r="D407" s="545">
        <v>46464</v>
      </c>
      <c r="E407" s="544">
        <v>2.5775000000000001</v>
      </c>
      <c r="F407" s="544">
        <v>11.000000000000032</v>
      </c>
      <c r="G407" s="544">
        <v>26.750000000000007</v>
      </c>
      <c r="H407" s="544">
        <v>1.0700000000000003</v>
      </c>
      <c r="I407" s="544">
        <v>-0.49999999999998934</v>
      </c>
      <c r="J407" s="544">
        <v>-2.0000000000000018</v>
      </c>
      <c r="K407" s="544">
        <v>8.4999999999999964</v>
      </c>
    </row>
    <row r="408" spans="1:11" x14ac:dyDescent="0.3">
      <c r="A408" s="543">
        <v>46237</v>
      </c>
      <c r="B408" s="544" t="s">
        <v>15</v>
      </c>
      <c r="C408" s="545">
        <v>46464</v>
      </c>
      <c r="D408" s="545">
        <v>46506</v>
      </c>
      <c r="E408" s="544">
        <v>2.69</v>
      </c>
      <c r="F408" s="544">
        <v>11.249999999999982</v>
      </c>
      <c r="G408" s="544">
        <v>37.999999999999986</v>
      </c>
      <c r="H408" s="544">
        <v>1.5199999999999994</v>
      </c>
      <c r="I408" s="544">
        <v>-0.24999999999999467</v>
      </c>
      <c r="J408" s="544">
        <v>-1.2500000000000178</v>
      </c>
      <c r="K408" s="544">
        <v>12.250000000000005</v>
      </c>
    </row>
    <row r="409" spans="1:11" x14ac:dyDescent="0.3">
      <c r="A409" s="543">
        <v>46237</v>
      </c>
      <c r="B409" s="544" t="s">
        <v>16</v>
      </c>
      <c r="C409" s="545">
        <v>46506</v>
      </c>
      <c r="D409" s="545">
        <v>46548</v>
      </c>
      <c r="E409" s="544">
        <v>2.7925</v>
      </c>
      <c r="F409" s="544">
        <v>10.250000000000004</v>
      </c>
      <c r="G409" s="544">
        <v>48.249999999999993</v>
      </c>
      <c r="H409" s="544">
        <v>1.9299999999999997</v>
      </c>
      <c r="I409" s="544">
        <v>0.49999999999998934</v>
      </c>
      <c r="J409" s="544">
        <v>0</v>
      </c>
      <c r="K409" s="544">
        <v>14.999999999999991</v>
      </c>
    </row>
    <row r="410" spans="1:11" x14ac:dyDescent="0.3">
      <c r="A410" s="543">
        <v>46237</v>
      </c>
      <c r="B410" s="544" t="s">
        <v>28</v>
      </c>
      <c r="C410" s="545"/>
      <c r="D410" s="545"/>
      <c r="E410" s="544"/>
      <c r="F410" s="544"/>
      <c r="G410" s="544"/>
      <c r="H410" s="544"/>
      <c r="I410" s="544">
        <v>0</v>
      </c>
      <c r="J410" s="544">
        <v>0</v>
      </c>
      <c r="K410" s="544">
        <v>-270</v>
      </c>
    </row>
    <row r="411" spans="1:11" x14ac:dyDescent="0.3">
      <c r="A411" s="543">
        <v>46237</v>
      </c>
      <c r="B411" s="544" t="s">
        <v>28</v>
      </c>
      <c r="C411" s="545"/>
      <c r="D411" s="545"/>
      <c r="E411" s="544"/>
      <c r="F411" s="544"/>
      <c r="G411" s="544"/>
      <c r="H411" s="544"/>
      <c r="I411" s="544">
        <v>0</v>
      </c>
      <c r="J411" s="544">
        <v>0</v>
      </c>
      <c r="K411" s="544">
        <v>-270</v>
      </c>
    </row>
    <row r="412" spans="1:11" x14ac:dyDescent="0.3">
      <c r="A412" s="543">
        <v>46237</v>
      </c>
      <c r="B412" s="544"/>
      <c r="C412" s="545"/>
      <c r="D412" s="545"/>
      <c r="E412" s="544"/>
      <c r="F412" s="544"/>
      <c r="G412" s="544"/>
      <c r="H412" s="544"/>
      <c r="I412" s="544">
        <v>0</v>
      </c>
      <c r="J412" s="544">
        <v>0</v>
      </c>
      <c r="K412" s="544">
        <v>-270</v>
      </c>
    </row>
    <row r="413" spans="1:11" x14ac:dyDescent="0.3">
      <c r="A413" s="543">
        <v>46237</v>
      </c>
      <c r="B413" s="544"/>
      <c r="C413" s="545"/>
      <c r="D413" s="545"/>
      <c r="E413" s="544"/>
      <c r="F413" s="544"/>
      <c r="G413" s="544"/>
      <c r="H413" s="544"/>
      <c r="I413" s="544">
        <v>0</v>
      </c>
      <c r="J413" s="544">
        <v>0</v>
      </c>
      <c r="K413" s="544">
        <v>-270</v>
      </c>
    </row>
    <row r="414" spans="1:11" x14ac:dyDescent="0.3">
      <c r="A414" s="543">
        <v>46237</v>
      </c>
      <c r="B414" s="544"/>
      <c r="C414" s="545"/>
      <c r="D414" s="545"/>
      <c r="E414" s="544"/>
      <c r="F414" s="544"/>
      <c r="G414" s="544"/>
      <c r="H414" s="544"/>
      <c r="I414" s="544">
        <v>0</v>
      </c>
      <c r="J414" s="544">
        <v>0</v>
      </c>
      <c r="K414" s="544">
        <v>-270</v>
      </c>
    </row>
    <row r="415" spans="1:11" x14ac:dyDescent="0.3">
      <c r="A415" s="543">
        <v>46237</v>
      </c>
      <c r="B415" s="544"/>
      <c r="C415" s="545"/>
      <c r="D415" s="545"/>
      <c r="E415" s="544"/>
      <c r="F415" s="544"/>
      <c r="G415" s="544"/>
      <c r="H415" s="544"/>
      <c r="I415" s="544">
        <v>0</v>
      </c>
      <c r="J415" s="544">
        <v>0</v>
      </c>
      <c r="K415" s="544">
        <v>-270</v>
      </c>
    </row>
    <row r="416" spans="1:11" x14ac:dyDescent="0.3">
      <c r="A416" s="239">
        <v>46238</v>
      </c>
      <c r="B416" s="240" t="s">
        <v>10</v>
      </c>
      <c r="C416" s="241" t="s">
        <v>115</v>
      </c>
      <c r="D416" s="241" t="s">
        <v>116</v>
      </c>
      <c r="E416" s="240">
        <v>2.29</v>
      </c>
      <c r="F416" s="240">
        <v>-8.0000000000000071</v>
      </c>
      <c r="G416" s="240">
        <v>-8.0000000000000071</v>
      </c>
      <c r="H416" s="240">
        <v>-0.32000000000000028</v>
      </c>
      <c r="I416" s="240">
        <v>-0.49999999999998934</v>
      </c>
      <c r="J416" s="240">
        <v>-0.74999999999998401</v>
      </c>
      <c r="K416" s="240">
        <v>-0.74999999999998401</v>
      </c>
    </row>
    <row r="417" spans="1:11" x14ac:dyDescent="0.3">
      <c r="A417" s="239">
        <v>46238</v>
      </c>
      <c r="B417" s="240" t="s">
        <v>11</v>
      </c>
      <c r="C417" s="241" t="s">
        <v>116</v>
      </c>
      <c r="D417" s="241" t="s">
        <v>117</v>
      </c>
      <c r="E417" s="240">
        <v>2.3424999999999998</v>
      </c>
      <c r="F417" s="240">
        <v>5.2499999999999769</v>
      </c>
      <c r="G417" s="240">
        <v>-2.7500000000000302</v>
      </c>
      <c r="H417" s="240">
        <v>-0.11000000000000121</v>
      </c>
      <c r="I417" s="240">
        <v>-2.0000000000000018</v>
      </c>
      <c r="J417" s="240">
        <v>-1.5000000000000124</v>
      </c>
      <c r="K417" s="240">
        <v>-1.7500000000000071</v>
      </c>
    </row>
    <row r="418" spans="1:11" x14ac:dyDescent="0.3">
      <c r="A418" s="239">
        <v>46238</v>
      </c>
      <c r="B418" s="240" t="s">
        <v>13</v>
      </c>
      <c r="C418" s="241" t="s">
        <v>117</v>
      </c>
      <c r="D418" s="241">
        <v>46415</v>
      </c>
      <c r="E418" s="240">
        <v>2.4249999999999998</v>
      </c>
      <c r="F418" s="240">
        <v>8.2500000000000018</v>
      </c>
      <c r="G418" s="240">
        <v>5.4999999999999716</v>
      </c>
      <c r="H418" s="240">
        <v>0.21999999999999886</v>
      </c>
      <c r="I418" s="240">
        <v>-4.2499999999999982</v>
      </c>
      <c r="J418" s="240">
        <v>-3.2500000000000195</v>
      </c>
      <c r="K418" s="240">
        <v>-0.50000000000003375</v>
      </c>
    </row>
    <row r="419" spans="1:11" x14ac:dyDescent="0.3">
      <c r="A419" s="239">
        <v>46238</v>
      </c>
      <c r="B419" s="240" t="s">
        <v>28</v>
      </c>
      <c r="C419" s="556" t="s">
        <v>204</v>
      </c>
      <c r="D419" s="556" t="s">
        <v>205</v>
      </c>
      <c r="E419" s="240">
        <v>2.5225</v>
      </c>
      <c r="F419" s="240">
        <v>9.7500000000000142</v>
      </c>
      <c r="G419" s="240">
        <v>15.249999999999986</v>
      </c>
      <c r="H419" s="240">
        <v>0.60999999999999943</v>
      </c>
      <c r="I419" s="240">
        <v>-5.500000000000016</v>
      </c>
      <c r="J419" s="240">
        <v>-3.5000000000000142</v>
      </c>
      <c r="K419" s="240">
        <v>1.2500000000000178</v>
      </c>
    </row>
    <row r="420" spans="1:11" x14ac:dyDescent="0.3">
      <c r="A420" s="239">
        <v>46238</v>
      </c>
      <c r="B420" s="240" t="s">
        <v>15</v>
      </c>
      <c r="C420" s="556" t="s">
        <v>205</v>
      </c>
      <c r="D420" s="556" t="s">
        <v>127</v>
      </c>
      <c r="E420" s="240">
        <v>2.6175000000000002</v>
      </c>
      <c r="F420" s="240">
        <v>9.5000000000000195</v>
      </c>
      <c r="G420" s="240">
        <v>24.750000000000007</v>
      </c>
      <c r="H420" s="240">
        <v>0.99000000000000032</v>
      </c>
      <c r="I420" s="240">
        <v>-7.2499999999999787</v>
      </c>
      <c r="J420" s="240">
        <v>-4.2499999999999982</v>
      </c>
      <c r="K420" s="240">
        <v>3.7500000000000089</v>
      </c>
    </row>
    <row r="421" spans="1:11" x14ac:dyDescent="0.3">
      <c r="A421" s="239">
        <v>46238</v>
      </c>
      <c r="B421" s="240" t="s">
        <v>16</v>
      </c>
      <c r="C421" s="556" t="s">
        <v>127</v>
      </c>
      <c r="D421" s="556" t="s">
        <v>206</v>
      </c>
      <c r="E421" s="240">
        <v>2.7050000000000001</v>
      </c>
      <c r="F421" s="240">
        <v>8.7499999999999911</v>
      </c>
      <c r="G421" s="240">
        <v>33.5</v>
      </c>
      <c r="H421" s="240">
        <v>1.34</v>
      </c>
      <c r="I421" s="240">
        <v>-8.7499999999999911</v>
      </c>
      <c r="J421" s="240">
        <v>-4.9999999999999822</v>
      </c>
      <c r="K421" s="240">
        <v>5.2500000000000213</v>
      </c>
    </row>
    <row r="422" spans="1:11" x14ac:dyDescent="0.3">
      <c r="A422" s="239">
        <v>46238</v>
      </c>
      <c r="B422" s="240" t="s">
        <v>28</v>
      </c>
      <c r="C422" s="556" t="s">
        <v>206</v>
      </c>
      <c r="D422" s="556" t="s">
        <v>207</v>
      </c>
      <c r="E422" s="240">
        <v>2.7925</v>
      </c>
      <c r="F422" s="240"/>
      <c r="G422" s="240"/>
      <c r="H422" s="240"/>
      <c r="I422" s="240">
        <v>0</v>
      </c>
      <c r="J422" s="240">
        <v>0</v>
      </c>
      <c r="K422" s="240">
        <v>-270.5</v>
      </c>
    </row>
    <row r="423" spans="1:11" x14ac:dyDescent="0.3">
      <c r="A423" s="239">
        <v>46238</v>
      </c>
      <c r="B423" s="240" t="s">
        <v>28</v>
      </c>
      <c r="C423" s="241"/>
      <c r="D423" s="241"/>
      <c r="E423" s="240"/>
      <c r="F423" s="240"/>
      <c r="G423" s="240"/>
      <c r="H423" s="240"/>
      <c r="I423" s="240">
        <v>0</v>
      </c>
      <c r="J423" s="240">
        <v>0</v>
      </c>
      <c r="K423" s="240">
        <v>-270.5</v>
      </c>
    </row>
    <row r="424" spans="1:11" x14ac:dyDescent="0.3">
      <c r="A424" s="239">
        <v>46238</v>
      </c>
      <c r="B424" s="240"/>
      <c r="C424" s="241"/>
      <c r="D424" s="241"/>
      <c r="E424" s="240"/>
      <c r="F424" s="240"/>
      <c r="G424" s="240"/>
      <c r="H424" s="240"/>
      <c r="I424" s="240">
        <v>0</v>
      </c>
      <c r="J424" s="240">
        <v>0</v>
      </c>
      <c r="K424" s="240">
        <v>-270.5</v>
      </c>
    </row>
    <row r="425" spans="1:11" x14ac:dyDescent="0.3">
      <c r="A425" s="239">
        <v>46238</v>
      </c>
      <c r="B425" s="240"/>
      <c r="C425" s="241"/>
      <c r="D425" s="241"/>
      <c r="E425" s="240"/>
      <c r="F425" s="240"/>
      <c r="G425" s="240"/>
      <c r="H425" s="240"/>
      <c r="I425" s="240">
        <v>0</v>
      </c>
      <c r="J425" s="240">
        <v>0</v>
      </c>
      <c r="K425" s="240">
        <v>-270.5</v>
      </c>
    </row>
    <row r="426" spans="1:11" x14ac:dyDescent="0.3">
      <c r="A426" s="239">
        <v>46238</v>
      </c>
      <c r="B426" s="240"/>
      <c r="C426" s="241"/>
      <c r="D426" s="241"/>
      <c r="E426" s="240"/>
      <c r="F426" s="240"/>
      <c r="G426" s="240"/>
      <c r="H426" s="240"/>
      <c r="I426" s="240">
        <v>0</v>
      </c>
      <c r="J426" s="240">
        <v>0</v>
      </c>
      <c r="K426" s="240">
        <v>-270.5</v>
      </c>
    </row>
    <row r="427" spans="1:11" x14ac:dyDescent="0.3">
      <c r="A427" s="239">
        <v>46238</v>
      </c>
      <c r="B427" s="240"/>
      <c r="C427" s="241"/>
      <c r="D427" s="241"/>
      <c r="E427" s="240"/>
      <c r="F427" s="240"/>
      <c r="G427" s="240"/>
      <c r="H427" s="240"/>
      <c r="I427" s="240">
        <v>0</v>
      </c>
      <c r="J427" s="240">
        <v>0</v>
      </c>
      <c r="K427" s="240">
        <v>-270.5</v>
      </c>
    </row>
    <row r="428" spans="1:11" x14ac:dyDescent="0.3">
      <c r="A428" s="554">
        <v>46239</v>
      </c>
      <c r="B428" s="555" t="s">
        <v>10</v>
      </c>
      <c r="C428" s="556" t="s">
        <v>115</v>
      </c>
      <c r="D428" s="556" t="s">
        <v>116</v>
      </c>
      <c r="E428" s="555">
        <v>2.2925</v>
      </c>
      <c r="F428" s="555">
        <v>-3.7500000000000089</v>
      </c>
      <c r="G428" s="555">
        <v>-3.7500000000000089</v>
      </c>
      <c r="H428" s="555">
        <v>-0.15000000000000036</v>
      </c>
      <c r="I428" s="555">
        <v>0.24999999999999467</v>
      </c>
      <c r="J428" s="555">
        <v>-1.0000000000000231</v>
      </c>
      <c r="K428" s="555">
        <v>0</v>
      </c>
    </row>
    <row r="429" spans="1:11" x14ac:dyDescent="0.3">
      <c r="A429" s="554">
        <v>46239</v>
      </c>
      <c r="B429" s="555" t="s">
        <v>11</v>
      </c>
      <c r="C429" s="556" t="s">
        <v>116</v>
      </c>
      <c r="D429" s="556" t="s">
        <v>117</v>
      </c>
      <c r="E429" s="555">
        <v>2.3424999999999998</v>
      </c>
      <c r="F429" s="555">
        <v>4.9999999999999822</v>
      </c>
      <c r="G429" s="555">
        <v>1.2499999999999734</v>
      </c>
      <c r="H429" s="555">
        <v>4.9999999999998934E-2</v>
      </c>
      <c r="I429" s="555">
        <v>0</v>
      </c>
      <c r="J429" s="555">
        <v>-3.7500000000000089</v>
      </c>
      <c r="K429" s="555">
        <v>-0.25000000000003908</v>
      </c>
    </row>
    <row r="430" spans="1:11" x14ac:dyDescent="0.3">
      <c r="A430" s="554">
        <v>46239</v>
      </c>
      <c r="B430" s="555" t="s">
        <v>13</v>
      </c>
      <c r="C430" s="556" t="s">
        <v>117</v>
      </c>
      <c r="D430" s="556" t="s">
        <v>204</v>
      </c>
      <c r="E430" s="555">
        <v>2.4275000000000002</v>
      </c>
      <c r="F430" s="555">
        <v>8.5000000000000409</v>
      </c>
      <c r="G430" s="555">
        <v>9.7500000000000142</v>
      </c>
      <c r="H430" s="555">
        <v>0.39000000000000057</v>
      </c>
      <c r="I430" s="555">
        <v>0.25000000000003908</v>
      </c>
      <c r="J430" s="555">
        <v>-5.9999999999999609</v>
      </c>
      <c r="K430" s="555">
        <v>1.2500000000000178</v>
      </c>
    </row>
    <row r="431" spans="1:11" x14ac:dyDescent="0.3">
      <c r="A431" s="554">
        <v>46239</v>
      </c>
      <c r="B431" s="555" t="s">
        <v>28</v>
      </c>
      <c r="C431" s="556" t="s">
        <v>204</v>
      </c>
      <c r="D431" s="556" t="s">
        <v>205</v>
      </c>
      <c r="E431" s="555">
        <v>2.5274999999999999</v>
      </c>
      <c r="F431" s="555">
        <v>9.9999999999999645</v>
      </c>
      <c r="G431" s="555">
        <v>19.749999999999979</v>
      </c>
      <c r="H431" s="555">
        <v>0.78999999999999915</v>
      </c>
      <c r="I431" s="555" t="s">
        <v>41</v>
      </c>
      <c r="J431" s="555" t="s">
        <v>41</v>
      </c>
      <c r="K431" s="555" t="s">
        <v>41</v>
      </c>
    </row>
    <row r="432" spans="1:11" x14ac:dyDescent="0.3">
      <c r="A432" s="554">
        <v>46239</v>
      </c>
      <c r="B432" s="555" t="s">
        <v>15</v>
      </c>
      <c r="C432" s="556" t="s">
        <v>205</v>
      </c>
      <c r="D432" s="556" t="s">
        <v>127</v>
      </c>
      <c r="E432" s="555">
        <v>2.6274999999999999</v>
      </c>
      <c r="F432" s="555">
        <v>10.000000000000009</v>
      </c>
      <c r="G432" s="555">
        <v>29.749999999999986</v>
      </c>
      <c r="H432" s="555">
        <v>1.1899999999999995</v>
      </c>
      <c r="I432" s="555" t="s">
        <v>41</v>
      </c>
      <c r="J432" s="555" t="s">
        <v>41</v>
      </c>
      <c r="K432" s="555" t="s">
        <v>41</v>
      </c>
    </row>
    <row r="433" spans="1:11" x14ac:dyDescent="0.3">
      <c r="A433" s="554">
        <v>46239</v>
      </c>
      <c r="B433" s="555" t="s">
        <v>16</v>
      </c>
      <c r="C433" s="556" t="s">
        <v>127</v>
      </c>
      <c r="D433" s="556" t="s">
        <v>206</v>
      </c>
      <c r="E433" s="555">
        <v>2.7174999999999998</v>
      </c>
      <c r="F433" s="555">
        <v>8.9999999999999858</v>
      </c>
      <c r="G433" s="555">
        <v>38.749999999999972</v>
      </c>
      <c r="H433" s="555">
        <v>1.5499999999999989</v>
      </c>
      <c r="I433" s="555" t="s">
        <v>41</v>
      </c>
      <c r="J433" s="555" t="s">
        <v>41</v>
      </c>
      <c r="K433" s="555" t="s">
        <v>41</v>
      </c>
    </row>
    <row r="434" spans="1:11" x14ac:dyDescent="0.3">
      <c r="A434" s="554">
        <v>46239</v>
      </c>
      <c r="B434" s="555" t="s">
        <v>18</v>
      </c>
      <c r="C434" s="556" t="s">
        <v>206</v>
      </c>
      <c r="D434" s="556" t="s">
        <v>207</v>
      </c>
      <c r="E434" s="555">
        <v>2.7925</v>
      </c>
      <c r="F434" s="555">
        <v>7.5000000000000178</v>
      </c>
      <c r="G434" s="555">
        <v>46.249999999999993</v>
      </c>
      <c r="H434" s="555">
        <v>1.8499999999999996</v>
      </c>
      <c r="I434" s="555" t="s">
        <v>41</v>
      </c>
      <c r="J434" s="555" t="s">
        <v>41</v>
      </c>
      <c r="K434" s="555" t="s">
        <v>41</v>
      </c>
    </row>
    <row r="435" spans="1:11" x14ac:dyDescent="0.3">
      <c r="A435" s="554">
        <v>46239</v>
      </c>
      <c r="B435" s="555" t="s">
        <v>28</v>
      </c>
      <c r="C435" s="556"/>
      <c r="D435" s="556"/>
      <c r="E435" s="555"/>
      <c r="F435" s="555"/>
      <c r="G435" s="555"/>
      <c r="H435" s="555"/>
      <c r="I435" s="555">
        <v>0</v>
      </c>
      <c r="J435" s="555">
        <v>0</v>
      </c>
      <c r="K435" s="555">
        <v>-270</v>
      </c>
    </row>
    <row r="436" spans="1:11" x14ac:dyDescent="0.3">
      <c r="A436" s="554">
        <v>46239</v>
      </c>
      <c r="B436" s="555"/>
      <c r="C436" s="556"/>
      <c r="D436" s="556"/>
      <c r="E436" s="555"/>
      <c r="F436" s="555"/>
      <c r="G436" s="555"/>
      <c r="H436" s="555"/>
      <c r="I436" s="555">
        <v>0</v>
      </c>
      <c r="J436" s="555">
        <v>0</v>
      </c>
      <c r="K436" s="555">
        <v>-270</v>
      </c>
    </row>
    <row r="437" spans="1:11" x14ac:dyDescent="0.3">
      <c r="A437" s="554">
        <v>46239</v>
      </c>
      <c r="B437" s="555"/>
      <c r="C437" s="556"/>
      <c r="D437" s="556"/>
      <c r="E437" s="555"/>
      <c r="F437" s="555"/>
      <c r="G437" s="555"/>
      <c r="H437" s="555"/>
      <c r="I437" s="555">
        <v>0</v>
      </c>
      <c r="J437" s="555">
        <v>0</v>
      </c>
      <c r="K437" s="555">
        <v>-270</v>
      </c>
    </row>
    <row r="438" spans="1:11" x14ac:dyDescent="0.3">
      <c r="A438" s="554">
        <v>46239</v>
      </c>
      <c r="B438" s="555"/>
      <c r="C438" s="556"/>
      <c r="D438" s="556"/>
      <c r="E438" s="555"/>
      <c r="F438" s="555"/>
      <c r="G438" s="555"/>
      <c r="H438" s="555"/>
      <c r="I438" s="555">
        <v>0</v>
      </c>
      <c r="J438" s="555">
        <v>0</v>
      </c>
      <c r="K438" s="555">
        <v>-270</v>
      </c>
    </row>
    <row r="439" spans="1:11" x14ac:dyDescent="0.3">
      <c r="A439" s="554">
        <v>46239</v>
      </c>
      <c r="B439" s="555"/>
      <c r="C439" s="556"/>
      <c r="D439" s="556"/>
      <c r="E439" s="555"/>
      <c r="F439" s="555"/>
      <c r="G439" s="555"/>
      <c r="H439" s="555"/>
      <c r="I439" s="555">
        <v>0</v>
      </c>
      <c r="J439" s="555">
        <v>0</v>
      </c>
      <c r="K439" s="555">
        <v>-270</v>
      </c>
    </row>
    <row r="440" spans="1:11" x14ac:dyDescent="0.3">
      <c r="A440" s="554">
        <v>46239</v>
      </c>
      <c r="B440" s="555" t="s">
        <v>10</v>
      </c>
      <c r="C440" s="556" t="s">
        <v>115</v>
      </c>
      <c r="D440" s="556" t="s">
        <v>116</v>
      </c>
      <c r="E440" s="555">
        <v>2.2925</v>
      </c>
      <c r="F440" s="555">
        <v>-3.7500000000000089</v>
      </c>
      <c r="G440" s="555">
        <v>-3.7500000000000089</v>
      </c>
      <c r="H440" s="555">
        <v>-0.15000000000000036</v>
      </c>
      <c r="I440" s="555">
        <v>0.24999999999999467</v>
      </c>
      <c r="J440" s="555">
        <v>-1.0000000000000231</v>
      </c>
      <c r="K440" s="555">
        <v>0</v>
      </c>
    </row>
    <row r="441" spans="1:11" x14ac:dyDescent="0.3">
      <c r="A441" s="554">
        <v>46239</v>
      </c>
      <c r="B441" s="555" t="s">
        <v>11</v>
      </c>
      <c r="C441" s="556" t="s">
        <v>116</v>
      </c>
      <c r="D441" s="556" t="s">
        <v>117</v>
      </c>
      <c r="E441" s="555">
        <v>2.3424999999999998</v>
      </c>
      <c r="F441" s="555">
        <v>4.9999999999999822</v>
      </c>
      <c r="G441" s="555">
        <v>1.2499999999999734</v>
      </c>
      <c r="H441" s="555">
        <v>4.9999999999998934E-2</v>
      </c>
      <c r="I441" s="555">
        <v>0</v>
      </c>
      <c r="J441" s="555">
        <v>-3.7500000000000089</v>
      </c>
      <c r="K441" s="555">
        <v>-0.25000000000003908</v>
      </c>
    </row>
    <row r="442" spans="1:11" x14ac:dyDescent="0.3">
      <c r="A442" s="554">
        <v>46239</v>
      </c>
      <c r="B442" s="555" t="s">
        <v>13</v>
      </c>
      <c r="C442" s="556" t="s">
        <v>117</v>
      </c>
      <c r="D442" s="556" t="s">
        <v>204</v>
      </c>
      <c r="E442" s="555">
        <v>2.4275000000000002</v>
      </c>
      <c r="F442" s="555">
        <v>8.5000000000000409</v>
      </c>
      <c r="G442" s="555">
        <v>9.7500000000000142</v>
      </c>
      <c r="H442" s="555">
        <v>0.39000000000000057</v>
      </c>
      <c r="I442" s="555">
        <v>0.25000000000003908</v>
      </c>
      <c r="J442" s="555">
        <v>-5.9999999999999609</v>
      </c>
      <c r="K442" s="555">
        <v>1.2500000000000178</v>
      </c>
    </row>
    <row r="443" spans="1:11" x14ac:dyDescent="0.3">
      <c r="A443" s="554">
        <v>46239</v>
      </c>
      <c r="B443" s="555" t="s">
        <v>28</v>
      </c>
      <c r="C443" s="556" t="s">
        <v>204</v>
      </c>
      <c r="D443" s="556" t="s">
        <v>205</v>
      </c>
      <c r="E443" s="555">
        <v>2.5299999999999998</v>
      </c>
      <c r="F443" s="555">
        <v>10.249999999999959</v>
      </c>
      <c r="G443" s="555">
        <v>19.999999999999972</v>
      </c>
      <c r="H443" s="555">
        <v>0.79999999999999882</v>
      </c>
      <c r="I443" s="555">
        <v>0.74999999999998401</v>
      </c>
      <c r="J443" s="555" t="s">
        <v>41</v>
      </c>
      <c r="K443" s="555" t="s">
        <v>41</v>
      </c>
    </row>
    <row r="444" spans="1:11" x14ac:dyDescent="0.3">
      <c r="A444" s="554">
        <v>46239</v>
      </c>
      <c r="B444" s="555" t="s">
        <v>15</v>
      </c>
      <c r="C444" s="556" t="s">
        <v>205</v>
      </c>
      <c r="D444" s="556" t="s">
        <v>127</v>
      </c>
      <c r="E444" s="555">
        <v>2.63</v>
      </c>
      <c r="F444" s="555">
        <v>10.000000000000009</v>
      </c>
      <c r="G444" s="555">
        <v>29.999999999999982</v>
      </c>
      <c r="H444" s="555">
        <v>1.1999999999999993</v>
      </c>
      <c r="I444" s="555">
        <v>1.2499999999999734</v>
      </c>
      <c r="J444" s="555" t="s">
        <v>41</v>
      </c>
      <c r="K444" s="555" t="s">
        <v>41</v>
      </c>
    </row>
    <row r="445" spans="1:11" x14ac:dyDescent="0.3">
      <c r="A445" s="554">
        <v>46239</v>
      </c>
      <c r="B445" s="555" t="s">
        <v>16</v>
      </c>
      <c r="C445" s="556" t="s">
        <v>127</v>
      </c>
      <c r="D445" s="556" t="s">
        <v>206</v>
      </c>
      <c r="E445" s="555">
        <v>2.72</v>
      </c>
      <c r="F445" s="555">
        <v>9.0000000000000302</v>
      </c>
      <c r="G445" s="555">
        <v>39.000000000000014</v>
      </c>
      <c r="H445" s="555">
        <v>1.5600000000000005</v>
      </c>
      <c r="I445" s="555">
        <v>1.5000000000000124</v>
      </c>
      <c r="J445" s="555" t="s">
        <v>41</v>
      </c>
      <c r="K445" s="555" t="s">
        <v>41</v>
      </c>
    </row>
    <row r="446" spans="1:11" x14ac:dyDescent="0.3">
      <c r="A446" s="554">
        <v>46239</v>
      </c>
      <c r="B446" s="555" t="s">
        <v>18</v>
      </c>
      <c r="C446" s="556" t="s">
        <v>206</v>
      </c>
      <c r="D446" s="556" t="s">
        <v>207</v>
      </c>
      <c r="E446" s="555">
        <v>2.7949999999999999</v>
      </c>
      <c r="F446" s="555">
        <v>7.4999999999999734</v>
      </c>
      <c r="G446" s="555">
        <v>46.499999999999986</v>
      </c>
      <c r="H446" s="555">
        <v>1.8599999999999994</v>
      </c>
      <c r="I446" s="555">
        <v>0.24999999999999467</v>
      </c>
      <c r="J446" s="555" t="s">
        <v>41</v>
      </c>
      <c r="K446" s="555" t="s">
        <v>41</v>
      </c>
    </row>
    <row r="447" spans="1:11" x14ac:dyDescent="0.3">
      <c r="A447" s="554">
        <v>46239</v>
      </c>
      <c r="B447" s="555" t="s">
        <v>28</v>
      </c>
      <c r="C447" s="556"/>
      <c r="D447" s="556"/>
      <c r="E447" s="555"/>
      <c r="F447" s="555"/>
      <c r="G447" s="555"/>
      <c r="H447" s="555"/>
      <c r="I447" s="555">
        <v>0</v>
      </c>
      <c r="J447" s="555">
        <v>0</v>
      </c>
      <c r="K447" s="555">
        <v>-270</v>
      </c>
    </row>
    <row r="448" spans="1:11" x14ac:dyDescent="0.3">
      <c r="A448" s="554">
        <v>46239</v>
      </c>
      <c r="B448" s="555"/>
      <c r="C448" s="556"/>
      <c r="D448" s="556"/>
      <c r="E448" s="555"/>
      <c r="F448" s="555"/>
      <c r="G448" s="555"/>
      <c r="H448" s="555"/>
      <c r="I448" s="555">
        <v>0</v>
      </c>
      <c r="J448" s="555">
        <v>0</v>
      </c>
      <c r="K448" s="555">
        <v>-270</v>
      </c>
    </row>
    <row r="449" spans="1:11" x14ac:dyDescent="0.3">
      <c r="A449" s="554">
        <v>46239</v>
      </c>
      <c r="B449" s="555"/>
      <c r="C449" s="556"/>
      <c r="D449" s="556"/>
      <c r="E449" s="555"/>
      <c r="F449" s="555"/>
      <c r="G449" s="555"/>
      <c r="H449" s="555"/>
      <c r="I449" s="555">
        <v>0</v>
      </c>
      <c r="J449" s="555">
        <v>0</v>
      </c>
      <c r="K449" s="555">
        <v>-270</v>
      </c>
    </row>
    <row r="450" spans="1:11" x14ac:dyDescent="0.3">
      <c r="A450" s="554">
        <v>46239</v>
      </c>
      <c r="B450" s="555"/>
      <c r="C450" s="556"/>
      <c r="D450" s="556"/>
      <c r="E450" s="555"/>
      <c r="F450" s="555"/>
      <c r="G450" s="555"/>
      <c r="H450" s="555"/>
      <c r="I450" s="555">
        <v>0</v>
      </c>
      <c r="J450" s="555">
        <v>0</v>
      </c>
      <c r="K450" s="555">
        <v>-270</v>
      </c>
    </row>
    <row r="451" spans="1:11" x14ac:dyDescent="0.3">
      <c r="A451" s="554">
        <v>46239</v>
      </c>
      <c r="B451" s="555"/>
      <c r="C451" s="556"/>
      <c r="D451" s="556"/>
      <c r="E451" s="555"/>
      <c r="F451" s="555"/>
      <c r="G451" s="555"/>
      <c r="H451" s="555"/>
      <c r="I451" s="555">
        <v>0</v>
      </c>
      <c r="J451" s="555">
        <v>0</v>
      </c>
      <c r="K451" s="555">
        <v>-270</v>
      </c>
    </row>
    <row r="452" spans="1:11" x14ac:dyDescent="0.3">
      <c r="A452" s="554">
        <v>46240</v>
      </c>
      <c r="B452" s="555" t="s">
        <v>10</v>
      </c>
      <c r="C452" s="556" t="s">
        <v>115</v>
      </c>
      <c r="D452" s="556" t="s">
        <v>116</v>
      </c>
      <c r="E452" s="555">
        <v>2.2949999999999999</v>
      </c>
      <c r="F452" s="555">
        <v>-1.5000000000000124</v>
      </c>
      <c r="G452" s="555">
        <v>-1.5000000000000124</v>
      </c>
      <c r="H452" s="555">
        <v>-6.0000000000000497E-2</v>
      </c>
      <c r="I452" s="555">
        <v>0.24999999999999467</v>
      </c>
      <c r="J452" s="555">
        <v>0.49999999999998934</v>
      </c>
      <c r="K452" s="555">
        <v>0.74999999999998401</v>
      </c>
    </row>
    <row r="453" spans="1:11" x14ac:dyDescent="0.3">
      <c r="A453" s="554">
        <v>46240</v>
      </c>
      <c r="B453" s="555" t="s">
        <v>11</v>
      </c>
      <c r="C453" s="556" t="s">
        <v>116</v>
      </c>
      <c r="D453" s="556" t="s">
        <v>117</v>
      </c>
      <c r="E453" s="555">
        <v>2.36</v>
      </c>
      <c r="F453" s="555">
        <v>6.4999999999999947</v>
      </c>
      <c r="G453" s="555">
        <v>4.9999999999999822</v>
      </c>
      <c r="H453" s="555">
        <v>0.19999999999999929</v>
      </c>
      <c r="I453" s="555">
        <v>1.7500000000000071</v>
      </c>
      <c r="J453" s="555">
        <v>0.49999999999998934</v>
      </c>
      <c r="K453" s="555">
        <v>2.7499999999999858</v>
      </c>
    </row>
    <row r="454" spans="1:11" x14ac:dyDescent="0.3">
      <c r="A454" s="554">
        <v>46240</v>
      </c>
      <c r="B454" s="555" t="s">
        <v>13</v>
      </c>
      <c r="C454" s="556" t="s">
        <v>117</v>
      </c>
      <c r="D454" s="556" t="s">
        <v>204</v>
      </c>
      <c r="E454" s="555">
        <v>2.4550000000000001</v>
      </c>
      <c r="F454" s="555">
        <v>9.5000000000000195</v>
      </c>
      <c r="G454" s="555">
        <v>14.500000000000002</v>
      </c>
      <c r="H454" s="555">
        <v>0.58000000000000007</v>
      </c>
      <c r="I454" s="555">
        <v>2.7499999999999858</v>
      </c>
      <c r="J454" s="555">
        <v>1.2500000000000178</v>
      </c>
      <c r="K454" s="555">
        <v>5.2500000000000213</v>
      </c>
    </row>
    <row r="455" spans="1:11" x14ac:dyDescent="0.3">
      <c r="A455" s="554">
        <v>46240</v>
      </c>
      <c r="B455" s="555" t="s">
        <v>28</v>
      </c>
      <c r="C455" s="556" t="s">
        <v>204</v>
      </c>
      <c r="D455" s="556" t="s">
        <v>205</v>
      </c>
      <c r="E455" s="555">
        <v>2.5649999999999999</v>
      </c>
      <c r="F455" s="555">
        <v>10.999999999999988</v>
      </c>
      <c r="G455" s="555">
        <v>25.499999999999989</v>
      </c>
      <c r="H455" s="555">
        <v>1.0199999999999996</v>
      </c>
      <c r="I455" s="555">
        <v>3.7500000000000089</v>
      </c>
      <c r="J455" s="555" t="s">
        <v>41</v>
      </c>
      <c r="K455" s="555" t="s">
        <v>41</v>
      </c>
    </row>
    <row r="456" spans="1:11" x14ac:dyDescent="0.3">
      <c r="A456" s="554">
        <v>46240</v>
      </c>
      <c r="B456" s="555" t="s">
        <v>15</v>
      </c>
      <c r="C456" s="556" t="s">
        <v>205</v>
      </c>
      <c r="D456" s="556" t="s">
        <v>127</v>
      </c>
      <c r="E456" s="555">
        <v>2.665</v>
      </c>
      <c r="F456" s="555">
        <v>10.000000000000009</v>
      </c>
      <c r="G456" s="555">
        <v>35.5</v>
      </c>
      <c r="H456" s="555">
        <v>1.42</v>
      </c>
      <c r="I456" s="555">
        <v>3.7500000000000089</v>
      </c>
      <c r="J456" s="555" t="s">
        <v>41</v>
      </c>
      <c r="K456" s="555" t="s">
        <v>41</v>
      </c>
    </row>
    <row r="457" spans="1:11" x14ac:dyDescent="0.3">
      <c r="A457" s="554">
        <v>46240</v>
      </c>
      <c r="B457" s="555" t="s">
        <v>16</v>
      </c>
      <c r="C457" s="556" t="s">
        <v>127</v>
      </c>
      <c r="D457" s="556" t="s">
        <v>206</v>
      </c>
      <c r="E457" s="555">
        <v>2.7549999999999999</v>
      </c>
      <c r="F457" s="555">
        <v>8.9999999999999858</v>
      </c>
      <c r="G457" s="555">
        <v>44.499999999999986</v>
      </c>
      <c r="H457" s="555">
        <v>1.7799999999999994</v>
      </c>
      <c r="I457" s="555">
        <v>3.7500000000000089</v>
      </c>
      <c r="J457" s="555" t="s">
        <v>41</v>
      </c>
      <c r="K457" s="555" t="s">
        <v>41</v>
      </c>
    </row>
    <row r="458" spans="1:11" x14ac:dyDescent="0.3">
      <c r="A458" s="554">
        <v>46240</v>
      </c>
      <c r="B458" s="555" t="s">
        <v>18</v>
      </c>
      <c r="C458" s="556" t="s">
        <v>206</v>
      </c>
      <c r="D458" s="556" t="s">
        <v>207</v>
      </c>
      <c r="E458" s="555">
        <v>2.83</v>
      </c>
      <c r="F458" s="555">
        <v>7.5000000000000178</v>
      </c>
      <c r="G458" s="555">
        <v>52</v>
      </c>
      <c r="H458" s="555">
        <v>2.08</v>
      </c>
      <c r="I458" s="555">
        <v>3.7500000000000089</v>
      </c>
      <c r="J458" s="555" t="s">
        <v>41</v>
      </c>
      <c r="K458" s="555" t="s">
        <v>41</v>
      </c>
    </row>
    <row r="459" spans="1:11" x14ac:dyDescent="0.3">
      <c r="A459" s="554">
        <v>46240</v>
      </c>
      <c r="B459" s="555" t="s">
        <v>28</v>
      </c>
      <c r="C459" s="556"/>
      <c r="D459" s="556"/>
      <c r="E459" s="555"/>
      <c r="F459" s="555"/>
      <c r="G459" s="555"/>
      <c r="H459" s="555"/>
      <c r="I459" s="555">
        <v>0</v>
      </c>
      <c r="J459" s="555">
        <v>0</v>
      </c>
      <c r="K459" s="555">
        <v>-268</v>
      </c>
    </row>
    <row r="460" spans="1:11" x14ac:dyDescent="0.3">
      <c r="A460" s="554">
        <v>46240</v>
      </c>
      <c r="B460" s="555"/>
      <c r="C460" s="556"/>
      <c r="D460" s="556"/>
      <c r="E460" s="555"/>
      <c r="F460" s="555"/>
      <c r="G460" s="555"/>
      <c r="H460" s="555"/>
      <c r="I460" s="555">
        <v>0</v>
      </c>
      <c r="J460" s="555">
        <v>0</v>
      </c>
      <c r="K460" s="555">
        <v>-268</v>
      </c>
    </row>
    <row r="461" spans="1:11" x14ac:dyDescent="0.3">
      <c r="A461" s="554">
        <v>46240</v>
      </c>
      <c r="B461" s="555"/>
      <c r="C461" s="556"/>
      <c r="D461" s="556"/>
      <c r="E461" s="555"/>
      <c r="F461" s="555"/>
      <c r="G461" s="555"/>
      <c r="H461" s="555"/>
      <c r="I461" s="555">
        <v>0</v>
      </c>
      <c r="J461" s="555">
        <v>0</v>
      </c>
      <c r="K461" s="555">
        <v>-268</v>
      </c>
    </row>
    <row r="462" spans="1:11" x14ac:dyDescent="0.3">
      <c r="A462" s="554">
        <v>46240</v>
      </c>
      <c r="B462" s="555"/>
      <c r="C462" s="556"/>
      <c r="D462" s="556"/>
      <c r="E462" s="555"/>
      <c r="F462" s="555"/>
      <c r="G462" s="555"/>
      <c r="H462" s="555"/>
      <c r="I462" s="555">
        <v>0</v>
      </c>
      <c r="J462" s="555">
        <v>0</v>
      </c>
      <c r="K462" s="555">
        <v>-268</v>
      </c>
    </row>
    <row r="463" spans="1:11" x14ac:dyDescent="0.3">
      <c r="A463" s="554">
        <v>46240</v>
      </c>
      <c r="B463" s="555"/>
      <c r="C463" s="556"/>
      <c r="D463" s="556"/>
      <c r="E463" s="555"/>
      <c r="F463" s="555"/>
      <c r="G463" s="555"/>
      <c r="H463" s="555"/>
      <c r="I463" s="555">
        <v>0</v>
      </c>
      <c r="J463" s="555">
        <v>0</v>
      </c>
      <c r="K463" s="555">
        <v>-268</v>
      </c>
    </row>
    <row r="464" spans="1:11" x14ac:dyDescent="0.3">
      <c r="A464" s="239">
        <v>46241</v>
      </c>
      <c r="B464" s="240" t="s">
        <v>10</v>
      </c>
      <c r="C464" s="241" t="s">
        <v>115</v>
      </c>
      <c r="D464" s="241" t="s">
        <v>116</v>
      </c>
      <c r="E464" s="240">
        <v>2.2974999999999999</v>
      </c>
      <c r="F464" s="240">
        <v>-0.24999999999999467</v>
      </c>
      <c r="G464" s="240">
        <v>-0.24999999999999467</v>
      </c>
      <c r="H464" s="240">
        <v>-9.9999999999997868E-3</v>
      </c>
      <c r="I464" s="240">
        <v>0.24999999999999467</v>
      </c>
      <c r="J464" s="240">
        <v>0.24999999999999467</v>
      </c>
      <c r="K464" s="240">
        <v>0.99999999999997868</v>
      </c>
    </row>
    <row r="465" spans="1:11" x14ac:dyDescent="0.3">
      <c r="A465" s="239">
        <v>46241</v>
      </c>
      <c r="B465" s="240" t="s">
        <v>11</v>
      </c>
      <c r="C465" s="241" t="s">
        <v>116</v>
      </c>
      <c r="D465" s="241" t="s">
        <v>117</v>
      </c>
      <c r="E465" s="240">
        <v>2.3624999999999998</v>
      </c>
      <c r="F465" s="240">
        <v>6.4999999999999947</v>
      </c>
      <c r="G465" s="240">
        <v>6.25</v>
      </c>
      <c r="H465" s="240">
        <v>0.25</v>
      </c>
      <c r="I465" s="240">
        <v>0.24999999999999467</v>
      </c>
      <c r="J465" s="240">
        <v>-0.25000000000003908</v>
      </c>
      <c r="K465" s="240">
        <v>2.4999999999999911</v>
      </c>
    </row>
    <row r="466" spans="1:11" x14ac:dyDescent="0.3">
      <c r="A466" s="239">
        <v>46241</v>
      </c>
      <c r="B466" s="240" t="s">
        <v>13</v>
      </c>
      <c r="C466" s="241" t="s">
        <v>117</v>
      </c>
      <c r="D466" s="241" t="s">
        <v>204</v>
      </c>
      <c r="E466" s="240">
        <v>2.4700000000000002</v>
      </c>
      <c r="F466" s="240">
        <v>10.750000000000037</v>
      </c>
      <c r="G466" s="240">
        <v>17.000000000000036</v>
      </c>
      <c r="H466" s="240">
        <v>0.68000000000000138</v>
      </c>
      <c r="I466" s="240">
        <v>1.5000000000000124</v>
      </c>
      <c r="J466" s="240">
        <v>0.25000000000003908</v>
      </c>
      <c r="K466" s="240">
        <v>5.2500000000000213</v>
      </c>
    </row>
    <row r="467" spans="1:11" x14ac:dyDescent="0.3">
      <c r="A467" s="239">
        <v>46241</v>
      </c>
      <c r="B467" s="240" t="s">
        <v>28</v>
      </c>
      <c r="C467" s="241" t="s">
        <v>204</v>
      </c>
      <c r="D467" s="241" t="s">
        <v>205</v>
      </c>
      <c r="E467" s="240">
        <v>2.585</v>
      </c>
      <c r="F467" s="240">
        <v>11.499999999999977</v>
      </c>
      <c r="G467" s="240">
        <v>28.500000000000014</v>
      </c>
      <c r="H467" s="240">
        <v>1.1400000000000006</v>
      </c>
      <c r="I467" s="240">
        <v>2.0000000000000018</v>
      </c>
      <c r="J467" s="240" t="s">
        <v>41</v>
      </c>
      <c r="K467" s="240" t="s">
        <v>41</v>
      </c>
    </row>
    <row r="468" spans="1:11" x14ac:dyDescent="0.3">
      <c r="A468" s="239">
        <v>46241</v>
      </c>
      <c r="B468" s="240" t="s">
        <v>15</v>
      </c>
      <c r="C468" s="241" t="s">
        <v>205</v>
      </c>
      <c r="D468" s="241" t="s">
        <v>127</v>
      </c>
      <c r="E468" s="240">
        <v>2.6949999999999998</v>
      </c>
      <c r="F468" s="240">
        <v>10.999999999999988</v>
      </c>
      <c r="G468" s="240">
        <v>39.5</v>
      </c>
      <c r="H468" s="240">
        <v>1.58</v>
      </c>
      <c r="I468" s="240">
        <v>2.9999999999999805</v>
      </c>
      <c r="J468" s="240" t="s">
        <v>41</v>
      </c>
      <c r="K468" s="240" t="s">
        <v>41</v>
      </c>
    </row>
    <row r="469" spans="1:11" x14ac:dyDescent="0.3">
      <c r="A469" s="239">
        <v>46241</v>
      </c>
      <c r="B469" s="240" t="s">
        <v>16</v>
      </c>
      <c r="C469" s="241" t="s">
        <v>127</v>
      </c>
      <c r="D469" s="241" t="s">
        <v>206</v>
      </c>
      <c r="E469" s="240">
        <v>2.8</v>
      </c>
      <c r="F469" s="240">
        <v>10.499999999999998</v>
      </c>
      <c r="G469" s="240">
        <v>50</v>
      </c>
      <c r="H469" s="240">
        <v>2</v>
      </c>
      <c r="I469" s="240">
        <v>4.4999999999999929</v>
      </c>
      <c r="J469" s="240" t="s">
        <v>41</v>
      </c>
      <c r="K469" s="240" t="s">
        <v>41</v>
      </c>
    </row>
    <row r="470" spans="1:11" x14ac:dyDescent="0.3">
      <c r="A470" s="239">
        <v>46241</v>
      </c>
      <c r="B470" s="240" t="s">
        <v>18</v>
      </c>
      <c r="C470" s="241" t="s">
        <v>206</v>
      </c>
      <c r="D470" s="241" t="s">
        <v>207</v>
      </c>
      <c r="E470" s="240">
        <v>2.8824999999999998</v>
      </c>
      <c r="F470" s="240">
        <v>8.2500000000000018</v>
      </c>
      <c r="G470" s="240">
        <v>58.25</v>
      </c>
      <c r="H470" s="240">
        <v>2.33</v>
      </c>
      <c r="I470" s="240">
        <v>5.2499999999999769</v>
      </c>
      <c r="J470" s="240" t="s">
        <v>41</v>
      </c>
      <c r="K470" s="240" t="s">
        <v>41</v>
      </c>
    </row>
    <row r="471" spans="1:11" x14ac:dyDescent="0.3">
      <c r="A471" s="239">
        <v>46241</v>
      </c>
      <c r="B471" s="240" t="s">
        <v>28</v>
      </c>
      <c r="C471" s="241"/>
      <c r="D471" s="241"/>
      <c r="E471" s="240"/>
      <c r="F471" s="240"/>
      <c r="G471" s="240"/>
      <c r="H471" s="240"/>
      <c r="I471" s="240">
        <v>0</v>
      </c>
      <c r="J471" s="240">
        <v>0</v>
      </c>
      <c r="K471" s="240">
        <v>-272</v>
      </c>
    </row>
    <row r="472" spans="1:11" x14ac:dyDescent="0.3">
      <c r="A472" s="239">
        <v>46241</v>
      </c>
      <c r="B472" s="240"/>
      <c r="C472" s="241"/>
      <c r="D472" s="241"/>
      <c r="E472" s="240"/>
      <c r="F472" s="240"/>
      <c r="G472" s="240"/>
      <c r="H472" s="240"/>
      <c r="I472" s="240">
        <v>0</v>
      </c>
      <c r="J472" s="240">
        <v>0</v>
      </c>
      <c r="K472" s="240">
        <v>-272</v>
      </c>
    </row>
    <row r="473" spans="1:11" x14ac:dyDescent="0.3">
      <c r="A473" s="239">
        <v>46241</v>
      </c>
      <c r="B473" s="240"/>
      <c r="C473" s="241"/>
      <c r="D473" s="241"/>
      <c r="E473" s="240"/>
      <c r="F473" s="240"/>
      <c r="G473" s="240"/>
      <c r="H473" s="240"/>
      <c r="I473" s="240">
        <v>0</v>
      </c>
      <c r="J473" s="240">
        <v>0</v>
      </c>
      <c r="K473" s="240">
        <v>-272</v>
      </c>
    </row>
    <row r="474" spans="1:11" x14ac:dyDescent="0.3">
      <c r="A474" s="239">
        <v>46241</v>
      </c>
      <c r="B474" s="240"/>
      <c r="C474" s="241"/>
      <c r="D474" s="241"/>
      <c r="E474" s="240"/>
      <c r="F474" s="240"/>
      <c r="G474" s="240"/>
      <c r="H474" s="240"/>
      <c r="I474" s="240">
        <v>0</v>
      </c>
      <c r="J474" s="240">
        <v>0</v>
      </c>
      <c r="K474" s="240">
        <v>-272</v>
      </c>
    </row>
    <row r="475" spans="1:11" x14ac:dyDescent="0.3">
      <c r="A475" s="239">
        <v>46241</v>
      </c>
      <c r="B475" s="240"/>
      <c r="C475" s="241"/>
      <c r="D475" s="241"/>
      <c r="E475" s="240"/>
      <c r="F475" s="240"/>
      <c r="G475" s="240"/>
      <c r="H475" s="240"/>
      <c r="I475" s="240">
        <v>0</v>
      </c>
      <c r="J475" s="240">
        <v>0</v>
      </c>
      <c r="K475" s="240">
        <v>-272</v>
      </c>
    </row>
    <row r="476" spans="1:11" x14ac:dyDescent="0.3">
      <c r="A476" s="239">
        <v>46244</v>
      </c>
      <c r="B476" s="240" t="s">
        <v>10</v>
      </c>
      <c r="C476" s="241" t="s">
        <v>115</v>
      </c>
      <c r="D476" s="241" t="s">
        <v>116</v>
      </c>
      <c r="E476" s="240">
        <v>2.2925</v>
      </c>
      <c r="F476" s="240">
        <v>-0.74999999999998401</v>
      </c>
      <c r="G476" s="240">
        <v>-0.74999999999998401</v>
      </c>
      <c r="H476" s="240">
        <v>-2.9999999999999361E-2</v>
      </c>
      <c r="I476" s="240">
        <v>-0.49999999999998934</v>
      </c>
      <c r="J476" s="240">
        <v>-0.24999999999999467</v>
      </c>
      <c r="K476" s="240">
        <v>-1.5000000000000124</v>
      </c>
    </row>
    <row r="477" spans="1:11" x14ac:dyDescent="0.3">
      <c r="A477" s="239">
        <v>46244</v>
      </c>
      <c r="B477" s="240" t="s">
        <v>11</v>
      </c>
      <c r="C477" s="241" t="s">
        <v>116</v>
      </c>
      <c r="D477" s="241" t="s">
        <v>117</v>
      </c>
      <c r="E477" s="240">
        <v>2.3574999999999999</v>
      </c>
      <c r="F477" s="240">
        <v>6.4999999999999947</v>
      </c>
      <c r="G477" s="240">
        <v>5.7500000000000107</v>
      </c>
      <c r="H477" s="240">
        <v>0.23000000000000043</v>
      </c>
      <c r="I477" s="240">
        <v>-0.49999999999998934</v>
      </c>
      <c r="J477" s="240">
        <v>-0.49999999999998934</v>
      </c>
      <c r="K477" s="240">
        <v>-2.0000000000000018</v>
      </c>
    </row>
    <row r="478" spans="1:11" x14ac:dyDescent="0.3">
      <c r="A478" s="239">
        <v>46244</v>
      </c>
      <c r="B478" s="240" t="s">
        <v>13</v>
      </c>
      <c r="C478" s="241" t="s">
        <v>117</v>
      </c>
      <c r="D478" s="241" t="s">
        <v>204</v>
      </c>
      <c r="E478" s="240">
        <v>2.4725000000000001</v>
      </c>
      <c r="F478" s="240">
        <v>11.500000000000021</v>
      </c>
      <c r="G478" s="240">
        <v>17.250000000000032</v>
      </c>
      <c r="H478" s="240">
        <v>0.69000000000000128</v>
      </c>
      <c r="I478" s="240">
        <v>0.24999999999999467</v>
      </c>
      <c r="J478" s="240">
        <v>0.50000000000003375</v>
      </c>
      <c r="K478" s="240">
        <v>1.2500000000000178</v>
      </c>
    </row>
    <row r="479" spans="1:11" x14ac:dyDescent="0.3">
      <c r="A479" s="239">
        <v>46244</v>
      </c>
      <c r="B479" s="240" t="s">
        <v>28</v>
      </c>
      <c r="C479" s="241" t="s">
        <v>204</v>
      </c>
      <c r="D479" s="241" t="s">
        <v>205</v>
      </c>
      <c r="E479" s="240">
        <v>2.5950000000000002</v>
      </c>
      <c r="F479" s="240">
        <v>12.250000000000005</v>
      </c>
      <c r="G479" s="240">
        <v>29.500000000000036</v>
      </c>
      <c r="H479" s="240">
        <v>1.1800000000000015</v>
      </c>
      <c r="I479" s="240">
        <v>1.0000000000000231</v>
      </c>
      <c r="J479" s="240" t="s">
        <v>41</v>
      </c>
      <c r="K479" s="240" t="s">
        <v>41</v>
      </c>
    </row>
    <row r="480" spans="1:11" x14ac:dyDescent="0.3">
      <c r="A480" s="239">
        <v>46244</v>
      </c>
      <c r="B480" s="240" t="s">
        <v>15</v>
      </c>
      <c r="C480" s="241" t="s">
        <v>205</v>
      </c>
      <c r="D480" s="241" t="s">
        <v>127</v>
      </c>
      <c r="E480" s="240">
        <v>2.7149999999999999</v>
      </c>
      <c r="F480" s="240">
        <v>11.999999999999966</v>
      </c>
      <c r="G480" s="240">
        <v>41.5</v>
      </c>
      <c r="H480" s="240">
        <v>1.66</v>
      </c>
      <c r="I480" s="240">
        <v>2.0000000000000018</v>
      </c>
      <c r="J480" s="240" t="s">
        <v>41</v>
      </c>
      <c r="K480" s="240" t="s">
        <v>41</v>
      </c>
    </row>
    <row r="481" spans="1:11" x14ac:dyDescent="0.3">
      <c r="A481" s="239">
        <v>46244</v>
      </c>
      <c r="B481" s="240" t="s">
        <v>16</v>
      </c>
      <c r="C481" s="241" t="s">
        <v>127</v>
      </c>
      <c r="D481" s="241" t="s">
        <v>206</v>
      </c>
      <c r="E481" s="240">
        <v>2.8275000000000001</v>
      </c>
      <c r="F481" s="240">
        <v>11.250000000000027</v>
      </c>
      <c r="G481" s="240">
        <v>52.750000000000028</v>
      </c>
      <c r="H481" s="240">
        <v>2.1100000000000012</v>
      </c>
      <c r="I481" s="240">
        <v>2.7500000000000302</v>
      </c>
      <c r="J481" s="240" t="s">
        <v>41</v>
      </c>
      <c r="K481" s="240" t="s">
        <v>41</v>
      </c>
    </row>
    <row r="482" spans="1:11" x14ac:dyDescent="0.3">
      <c r="A482" s="239">
        <v>46244</v>
      </c>
      <c r="B482" s="240" t="s">
        <v>18</v>
      </c>
      <c r="C482" s="241" t="s">
        <v>206</v>
      </c>
      <c r="D482" s="241" t="s">
        <v>207</v>
      </c>
      <c r="E482" s="240">
        <v>2.915</v>
      </c>
      <c r="F482" s="240">
        <v>8.7499999999999911</v>
      </c>
      <c r="G482" s="240">
        <v>61.500000000000021</v>
      </c>
      <c r="H482" s="240">
        <v>2.4600000000000009</v>
      </c>
      <c r="I482" s="240">
        <v>3.2500000000000195</v>
      </c>
      <c r="J482" s="240" t="s">
        <v>41</v>
      </c>
      <c r="K482" s="240" t="s">
        <v>41</v>
      </c>
    </row>
    <row r="483" spans="1:11" x14ac:dyDescent="0.3">
      <c r="A483" s="239">
        <v>46244</v>
      </c>
      <c r="B483" s="240" t="s">
        <v>28</v>
      </c>
      <c r="C483" s="241"/>
      <c r="D483" s="241"/>
      <c r="E483" s="240"/>
      <c r="F483" s="240"/>
      <c r="G483" s="240"/>
      <c r="H483" s="240"/>
      <c r="I483" s="240">
        <v>0</v>
      </c>
      <c r="J483" s="240">
        <v>0</v>
      </c>
      <c r="K483" s="240">
        <v>-277.5</v>
      </c>
    </row>
    <row r="484" spans="1:11" x14ac:dyDescent="0.3">
      <c r="A484" s="239">
        <v>46244</v>
      </c>
      <c r="B484" s="240"/>
      <c r="C484" s="241"/>
      <c r="D484" s="241"/>
      <c r="E484" s="240"/>
      <c r="F484" s="240"/>
      <c r="G484" s="240"/>
      <c r="H484" s="240"/>
      <c r="I484" s="240">
        <v>0</v>
      </c>
      <c r="J484" s="240">
        <v>0</v>
      </c>
      <c r="K484" s="240">
        <v>-277.5</v>
      </c>
    </row>
    <row r="485" spans="1:11" x14ac:dyDescent="0.3">
      <c r="A485" s="239">
        <v>46244</v>
      </c>
      <c r="B485" s="240"/>
      <c r="C485" s="241"/>
      <c r="D485" s="241"/>
      <c r="E485" s="240"/>
      <c r="F485" s="240"/>
      <c r="G485" s="240"/>
      <c r="H485" s="240"/>
      <c r="I485" s="240">
        <v>0</v>
      </c>
      <c r="J485" s="240">
        <v>0</v>
      </c>
      <c r="K485" s="240">
        <v>-277.5</v>
      </c>
    </row>
    <row r="486" spans="1:11" x14ac:dyDescent="0.3">
      <c r="A486" s="239">
        <v>46244</v>
      </c>
      <c r="B486" s="240"/>
      <c r="C486" s="241"/>
      <c r="D486" s="241"/>
      <c r="E486" s="240"/>
      <c r="F486" s="240"/>
      <c r="G486" s="240"/>
      <c r="H486" s="240"/>
      <c r="I486" s="240">
        <v>0</v>
      </c>
      <c r="J486" s="240">
        <v>0</v>
      </c>
      <c r="K486" s="240">
        <v>-277.5</v>
      </c>
    </row>
    <row r="487" spans="1:11" x14ac:dyDescent="0.3">
      <c r="A487" s="239">
        <v>46244</v>
      </c>
      <c r="B487" s="240"/>
      <c r="C487" s="241"/>
      <c r="D487" s="241"/>
      <c r="E487" s="240"/>
      <c r="F487" s="240"/>
      <c r="G487" s="240"/>
      <c r="H487" s="240"/>
      <c r="I487" s="240">
        <v>0</v>
      </c>
      <c r="J487" s="240">
        <v>0</v>
      </c>
      <c r="K487" s="240">
        <v>-277.5</v>
      </c>
    </row>
    <row r="488" spans="1:11" x14ac:dyDescent="0.3">
      <c r="A488" s="239">
        <v>46245</v>
      </c>
      <c r="B488" s="240" t="s">
        <v>10</v>
      </c>
      <c r="C488" s="241" t="s">
        <v>115</v>
      </c>
      <c r="D488" s="241" t="s">
        <v>116</v>
      </c>
      <c r="E488" s="240">
        <v>2.2974999999999999</v>
      </c>
      <c r="F488" s="240">
        <v>1.7500000000000071</v>
      </c>
      <c r="G488" s="240">
        <v>1.7500000000000071</v>
      </c>
      <c r="H488" s="240">
        <v>7.0000000000000284E-2</v>
      </c>
      <c r="I488" s="240">
        <v>0.49999999999998934</v>
      </c>
      <c r="J488" s="240">
        <v>0.74999999999998401</v>
      </c>
      <c r="K488" s="240">
        <v>-1.5000000000000124</v>
      </c>
    </row>
    <row r="489" spans="1:11" x14ac:dyDescent="0.3">
      <c r="A489" s="239">
        <v>46245</v>
      </c>
      <c r="B489" s="240" t="s">
        <v>11</v>
      </c>
      <c r="C489" s="241" t="s">
        <v>116</v>
      </c>
      <c r="D489" s="241" t="s">
        <v>117</v>
      </c>
      <c r="E489" s="240">
        <v>2.3675000000000002</v>
      </c>
      <c r="F489" s="240">
        <v>7.0000000000000284</v>
      </c>
      <c r="G489" s="240">
        <v>8.7500000000000355</v>
      </c>
      <c r="H489" s="240">
        <v>0.35000000000000142</v>
      </c>
      <c r="I489" s="240">
        <v>1.0000000000000231</v>
      </c>
      <c r="J489" s="240">
        <v>2.5000000000000355</v>
      </c>
      <c r="K489" s="240">
        <v>-1.2499999999999734</v>
      </c>
    </row>
    <row r="490" spans="1:11" x14ac:dyDescent="0.3">
      <c r="A490" s="239">
        <v>46245</v>
      </c>
      <c r="B490" s="240" t="s">
        <v>13</v>
      </c>
      <c r="C490" s="241" t="s">
        <v>117</v>
      </c>
      <c r="D490" s="241" t="s">
        <v>204</v>
      </c>
      <c r="E490" s="240">
        <v>2.48</v>
      </c>
      <c r="F490" s="240">
        <v>11.249999999999982</v>
      </c>
      <c r="G490" s="240">
        <v>20.000000000000018</v>
      </c>
      <c r="H490" s="240">
        <v>0.80000000000000071</v>
      </c>
      <c r="I490" s="240">
        <v>0.74999999999998401</v>
      </c>
      <c r="J490" s="240">
        <v>5.500000000000016</v>
      </c>
      <c r="K490" s="240">
        <v>-0.49999999999998934</v>
      </c>
    </row>
    <row r="491" spans="1:11" x14ac:dyDescent="0.3">
      <c r="A491" s="239">
        <v>46245</v>
      </c>
      <c r="B491" s="240" t="s">
        <v>28</v>
      </c>
      <c r="C491" s="241" t="s">
        <v>204</v>
      </c>
      <c r="D491" s="241" t="s">
        <v>205</v>
      </c>
      <c r="E491" s="240">
        <v>2.6025</v>
      </c>
      <c r="F491" s="240">
        <v>12.250000000000005</v>
      </c>
      <c r="G491" s="240">
        <v>32.250000000000021</v>
      </c>
      <c r="H491" s="240">
        <v>1.2900000000000009</v>
      </c>
      <c r="I491" s="240">
        <v>0.74999999999998401</v>
      </c>
      <c r="J491" s="240">
        <v>8.0000000000000071</v>
      </c>
      <c r="K491" s="240" t="s">
        <v>41</v>
      </c>
    </row>
    <row r="492" spans="1:11" x14ac:dyDescent="0.3">
      <c r="A492" s="239">
        <v>46245</v>
      </c>
      <c r="B492" s="240" t="s">
        <v>15</v>
      </c>
      <c r="C492" s="241" t="s">
        <v>205</v>
      </c>
      <c r="D492" s="241" t="s">
        <v>127</v>
      </c>
      <c r="E492" s="240">
        <v>2.7225000000000001</v>
      </c>
      <c r="F492" s="240">
        <v>12.000000000000011</v>
      </c>
      <c r="G492" s="240">
        <v>44.250000000000036</v>
      </c>
      <c r="H492" s="240">
        <v>1.7700000000000014</v>
      </c>
      <c r="I492" s="240">
        <v>0.75000000000002842</v>
      </c>
      <c r="J492" s="240">
        <v>10.499999999999998</v>
      </c>
      <c r="K492" s="240" t="s">
        <v>41</v>
      </c>
    </row>
    <row r="493" spans="1:11" x14ac:dyDescent="0.3">
      <c r="A493" s="239">
        <v>46245</v>
      </c>
      <c r="B493" s="240" t="s">
        <v>16</v>
      </c>
      <c r="C493" s="241" t="s">
        <v>127</v>
      </c>
      <c r="D493" s="241" t="s">
        <v>206</v>
      </c>
      <c r="E493" s="240">
        <v>2.8275000000000001</v>
      </c>
      <c r="F493" s="240">
        <v>10.499999999999998</v>
      </c>
      <c r="G493" s="240">
        <v>54.750000000000028</v>
      </c>
      <c r="H493" s="240">
        <v>2.1900000000000013</v>
      </c>
      <c r="I493" s="240">
        <v>0</v>
      </c>
      <c r="J493" s="240">
        <v>12.250000000000005</v>
      </c>
      <c r="K493" s="240" t="s">
        <v>41</v>
      </c>
    </row>
    <row r="494" spans="1:11" x14ac:dyDescent="0.3">
      <c r="A494" s="239">
        <v>46245</v>
      </c>
      <c r="B494" s="240" t="s">
        <v>18</v>
      </c>
      <c r="C494" s="241" t="s">
        <v>206</v>
      </c>
      <c r="D494" s="241" t="s">
        <v>207</v>
      </c>
      <c r="E494" s="240">
        <v>2.915</v>
      </c>
      <c r="F494" s="240">
        <v>8.7499999999999911</v>
      </c>
      <c r="G494" s="240">
        <v>63.500000000000021</v>
      </c>
      <c r="H494" s="240">
        <v>2.5400000000000009</v>
      </c>
      <c r="I494" s="240">
        <v>0</v>
      </c>
      <c r="J494" s="240">
        <v>12.250000000000005</v>
      </c>
      <c r="K494" s="240" t="s">
        <v>41</v>
      </c>
    </row>
    <row r="495" spans="1:11" x14ac:dyDescent="0.3">
      <c r="A495" s="239">
        <v>46245</v>
      </c>
      <c r="B495" s="240" t="s">
        <v>28</v>
      </c>
      <c r="C495" s="241"/>
      <c r="D495" s="241"/>
      <c r="E495" s="240"/>
      <c r="F495" s="240"/>
      <c r="G495" s="240"/>
      <c r="H495" s="240"/>
      <c r="I495" s="240">
        <v>0</v>
      </c>
      <c r="J495" s="240">
        <v>0</v>
      </c>
      <c r="K495" s="240">
        <v>-283.75</v>
      </c>
    </row>
    <row r="496" spans="1:11" x14ac:dyDescent="0.3">
      <c r="A496" s="239">
        <v>46245</v>
      </c>
      <c r="B496" s="240"/>
      <c r="C496" s="241"/>
      <c r="D496" s="241"/>
      <c r="E496" s="240"/>
      <c r="F496" s="240"/>
      <c r="G496" s="240"/>
      <c r="H496" s="240"/>
      <c r="I496" s="240">
        <v>0</v>
      </c>
      <c r="J496" s="240">
        <v>0</v>
      </c>
      <c r="K496" s="240">
        <v>-283.75</v>
      </c>
    </row>
    <row r="497" spans="1:11" x14ac:dyDescent="0.3">
      <c r="A497" s="239">
        <v>46245</v>
      </c>
      <c r="B497" s="240"/>
      <c r="C497" s="241"/>
      <c r="D497" s="241"/>
      <c r="E497" s="240"/>
      <c r="F497" s="240"/>
      <c r="G497" s="240"/>
      <c r="H497" s="240"/>
      <c r="I497" s="240">
        <v>0</v>
      </c>
      <c r="J497" s="240">
        <v>0</v>
      </c>
      <c r="K497" s="240">
        <v>-283.75</v>
      </c>
    </row>
    <row r="498" spans="1:11" x14ac:dyDescent="0.3">
      <c r="A498" s="239">
        <v>46245</v>
      </c>
      <c r="B498" s="240"/>
      <c r="C498" s="241"/>
      <c r="D498" s="241"/>
      <c r="E498" s="240"/>
      <c r="F498" s="240"/>
      <c r="G498" s="240"/>
      <c r="H498" s="240"/>
      <c r="I498" s="240">
        <v>0</v>
      </c>
      <c r="J498" s="240">
        <v>0</v>
      </c>
      <c r="K498" s="240">
        <v>-283.75</v>
      </c>
    </row>
    <row r="499" spans="1:11" x14ac:dyDescent="0.3">
      <c r="A499" s="239">
        <v>46245</v>
      </c>
      <c r="B499" s="240"/>
      <c r="C499" s="241"/>
      <c r="D499" s="241"/>
      <c r="E499" s="240"/>
      <c r="F499" s="240"/>
      <c r="G499" s="240"/>
      <c r="H499" s="240"/>
      <c r="I499" s="240">
        <v>0</v>
      </c>
      <c r="J499" s="240">
        <v>0</v>
      </c>
      <c r="K499" s="240">
        <v>-283.75</v>
      </c>
    </row>
    <row r="500" spans="1:11" x14ac:dyDescent="0.3">
      <c r="A500" s="239">
        <v>46246</v>
      </c>
      <c r="B500" s="240" t="s">
        <v>10</v>
      </c>
      <c r="C500" s="241" t="s">
        <v>115</v>
      </c>
      <c r="D500" s="241" t="s">
        <v>116</v>
      </c>
      <c r="E500" s="240">
        <v>2.2949999999999999</v>
      </c>
      <c r="F500" s="240">
        <v>2.4999999999999911</v>
      </c>
      <c r="G500" s="240">
        <v>2.4999999999999911</v>
      </c>
      <c r="H500" s="240">
        <v>9.9999999999999645E-2</v>
      </c>
      <c r="I500" s="240">
        <v>-0.24999999999999467</v>
      </c>
      <c r="J500" s="240">
        <v>0.24999999999999467</v>
      </c>
      <c r="K500" s="240">
        <v>-1.2500000000000178</v>
      </c>
    </row>
    <row r="501" spans="1:11" x14ac:dyDescent="0.3">
      <c r="A501" s="239">
        <v>46246</v>
      </c>
      <c r="B501" s="240" t="s">
        <v>11</v>
      </c>
      <c r="C501" s="241" t="s">
        <v>116</v>
      </c>
      <c r="D501" s="241" t="s">
        <v>117</v>
      </c>
      <c r="E501" s="240">
        <v>2.3574999999999999</v>
      </c>
      <c r="F501" s="240">
        <v>6.25</v>
      </c>
      <c r="G501" s="240">
        <v>8.7499999999999911</v>
      </c>
      <c r="H501" s="240">
        <v>0.34999999999999964</v>
      </c>
      <c r="I501" s="240">
        <v>-1.0000000000000231</v>
      </c>
      <c r="J501" s="240">
        <v>1.5000000000000124</v>
      </c>
      <c r="K501" s="240">
        <v>-2.0000000000000018</v>
      </c>
    </row>
    <row r="502" spans="1:11" x14ac:dyDescent="0.3">
      <c r="A502" s="239">
        <v>46246</v>
      </c>
      <c r="B502" s="240" t="s">
        <v>13</v>
      </c>
      <c r="C502" s="241" t="s">
        <v>117</v>
      </c>
      <c r="D502" s="241" t="s">
        <v>204</v>
      </c>
      <c r="E502" s="240">
        <v>2.4649999999999999</v>
      </c>
      <c r="F502" s="240">
        <v>10.749999999999993</v>
      </c>
      <c r="G502" s="240">
        <v>19.499999999999986</v>
      </c>
      <c r="H502" s="240">
        <v>0.77999999999999947</v>
      </c>
      <c r="I502" s="240">
        <v>-1.5000000000000124</v>
      </c>
      <c r="J502" s="240">
        <v>3.7499999999999645</v>
      </c>
      <c r="K502" s="240">
        <v>0.49999999999998934</v>
      </c>
    </row>
    <row r="503" spans="1:11" x14ac:dyDescent="0.3">
      <c r="A503" s="239">
        <v>46246</v>
      </c>
      <c r="B503" s="240" t="s">
        <v>28</v>
      </c>
      <c r="C503" s="241" t="s">
        <v>204</v>
      </c>
      <c r="D503" s="241" t="s">
        <v>205</v>
      </c>
      <c r="E503" s="240">
        <v>2.5825</v>
      </c>
      <c r="F503" s="240">
        <v>11.750000000000016</v>
      </c>
      <c r="G503" s="240">
        <v>31.25</v>
      </c>
      <c r="H503" s="240">
        <v>1.25</v>
      </c>
      <c r="I503" s="240">
        <v>-2.0000000000000018</v>
      </c>
      <c r="J503" s="240">
        <v>5.500000000000016</v>
      </c>
      <c r="K503" s="240" t="s">
        <v>41</v>
      </c>
    </row>
    <row r="504" spans="1:11" x14ac:dyDescent="0.3">
      <c r="A504" s="239">
        <v>46246</v>
      </c>
      <c r="B504" s="240" t="s">
        <v>15</v>
      </c>
      <c r="C504" s="241" t="s">
        <v>205</v>
      </c>
      <c r="D504" s="241" t="s">
        <v>127</v>
      </c>
      <c r="E504" s="240">
        <v>2.6974999999999998</v>
      </c>
      <c r="F504" s="240">
        <v>11.499999999999977</v>
      </c>
      <c r="G504" s="240">
        <v>42.749999999999979</v>
      </c>
      <c r="H504" s="240">
        <v>1.7099999999999991</v>
      </c>
      <c r="I504" s="240">
        <v>-2.5000000000000355</v>
      </c>
      <c r="J504" s="240">
        <v>6.999999999999984</v>
      </c>
      <c r="K504" s="240" t="s">
        <v>41</v>
      </c>
    </row>
    <row r="505" spans="1:11" x14ac:dyDescent="0.3">
      <c r="A505" s="239">
        <v>46246</v>
      </c>
      <c r="B505" s="240" t="s">
        <v>16</v>
      </c>
      <c r="C505" s="241" t="s">
        <v>127</v>
      </c>
      <c r="D505" s="241" t="s">
        <v>206</v>
      </c>
      <c r="E505" s="240">
        <v>2.8050000000000002</v>
      </c>
      <c r="F505" s="240">
        <v>10.750000000000037</v>
      </c>
      <c r="G505" s="240">
        <v>53.500000000000014</v>
      </c>
      <c r="H505" s="240">
        <v>2.1400000000000006</v>
      </c>
      <c r="I505" s="240">
        <v>-2.2499999999999964</v>
      </c>
      <c r="J505" s="240">
        <v>8.7500000000000355</v>
      </c>
      <c r="K505" s="240" t="s">
        <v>41</v>
      </c>
    </row>
    <row r="506" spans="1:11" x14ac:dyDescent="0.3">
      <c r="A506" s="239">
        <v>46246</v>
      </c>
      <c r="B506" s="240" t="s">
        <v>18</v>
      </c>
      <c r="C506" s="241" t="s">
        <v>206</v>
      </c>
      <c r="D506" s="241" t="s">
        <v>207</v>
      </c>
      <c r="E506" s="240">
        <v>2.8925000000000001</v>
      </c>
      <c r="F506" s="240">
        <v>8.7499999999999911</v>
      </c>
      <c r="G506" s="240">
        <v>62.250000000000007</v>
      </c>
      <c r="H506" s="240">
        <v>2.4900000000000002</v>
      </c>
      <c r="I506" s="240">
        <v>-2.2499999999999964</v>
      </c>
      <c r="J506" s="240">
        <v>10.000000000000009</v>
      </c>
      <c r="K506" s="240" t="s">
        <v>41</v>
      </c>
    </row>
    <row r="507" spans="1:11" x14ac:dyDescent="0.3">
      <c r="A507" s="239">
        <v>46246</v>
      </c>
      <c r="B507" s="240" t="s">
        <v>28</v>
      </c>
      <c r="C507" s="241"/>
      <c r="D507" s="241"/>
      <c r="E507" s="240"/>
      <c r="F507" s="240"/>
      <c r="G507" s="240"/>
      <c r="H507" s="240"/>
      <c r="I507" s="240">
        <v>0</v>
      </c>
      <c r="J507" s="240">
        <v>0</v>
      </c>
      <c r="K507" s="240">
        <v>-277.5</v>
      </c>
    </row>
    <row r="508" spans="1:11" x14ac:dyDescent="0.3">
      <c r="A508" s="239">
        <v>46246</v>
      </c>
      <c r="B508" s="240"/>
      <c r="C508" s="241"/>
      <c r="D508" s="241"/>
      <c r="E508" s="240"/>
      <c r="F508" s="240"/>
      <c r="G508" s="240"/>
      <c r="H508" s="240"/>
      <c r="I508" s="240">
        <v>0</v>
      </c>
      <c r="J508" s="240">
        <v>0</v>
      </c>
      <c r="K508" s="240">
        <v>-277.5</v>
      </c>
    </row>
    <row r="509" spans="1:11" x14ac:dyDescent="0.3">
      <c r="A509" s="239">
        <v>46246</v>
      </c>
      <c r="B509" s="240"/>
      <c r="C509" s="241"/>
      <c r="D509" s="241"/>
      <c r="E509" s="240"/>
      <c r="F509" s="240"/>
      <c r="G509" s="240"/>
      <c r="H509" s="240"/>
      <c r="I509" s="240">
        <v>0</v>
      </c>
      <c r="J509" s="240">
        <v>0</v>
      </c>
      <c r="K509" s="240">
        <v>-277.5</v>
      </c>
    </row>
    <row r="510" spans="1:11" x14ac:dyDescent="0.3">
      <c r="A510" s="239">
        <v>46246</v>
      </c>
      <c r="B510" s="240"/>
      <c r="C510" s="241"/>
      <c r="D510" s="241"/>
      <c r="E510" s="240"/>
      <c r="F510" s="240"/>
      <c r="G510" s="240"/>
      <c r="H510" s="240"/>
      <c r="I510" s="240">
        <v>0</v>
      </c>
      <c r="J510" s="240">
        <v>0</v>
      </c>
      <c r="K510" s="240">
        <v>-277.5</v>
      </c>
    </row>
    <row r="511" spans="1:11" x14ac:dyDescent="0.3">
      <c r="A511" s="239">
        <v>46246</v>
      </c>
      <c r="B511" s="240"/>
      <c r="C511" s="241"/>
      <c r="D511" s="241"/>
      <c r="E511" s="240"/>
      <c r="F511" s="240"/>
      <c r="G511" s="240"/>
      <c r="H511" s="240"/>
      <c r="I511" s="240">
        <v>0</v>
      </c>
      <c r="J511" s="240">
        <v>0</v>
      </c>
      <c r="K511" s="240">
        <v>-277.5</v>
      </c>
    </row>
    <row r="512" spans="1:11" x14ac:dyDescent="0.3">
      <c r="A512" s="239">
        <v>46247</v>
      </c>
      <c r="B512" s="240" t="s">
        <v>10</v>
      </c>
      <c r="C512" s="241" t="s">
        <v>115</v>
      </c>
      <c r="D512" s="241" t="s">
        <v>116</v>
      </c>
      <c r="E512" s="240">
        <v>2.2875000000000001</v>
      </c>
      <c r="F512" s="240">
        <v>1.7500000000000071</v>
      </c>
      <c r="G512" s="240">
        <v>1.7500000000000071</v>
      </c>
      <c r="H512" s="240">
        <v>7.0000000000000284E-2</v>
      </c>
      <c r="I512" s="240">
        <v>-0.74999999999998401</v>
      </c>
      <c r="J512" s="240">
        <v>-0.74999999999998401</v>
      </c>
      <c r="K512" s="240">
        <v>-2.9999999999999805</v>
      </c>
    </row>
    <row r="513" spans="1:11" x14ac:dyDescent="0.3">
      <c r="A513" s="239">
        <v>46247</v>
      </c>
      <c r="B513" s="240" t="s">
        <v>11</v>
      </c>
      <c r="C513" s="241" t="s">
        <v>116</v>
      </c>
      <c r="D513" s="241" t="s">
        <v>117</v>
      </c>
      <c r="E513" s="240">
        <v>2.335</v>
      </c>
      <c r="F513" s="240">
        <v>4.7499999999999876</v>
      </c>
      <c r="G513" s="240">
        <v>6.4999999999999947</v>
      </c>
      <c r="H513" s="240">
        <v>0.25999999999999979</v>
      </c>
      <c r="I513" s="240">
        <v>-2.2499999999999964</v>
      </c>
      <c r="J513" s="240">
        <v>-2.4999999999999911</v>
      </c>
      <c r="K513" s="240">
        <v>-6.25</v>
      </c>
    </row>
    <row r="514" spans="1:11" x14ac:dyDescent="0.3">
      <c r="A514" s="239">
        <v>46247</v>
      </c>
      <c r="B514" s="240" t="s">
        <v>13</v>
      </c>
      <c r="C514" s="241" t="s">
        <v>117</v>
      </c>
      <c r="D514" s="241" t="s">
        <v>204</v>
      </c>
      <c r="E514" s="240">
        <v>2.4275000000000002</v>
      </c>
      <c r="F514" s="240">
        <v>9.2500000000000249</v>
      </c>
      <c r="G514" s="240">
        <v>15.75000000000002</v>
      </c>
      <c r="H514" s="240">
        <v>0.63000000000000078</v>
      </c>
      <c r="I514" s="240">
        <v>-3.7499999999999645</v>
      </c>
      <c r="J514" s="240">
        <v>-2.7499999999999858</v>
      </c>
      <c r="K514" s="240">
        <v>-6.7499999999999893</v>
      </c>
    </row>
    <row r="515" spans="1:11" x14ac:dyDescent="0.3">
      <c r="A515" s="239">
        <v>46247</v>
      </c>
      <c r="B515" s="240" t="s">
        <v>28</v>
      </c>
      <c r="C515" s="241" t="s">
        <v>204</v>
      </c>
      <c r="D515" s="241" t="s">
        <v>205</v>
      </c>
      <c r="E515" s="240">
        <v>2.5325000000000002</v>
      </c>
      <c r="F515" s="240">
        <v>10.499999999999998</v>
      </c>
      <c r="G515" s="240">
        <v>26.250000000000018</v>
      </c>
      <c r="H515" s="240">
        <v>1.0500000000000007</v>
      </c>
      <c r="I515" s="240">
        <v>-4.9999999999999822</v>
      </c>
      <c r="J515" s="240">
        <v>-3.2499999999999751</v>
      </c>
      <c r="K515" s="240" t="s">
        <v>41</v>
      </c>
    </row>
    <row r="516" spans="1:11" x14ac:dyDescent="0.3">
      <c r="A516" s="239">
        <v>46247</v>
      </c>
      <c r="B516" s="240" t="s">
        <v>15</v>
      </c>
      <c r="C516" s="241" t="s">
        <v>205</v>
      </c>
      <c r="D516" s="241" t="s">
        <v>127</v>
      </c>
      <c r="E516" s="240">
        <v>2.6349999999999998</v>
      </c>
      <c r="F516" s="240">
        <v>10.249999999999959</v>
      </c>
      <c r="G516" s="240">
        <v>36.499999999999979</v>
      </c>
      <c r="H516" s="240">
        <v>1.4599999999999991</v>
      </c>
      <c r="I516" s="240">
        <v>-6.25</v>
      </c>
      <c r="J516" s="240">
        <v>-3.0000000000000249</v>
      </c>
      <c r="K516" s="240" t="s">
        <v>41</v>
      </c>
    </row>
    <row r="517" spans="1:11" x14ac:dyDescent="0.3">
      <c r="A517" s="239">
        <v>46247</v>
      </c>
      <c r="B517" s="240" t="s">
        <v>16</v>
      </c>
      <c r="C517" s="241" t="s">
        <v>127</v>
      </c>
      <c r="D517" s="241" t="s">
        <v>206</v>
      </c>
      <c r="E517" s="240">
        <v>2.7349999999999999</v>
      </c>
      <c r="F517" s="240">
        <v>10.000000000000009</v>
      </c>
      <c r="G517" s="240">
        <v>46.499999999999986</v>
      </c>
      <c r="H517" s="240">
        <v>1.8599999999999994</v>
      </c>
      <c r="I517" s="240">
        <v>-7.0000000000000284</v>
      </c>
      <c r="J517" s="240">
        <v>-2.0000000000000018</v>
      </c>
      <c r="K517" s="240" t="s">
        <v>41</v>
      </c>
    </row>
    <row r="518" spans="1:11" x14ac:dyDescent="0.3">
      <c r="A518" s="239">
        <v>46247</v>
      </c>
      <c r="B518" s="240" t="s">
        <v>18</v>
      </c>
      <c r="C518" s="241" t="s">
        <v>206</v>
      </c>
      <c r="D518" s="241" t="s">
        <v>207</v>
      </c>
      <c r="E518" s="240">
        <v>2.8224999999999998</v>
      </c>
      <c r="F518" s="240">
        <v>8.7499999999999911</v>
      </c>
      <c r="G518" s="240">
        <v>55.249999999999979</v>
      </c>
      <c r="H518" s="240">
        <v>2.2099999999999991</v>
      </c>
      <c r="I518" s="240">
        <v>-7.0000000000000284</v>
      </c>
      <c r="J518" s="240">
        <v>-0.75000000000002842</v>
      </c>
      <c r="K518" s="240" t="s">
        <v>41</v>
      </c>
    </row>
    <row r="519" spans="1:11" x14ac:dyDescent="0.3">
      <c r="A519" s="239">
        <v>46247</v>
      </c>
      <c r="B519" s="240" t="s">
        <v>28</v>
      </c>
      <c r="C519" s="241"/>
      <c r="D519" s="241"/>
      <c r="E519" s="240"/>
      <c r="F519" s="240"/>
      <c r="G519" s="240"/>
      <c r="H519" s="240"/>
      <c r="I519" s="240">
        <v>0</v>
      </c>
      <c r="J519" s="240">
        <v>0</v>
      </c>
      <c r="K519" s="240">
        <v>-284.75</v>
      </c>
    </row>
    <row r="520" spans="1:11" x14ac:dyDescent="0.3">
      <c r="A520" s="239">
        <v>46247</v>
      </c>
      <c r="B520" s="240"/>
      <c r="C520" s="241"/>
      <c r="D520" s="241"/>
      <c r="E520" s="240"/>
      <c r="F520" s="240"/>
      <c r="G520" s="240"/>
      <c r="H520" s="240"/>
      <c r="I520" s="240">
        <v>0</v>
      </c>
      <c r="J520" s="240">
        <v>0</v>
      </c>
      <c r="K520" s="240">
        <v>-284.75</v>
      </c>
    </row>
    <row r="521" spans="1:11" x14ac:dyDescent="0.3">
      <c r="A521" s="239">
        <v>46247</v>
      </c>
      <c r="B521" s="240"/>
      <c r="C521" s="241"/>
      <c r="D521" s="241"/>
      <c r="E521" s="240"/>
      <c r="F521" s="240"/>
      <c r="G521" s="240"/>
      <c r="H521" s="240"/>
      <c r="I521" s="240">
        <v>0</v>
      </c>
      <c r="J521" s="240">
        <v>0</v>
      </c>
      <c r="K521" s="240">
        <v>-284.75</v>
      </c>
    </row>
    <row r="522" spans="1:11" x14ac:dyDescent="0.3">
      <c r="A522" s="239">
        <v>46247</v>
      </c>
      <c r="B522" s="240"/>
      <c r="C522" s="241"/>
      <c r="D522" s="241"/>
      <c r="E522" s="240"/>
      <c r="F522" s="240"/>
      <c r="G522" s="240"/>
      <c r="H522" s="240"/>
      <c r="I522" s="240">
        <v>0</v>
      </c>
      <c r="J522" s="240">
        <v>0</v>
      </c>
      <c r="K522" s="240">
        <v>-284.75</v>
      </c>
    </row>
    <row r="523" spans="1:11" x14ac:dyDescent="0.3">
      <c r="A523" s="239">
        <v>46247</v>
      </c>
      <c r="B523" s="240"/>
      <c r="C523" s="241"/>
      <c r="D523" s="241"/>
      <c r="E523" s="240"/>
      <c r="F523" s="240"/>
      <c r="G523" s="240"/>
      <c r="H523" s="240"/>
      <c r="I523" s="240">
        <v>0</v>
      </c>
      <c r="J523" s="240">
        <v>0</v>
      </c>
      <c r="K523" s="240">
        <v>-284.75</v>
      </c>
    </row>
    <row r="524" spans="1:11" x14ac:dyDescent="0.3">
      <c r="A524" s="239">
        <v>46248</v>
      </c>
      <c r="B524" s="240" t="s">
        <v>10</v>
      </c>
      <c r="C524" s="241" t="s">
        <v>115</v>
      </c>
      <c r="D524" s="241" t="s">
        <v>116</v>
      </c>
      <c r="E524" s="240">
        <v>2.29</v>
      </c>
      <c r="F524" s="240">
        <v>2.0000000000000018</v>
      </c>
      <c r="G524" s="240">
        <v>2.0000000000000018</v>
      </c>
      <c r="H524" s="240">
        <v>8.0000000000000071E-2</v>
      </c>
      <c r="I524" s="240">
        <v>0.24999999999999467</v>
      </c>
      <c r="J524" s="240">
        <v>-0.74999999999998401</v>
      </c>
      <c r="K524" s="240">
        <v>-2.4999999999999911</v>
      </c>
    </row>
    <row r="525" spans="1:11" x14ac:dyDescent="0.3">
      <c r="A525" s="239">
        <v>46248</v>
      </c>
      <c r="B525" s="240" t="s">
        <v>11</v>
      </c>
      <c r="C525" s="241" t="s">
        <v>116</v>
      </c>
      <c r="D525" s="241" t="s">
        <v>117</v>
      </c>
      <c r="E525" s="240">
        <v>2.3424999999999998</v>
      </c>
      <c r="F525" s="240">
        <v>5.2499999999999769</v>
      </c>
      <c r="G525" s="240">
        <v>7.2499999999999787</v>
      </c>
      <c r="H525" s="240">
        <v>0.28999999999999915</v>
      </c>
      <c r="I525" s="240">
        <v>0.74999999999998401</v>
      </c>
      <c r="J525" s="240">
        <v>-2.0000000000000018</v>
      </c>
      <c r="K525" s="240">
        <v>-4.2499999999999982</v>
      </c>
    </row>
    <row r="526" spans="1:11" x14ac:dyDescent="0.3">
      <c r="A526" s="239">
        <v>46248</v>
      </c>
      <c r="B526" s="240" t="s">
        <v>13</v>
      </c>
      <c r="C526" s="241" t="s">
        <v>117</v>
      </c>
      <c r="D526" s="241" t="s">
        <v>204</v>
      </c>
      <c r="E526" s="240">
        <v>2.4300000000000002</v>
      </c>
      <c r="F526" s="240">
        <v>8.7500000000000355</v>
      </c>
      <c r="G526" s="240">
        <v>16.000000000000014</v>
      </c>
      <c r="H526" s="240">
        <v>0.64000000000000057</v>
      </c>
      <c r="I526" s="240">
        <v>0.24999999999999467</v>
      </c>
      <c r="J526" s="240">
        <v>-4.0000000000000036</v>
      </c>
      <c r="K526" s="240">
        <v>-5.4999999999999716</v>
      </c>
    </row>
    <row r="527" spans="1:11" x14ac:dyDescent="0.3">
      <c r="A527" s="239">
        <v>46248</v>
      </c>
      <c r="B527" s="240" t="s">
        <v>28</v>
      </c>
      <c r="C527" s="241" t="s">
        <v>204</v>
      </c>
      <c r="D527" s="241" t="s">
        <v>205</v>
      </c>
      <c r="E527" s="240">
        <v>2.5325000000000002</v>
      </c>
      <c r="F527" s="240">
        <v>10.250000000000004</v>
      </c>
      <c r="G527" s="240">
        <v>26.250000000000018</v>
      </c>
      <c r="H527" s="240">
        <v>1.0500000000000007</v>
      </c>
      <c r="I527" s="240">
        <v>0</v>
      </c>
      <c r="J527" s="240">
        <v>-5.2499999999999769</v>
      </c>
      <c r="K527" s="240" t="s">
        <v>41</v>
      </c>
    </row>
    <row r="528" spans="1:11" x14ac:dyDescent="0.3">
      <c r="A528" s="239">
        <v>46248</v>
      </c>
      <c r="B528" s="240" t="s">
        <v>15</v>
      </c>
      <c r="C528" s="241" t="s">
        <v>205</v>
      </c>
      <c r="D528" s="241" t="s">
        <v>127</v>
      </c>
      <c r="E528" s="240">
        <v>2.6425000000000001</v>
      </c>
      <c r="F528" s="240">
        <v>10.999999999999988</v>
      </c>
      <c r="G528" s="240">
        <v>37.250000000000007</v>
      </c>
      <c r="H528" s="240">
        <v>1.4900000000000002</v>
      </c>
      <c r="I528" s="240">
        <v>0.75000000000002842</v>
      </c>
      <c r="J528" s="240">
        <v>-5.2499999999999769</v>
      </c>
      <c r="K528" s="240" t="s">
        <v>41</v>
      </c>
    </row>
    <row r="529" spans="1:11" x14ac:dyDescent="0.3">
      <c r="A529" s="239">
        <v>46248</v>
      </c>
      <c r="B529" s="240" t="s">
        <v>16</v>
      </c>
      <c r="C529" s="241" t="s">
        <v>127</v>
      </c>
      <c r="D529" s="241" t="s">
        <v>206</v>
      </c>
      <c r="E529" s="240">
        <v>2.7475000000000001</v>
      </c>
      <c r="F529" s="240">
        <v>10.499999999999998</v>
      </c>
      <c r="G529" s="240">
        <v>47.75</v>
      </c>
      <c r="H529" s="240">
        <v>1.91</v>
      </c>
      <c r="I529" s="240">
        <v>1.2500000000000178</v>
      </c>
      <c r="J529" s="240">
        <v>-5.2499999999999769</v>
      </c>
      <c r="K529" s="240" t="s">
        <v>41</v>
      </c>
    </row>
    <row r="530" spans="1:11" x14ac:dyDescent="0.3">
      <c r="A530" s="239">
        <v>46248</v>
      </c>
      <c r="B530" s="240" t="s">
        <v>18</v>
      </c>
      <c r="C530" s="241" t="s">
        <v>206</v>
      </c>
      <c r="D530" s="241" t="s">
        <v>207</v>
      </c>
      <c r="E530" s="240">
        <v>2.835</v>
      </c>
      <c r="F530" s="240">
        <v>8.7499999999999911</v>
      </c>
      <c r="G530" s="240">
        <v>56.499999999999993</v>
      </c>
      <c r="H530" s="240">
        <v>2.2599999999999998</v>
      </c>
      <c r="I530" s="240">
        <v>1.2500000000000178</v>
      </c>
      <c r="J530" s="240">
        <v>-4.7499999999999876</v>
      </c>
      <c r="K530" s="240" t="s">
        <v>41</v>
      </c>
    </row>
    <row r="531" spans="1:11" x14ac:dyDescent="0.3">
      <c r="A531" s="239">
        <v>46248</v>
      </c>
      <c r="B531" s="240" t="s">
        <v>28</v>
      </c>
      <c r="C531" s="241"/>
      <c r="D531" s="241"/>
      <c r="E531" s="240"/>
      <c r="F531" s="240"/>
      <c r="G531" s="240"/>
      <c r="H531" s="240"/>
      <c r="I531" s="240">
        <v>0</v>
      </c>
      <c r="J531" s="240">
        <v>0</v>
      </c>
      <c r="K531" s="240">
        <v>-283.5</v>
      </c>
    </row>
    <row r="532" spans="1:11" x14ac:dyDescent="0.3">
      <c r="A532" s="239">
        <v>46248</v>
      </c>
      <c r="B532" s="240"/>
      <c r="C532" s="241"/>
      <c r="D532" s="241"/>
      <c r="E532" s="240"/>
      <c r="F532" s="240"/>
      <c r="G532" s="240"/>
      <c r="H532" s="240"/>
      <c r="I532" s="240">
        <v>0</v>
      </c>
      <c r="J532" s="240">
        <v>0</v>
      </c>
      <c r="K532" s="240">
        <v>-283.5</v>
      </c>
    </row>
    <row r="533" spans="1:11" x14ac:dyDescent="0.3">
      <c r="A533" s="239">
        <v>46248</v>
      </c>
      <c r="B533" s="240"/>
      <c r="C533" s="241"/>
      <c r="D533" s="241"/>
      <c r="E533" s="240"/>
      <c r="F533" s="240"/>
      <c r="G533" s="240"/>
      <c r="H533" s="240"/>
      <c r="I533" s="240">
        <v>0</v>
      </c>
      <c r="J533" s="240">
        <v>0</v>
      </c>
      <c r="K533" s="240">
        <v>-283.5</v>
      </c>
    </row>
    <row r="534" spans="1:11" x14ac:dyDescent="0.3">
      <c r="A534" s="239">
        <v>46248</v>
      </c>
      <c r="B534" s="240"/>
      <c r="C534" s="241"/>
      <c r="D534" s="241"/>
      <c r="E534" s="240"/>
      <c r="F534" s="240"/>
      <c r="G534" s="240"/>
      <c r="H534" s="240"/>
      <c r="I534" s="240">
        <v>0</v>
      </c>
      <c r="J534" s="240">
        <v>0</v>
      </c>
      <c r="K534" s="240">
        <v>-283.5</v>
      </c>
    </row>
    <row r="535" spans="1:11" x14ac:dyDescent="0.3">
      <c r="A535" s="239">
        <v>46248</v>
      </c>
      <c r="B535" s="240"/>
      <c r="C535" s="241"/>
      <c r="D535" s="241"/>
      <c r="E535" s="240"/>
      <c r="F535" s="240"/>
      <c r="G535" s="240"/>
      <c r="H535" s="240"/>
      <c r="I535" s="240">
        <v>0</v>
      </c>
      <c r="J535" s="240">
        <v>0</v>
      </c>
      <c r="K535" s="240">
        <v>-283.5</v>
      </c>
    </row>
    <row r="536" spans="1:11" x14ac:dyDescent="0.3">
      <c r="A536" s="573">
        <v>46251</v>
      </c>
      <c r="B536" s="574" t="s">
        <v>10</v>
      </c>
      <c r="C536" s="575" t="s">
        <v>115</v>
      </c>
      <c r="D536" s="575" t="s">
        <v>116</v>
      </c>
      <c r="E536" s="574">
        <v>2.2875000000000001</v>
      </c>
      <c r="F536" s="574">
        <v>2.7500000000000302</v>
      </c>
      <c r="G536" s="574">
        <v>2.7500000000000302</v>
      </c>
      <c r="H536" s="574">
        <v>0.11000000000000121</v>
      </c>
      <c r="I536" s="574">
        <v>-0.24999999999999467</v>
      </c>
      <c r="J536" s="574">
        <v>-0.49999999999998934</v>
      </c>
      <c r="K536" s="574">
        <v>-2.0000000000000018</v>
      </c>
    </row>
    <row r="537" spans="1:11" x14ac:dyDescent="0.3">
      <c r="A537" s="573">
        <v>46251</v>
      </c>
      <c r="B537" s="574" t="s">
        <v>11</v>
      </c>
      <c r="C537" s="575" t="s">
        <v>116</v>
      </c>
      <c r="D537" s="575" t="s">
        <v>117</v>
      </c>
      <c r="E537" s="574">
        <v>2.3525</v>
      </c>
      <c r="F537" s="574">
        <v>6.4999999999999947</v>
      </c>
      <c r="G537" s="574">
        <v>9.2500000000000249</v>
      </c>
      <c r="H537" s="574">
        <v>0.37000000000000099</v>
      </c>
      <c r="I537" s="574">
        <v>1.0000000000000231</v>
      </c>
      <c r="J537" s="574">
        <v>-0.49999999999998934</v>
      </c>
      <c r="K537" s="574">
        <v>-1.5000000000000124</v>
      </c>
    </row>
    <row r="538" spans="1:11" x14ac:dyDescent="0.3">
      <c r="A538" s="573">
        <v>46251</v>
      </c>
      <c r="B538" s="574" t="s">
        <v>13</v>
      </c>
      <c r="C538" s="575" t="s">
        <v>117</v>
      </c>
      <c r="D538" s="575" t="s">
        <v>204</v>
      </c>
      <c r="E538" s="574">
        <v>2.4474999999999998</v>
      </c>
      <c r="F538" s="574">
        <v>9.4999999999999751</v>
      </c>
      <c r="G538" s="574">
        <v>18.75</v>
      </c>
      <c r="H538" s="574">
        <v>0.75</v>
      </c>
      <c r="I538" s="574">
        <v>1.7499999999999627</v>
      </c>
      <c r="J538" s="574">
        <v>-2.5000000000000355</v>
      </c>
      <c r="K538" s="574">
        <v>-2.0000000000000018</v>
      </c>
    </row>
    <row r="539" spans="1:11" x14ac:dyDescent="0.3">
      <c r="A539" s="573">
        <v>46251</v>
      </c>
      <c r="B539" s="574" t="s">
        <v>28</v>
      </c>
      <c r="C539" s="575" t="s">
        <v>204</v>
      </c>
      <c r="D539" s="575" t="s">
        <v>205</v>
      </c>
      <c r="E539" s="574">
        <v>2.5575000000000001</v>
      </c>
      <c r="F539" s="574">
        <v>11.000000000000032</v>
      </c>
      <c r="G539" s="574">
        <v>29.750000000000032</v>
      </c>
      <c r="H539" s="574">
        <v>1.1900000000000013</v>
      </c>
      <c r="I539" s="574">
        <v>2.4999999999999911</v>
      </c>
      <c r="J539" s="574">
        <v>-3.7500000000000089</v>
      </c>
      <c r="K539" s="574" t="s">
        <v>41</v>
      </c>
    </row>
    <row r="540" spans="1:11" x14ac:dyDescent="0.3">
      <c r="A540" s="573">
        <v>46251</v>
      </c>
      <c r="B540" s="574" t="s">
        <v>15</v>
      </c>
      <c r="C540" s="575" t="s">
        <v>205</v>
      </c>
      <c r="D540" s="575" t="s">
        <v>127</v>
      </c>
      <c r="E540" s="574">
        <v>2.6724999999999999</v>
      </c>
      <c r="F540" s="574">
        <v>11.499999999999977</v>
      </c>
      <c r="G540" s="574">
        <v>41.250000000000007</v>
      </c>
      <c r="H540" s="574">
        <v>1.6500000000000004</v>
      </c>
      <c r="I540" s="574">
        <v>2.9999999999999805</v>
      </c>
      <c r="J540" s="574">
        <v>-4.2499999999999982</v>
      </c>
      <c r="K540" s="574" t="s">
        <v>41</v>
      </c>
    </row>
    <row r="541" spans="1:11" x14ac:dyDescent="0.3">
      <c r="A541" s="573">
        <v>46251</v>
      </c>
      <c r="B541" s="574" t="s">
        <v>16</v>
      </c>
      <c r="C541" s="575" t="s">
        <v>127</v>
      </c>
      <c r="D541" s="575" t="s">
        <v>206</v>
      </c>
      <c r="E541" s="574">
        <v>2.7850000000000001</v>
      </c>
      <c r="F541" s="574">
        <v>11.250000000000027</v>
      </c>
      <c r="G541" s="574">
        <v>52.500000000000036</v>
      </c>
      <c r="H541" s="574">
        <v>2.1000000000000014</v>
      </c>
      <c r="I541" s="574">
        <v>3.7500000000000089</v>
      </c>
      <c r="J541" s="574">
        <v>-4.2499999999999982</v>
      </c>
      <c r="K541" s="574" t="s">
        <v>41</v>
      </c>
    </row>
    <row r="542" spans="1:11" x14ac:dyDescent="0.3">
      <c r="A542" s="573">
        <v>46251</v>
      </c>
      <c r="B542" s="574" t="s">
        <v>18</v>
      </c>
      <c r="C542" s="575" t="s">
        <v>206</v>
      </c>
      <c r="D542" s="575" t="s">
        <v>207</v>
      </c>
      <c r="E542" s="574">
        <v>2.875</v>
      </c>
      <c r="F542" s="574">
        <v>8.9999999999999858</v>
      </c>
      <c r="G542" s="574">
        <v>61.500000000000021</v>
      </c>
      <c r="H542" s="574">
        <v>2.4600000000000009</v>
      </c>
      <c r="I542" s="574">
        <v>4.0000000000000036</v>
      </c>
      <c r="J542" s="574">
        <v>-4.0000000000000036</v>
      </c>
      <c r="K542" s="574" t="s">
        <v>41</v>
      </c>
    </row>
    <row r="543" spans="1:11" x14ac:dyDescent="0.3">
      <c r="A543" s="573">
        <v>46251</v>
      </c>
      <c r="B543" s="574" t="s">
        <v>28</v>
      </c>
      <c r="C543" s="575"/>
      <c r="D543" s="575"/>
      <c r="E543" s="574"/>
      <c r="F543" s="574"/>
      <c r="G543" s="574"/>
      <c r="H543" s="574"/>
      <c r="I543" s="574">
        <v>0</v>
      </c>
      <c r="J543" s="574">
        <v>0</v>
      </c>
      <c r="K543" s="574">
        <v>0</v>
      </c>
    </row>
    <row r="544" spans="1:11" x14ac:dyDescent="0.3">
      <c r="A544" s="573">
        <v>46251</v>
      </c>
      <c r="B544" s="574"/>
      <c r="C544" s="575"/>
      <c r="D544" s="575"/>
      <c r="E544" s="574"/>
      <c r="F544" s="574"/>
      <c r="G544" s="574"/>
      <c r="H544" s="574"/>
      <c r="I544" s="574">
        <v>0</v>
      </c>
      <c r="J544" s="574">
        <v>0</v>
      </c>
      <c r="K544" s="574">
        <v>0</v>
      </c>
    </row>
    <row r="545" spans="1:11" x14ac:dyDescent="0.3">
      <c r="A545" s="573">
        <v>46251</v>
      </c>
      <c r="B545" s="574"/>
      <c r="C545" s="575"/>
      <c r="D545" s="575"/>
      <c r="E545" s="574"/>
      <c r="F545" s="574"/>
      <c r="G545" s="574"/>
      <c r="H545" s="574"/>
      <c r="I545" s="574">
        <v>0</v>
      </c>
      <c r="J545" s="574">
        <v>0</v>
      </c>
      <c r="K545" s="574">
        <v>0</v>
      </c>
    </row>
    <row r="546" spans="1:11" x14ac:dyDescent="0.3">
      <c r="A546" s="573">
        <v>46251</v>
      </c>
      <c r="B546" s="574"/>
      <c r="C546" s="575"/>
      <c r="D546" s="575"/>
      <c r="E546" s="574"/>
      <c r="F546" s="574"/>
      <c r="G546" s="574"/>
      <c r="H546" s="574"/>
      <c r="I546" s="574">
        <v>0</v>
      </c>
      <c r="J546" s="574">
        <v>0</v>
      </c>
      <c r="K546" s="574">
        <v>0</v>
      </c>
    </row>
    <row r="547" spans="1:11" x14ac:dyDescent="0.3">
      <c r="A547" s="573">
        <v>46251</v>
      </c>
      <c r="B547" s="574"/>
      <c r="C547" s="575"/>
      <c r="D547" s="575"/>
      <c r="E547" s="574"/>
      <c r="F547" s="574"/>
      <c r="G547" s="574"/>
      <c r="H547" s="574"/>
      <c r="I547" s="574">
        <v>0</v>
      </c>
      <c r="J547" s="574">
        <v>0</v>
      </c>
      <c r="K547" s="574">
        <v>0</v>
      </c>
    </row>
    <row r="548" spans="1:11" x14ac:dyDescent="0.3">
      <c r="A548" s="573">
        <v>46252</v>
      </c>
      <c r="B548" s="574" t="s">
        <v>10</v>
      </c>
      <c r="C548" s="575" t="s">
        <v>115</v>
      </c>
      <c r="D548" s="575" t="s">
        <v>116</v>
      </c>
      <c r="E548" s="574">
        <v>2.2875000000000001</v>
      </c>
      <c r="F548" s="574">
        <v>1.7500000000000071</v>
      </c>
      <c r="G548" s="574">
        <v>1.7500000000000071</v>
      </c>
      <c r="H548" s="574">
        <v>7.0000000000000284E-2</v>
      </c>
      <c r="I548" s="574">
        <v>0</v>
      </c>
      <c r="J548" s="574">
        <v>-0.99999999999997868</v>
      </c>
      <c r="K548" s="574">
        <v>-1.2499999999999734</v>
      </c>
    </row>
    <row r="549" spans="1:11" x14ac:dyDescent="0.3">
      <c r="A549" s="573">
        <v>46252</v>
      </c>
      <c r="B549" s="574" t="s">
        <v>11</v>
      </c>
      <c r="C549" s="575" t="s">
        <v>116</v>
      </c>
      <c r="D549" s="575" t="s">
        <v>117</v>
      </c>
      <c r="E549" s="574">
        <v>2.3525</v>
      </c>
      <c r="F549" s="574">
        <v>6.4999999999999947</v>
      </c>
      <c r="G549" s="574">
        <v>8.2500000000000018</v>
      </c>
      <c r="H549" s="574">
        <v>0.33000000000000007</v>
      </c>
      <c r="I549" s="574">
        <v>0</v>
      </c>
      <c r="J549" s="574">
        <v>-1.5000000000000124</v>
      </c>
      <c r="K549" s="574">
        <v>-0.74999999999998401</v>
      </c>
    </row>
    <row r="550" spans="1:11" x14ac:dyDescent="0.3">
      <c r="A550" s="573">
        <v>46252</v>
      </c>
      <c r="B550" s="574" t="s">
        <v>13</v>
      </c>
      <c r="C550" s="575" t="s">
        <v>117</v>
      </c>
      <c r="D550" s="575" t="s">
        <v>204</v>
      </c>
      <c r="E550" s="574">
        <v>2.44</v>
      </c>
      <c r="F550" s="574">
        <v>8.7499999999999911</v>
      </c>
      <c r="G550" s="574">
        <v>16.999999999999993</v>
      </c>
      <c r="H550" s="574">
        <v>0.67999999999999972</v>
      </c>
      <c r="I550" s="574">
        <v>-0.74999999999998401</v>
      </c>
      <c r="J550" s="574">
        <v>-4.0000000000000036</v>
      </c>
      <c r="K550" s="574">
        <v>-1.5000000000000124</v>
      </c>
    </row>
    <row r="551" spans="1:11" x14ac:dyDescent="0.3">
      <c r="A551" s="573">
        <v>46252</v>
      </c>
      <c r="B551" s="574" t="s">
        <v>28</v>
      </c>
      <c r="C551" s="575" t="s">
        <v>204</v>
      </c>
      <c r="D551" s="575" t="s">
        <v>205</v>
      </c>
      <c r="E551" s="574">
        <v>2.5474999999999999</v>
      </c>
      <c r="F551" s="574">
        <v>10.749999999999993</v>
      </c>
      <c r="G551" s="574">
        <v>27.749999999999986</v>
      </c>
      <c r="H551" s="574">
        <v>1.1099999999999994</v>
      </c>
      <c r="I551" s="574">
        <v>-1.0000000000000231</v>
      </c>
      <c r="J551" s="574">
        <v>-5.500000000000016</v>
      </c>
      <c r="K551" s="574" t="s">
        <v>41</v>
      </c>
    </row>
    <row r="552" spans="1:11" x14ac:dyDescent="0.3">
      <c r="A552" s="573">
        <v>46252</v>
      </c>
      <c r="B552" s="574" t="s">
        <v>15</v>
      </c>
      <c r="C552" s="575" t="s">
        <v>205</v>
      </c>
      <c r="D552" s="575" t="s">
        <v>127</v>
      </c>
      <c r="E552" s="574">
        <v>2.6625000000000001</v>
      </c>
      <c r="F552" s="574">
        <v>11.500000000000021</v>
      </c>
      <c r="G552" s="574">
        <v>39.250000000000007</v>
      </c>
      <c r="H552" s="574">
        <v>1.5700000000000003</v>
      </c>
      <c r="I552" s="574">
        <v>-0.99999999999997868</v>
      </c>
      <c r="J552" s="574">
        <v>-6.0000000000000053</v>
      </c>
      <c r="K552" s="574" t="s">
        <v>41</v>
      </c>
    </row>
    <row r="553" spans="1:11" x14ac:dyDescent="0.3">
      <c r="A553" s="573">
        <v>46252</v>
      </c>
      <c r="B553" s="574" t="s">
        <v>16</v>
      </c>
      <c r="C553" s="575" t="s">
        <v>127</v>
      </c>
      <c r="D553" s="575" t="s">
        <v>206</v>
      </c>
      <c r="E553" s="574">
        <v>2.7725</v>
      </c>
      <c r="F553" s="574">
        <v>10.999999999999988</v>
      </c>
      <c r="G553" s="574">
        <v>50.249999999999993</v>
      </c>
      <c r="H553" s="574">
        <v>2.0099999999999998</v>
      </c>
      <c r="I553" s="574">
        <v>-1.2500000000000178</v>
      </c>
      <c r="J553" s="574">
        <v>-5.500000000000016</v>
      </c>
      <c r="K553" s="574" t="s">
        <v>41</v>
      </c>
    </row>
    <row r="554" spans="1:11" x14ac:dyDescent="0.3">
      <c r="A554" s="573">
        <v>46252</v>
      </c>
      <c r="B554" s="574" t="s">
        <v>18</v>
      </c>
      <c r="C554" s="575" t="s">
        <v>206</v>
      </c>
      <c r="D554" s="575" t="s">
        <v>207</v>
      </c>
      <c r="E554" s="574">
        <v>2.86</v>
      </c>
      <c r="F554" s="574">
        <v>8.7499999999999911</v>
      </c>
      <c r="G554" s="574">
        <v>58.999999999999986</v>
      </c>
      <c r="H554" s="574">
        <v>2.3599999999999994</v>
      </c>
      <c r="I554" s="574">
        <v>-1.5000000000000124</v>
      </c>
      <c r="J554" s="574">
        <v>-5.500000000000016</v>
      </c>
      <c r="K554" s="574" t="s">
        <v>41</v>
      </c>
    </row>
    <row r="555" spans="1:11" x14ac:dyDescent="0.3">
      <c r="A555" s="573">
        <v>46252</v>
      </c>
      <c r="B555" s="574" t="s">
        <v>28</v>
      </c>
      <c r="C555" s="575"/>
      <c r="D555" s="575"/>
      <c r="E555" s="574"/>
      <c r="F555" s="574"/>
      <c r="G555" s="574"/>
      <c r="H555" s="574"/>
      <c r="I555" s="574">
        <v>0</v>
      </c>
      <c r="J555" s="574">
        <v>0</v>
      </c>
      <c r="K555" s="574">
        <v>-279.5</v>
      </c>
    </row>
    <row r="556" spans="1:11" x14ac:dyDescent="0.3">
      <c r="A556" s="573">
        <v>46252</v>
      </c>
      <c r="B556" s="574"/>
      <c r="C556" s="575"/>
      <c r="D556" s="575"/>
      <c r="E556" s="574"/>
      <c r="F556" s="574"/>
      <c r="G556" s="574"/>
      <c r="H556" s="574"/>
      <c r="I556" s="574">
        <v>0</v>
      </c>
      <c r="J556" s="574">
        <v>0</v>
      </c>
      <c r="K556" s="574">
        <v>-279.5</v>
      </c>
    </row>
    <row r="557" spans="1:11" x14ac:dyDescent="0.3">
      <c r="A557" s="573">
        <v>46252</v>
      </c>
      <c r="B557" s="574"/>
      <c r="C557" s="575"/>
      <c r="D557" s="575"/>
      <c r="E557" s="574"/>
      <c r="F557" s="574"/>
      <c r="G557" s="574"/>
      <c r="H557" s="574"/>
      <c r="I557" s="574">
        <v>0</v>
      </c>
      <c r="J557" s="574">
        <v>0</v>
      </c>
      <c r="K557" s="574">
        <v>-279.5</v>
      </c>
    </row>
    <row r="558" spans="1:11" x14ac:dyDescent="0.3">
      <c r="A558" s="573">
        <v>46252</v>
      </c>
      <c r="B558" s="574"/>
      <c r="C558" s="575"/>
      <c r="D558" s="575"/>
      <c r="E558" s="574"/>
      <c r="F558" s="574"/>
      <c r="G558" s="574"/>
      <c r="H558" s="574"/>
      <c r="I558" s="574">
        <v>0</v>
      </c>
      <c r="J558" s="574">
        <v>0</v>
      </c>
      <c r="K558" s="574">
        <v>-279.5</v>
      </c>
    </row>
    <row r="559" spans="1:11" x14ac:dyDescent="0.3">
      <c r="A559" s="573">
        <v>46252</v>
      </c>
      <c r="B559" s="574"/>
      <c r="C559" s="575"/>
      <c r="D559" s="575"/>
      <c r="E559" s="574"/>
      <c r="F559" s="574"/>
      <c r="G559" s="574"/>
      <c r="H559" s="574"/>
      <c r="I559" s="574">
        <v>0</v>
      </c>
      <c r="J559" s="574">
        <v>0</v>
      </c>
      <c r="K559" s="574">
        <v>-279.5</v>
      </c>
    </row>
    <row r="560" spans="1:11" x14ac:dyDescent="0.3">
      <c r="A560" s="239">
        <v>46253</v>
      </c>
      <c r="B560" s="240" t="s">
        <v>10</v>
      </c>
      <c r="C560" s="241" t="s">
        <v>115</v>
      </c>
      <c r="D560" s="241" t="s">
        <v>116</v>
      </c>
      <c r="E560" s="240">
        <v>2.2850000000000001</v>
      </c>
      <c r="F560" s="240">
        <v>2.5000000000000355</v>
      </c>
      <c r="G560" s="240">
        <v>2.5000000000000355</v>
      </c>
      <c r="H560" s="240">
        <v>0.10000000000000142</v>
      </c>
      <c r="I560" s="240">
        <v>-0.24999999999999467</v>
      </c>
      <c r="J560" s="240">
        <v>-0.99999999999997868</v>
      </c>
      <c r="K560" s="240">
        <v>-2.2499999999999964</v>
      </c>
    </row>
    <row r="561" spans="1:11" x14ac:dyDescent="0.3">
      <c r="A561" s="239">
        <v>46253</v>
      </c>
      <c r="B561" s="240" t="s">
        <v>11</v>
      </c>
      <c r="C561" s="241" t="s">
        <v>116</v>
      </c>
      <c r="D561" s="241" t="s">
        <v>117</v>
      </c>
      <c r="E561" s="240">
        <v>2.35</v>
      </c>
      <c r="F561" s="240">
        <v>6.4999999999999947</v>
      </c>
      <c r="G561" s="240">
        <v>9.0000000000000302</v>
      </c>
      <c r="H561" s="240">
        <v>0.36000000000000121</v>
      </c>
      <c r="I561" s="240">
        <v>-0.24999999999999467</v>
      </c>
      <c r="J561" s="240">
        <v>-0.74999999999998401</v>
      </c>
      <c r="K561" s="240">
        <v>-1.7500000000000071</v>
      </c>
    </row>
    <row r="562" spans="1:11" x14ac:dyDescent="0.3">
      <c r="A562" s="239">
        <v>46253</v>
      </c>
      <c r="B562" s="240" t="s">
        <v>13</v>
      </c>
      <c r="C562" s="241" t="s">
        <v>117</v>
      </c>
      <c r="D562" s="241" t="s">
        <v>204</v>
      </c>
      <c r="E562" s="240">
        <v>2.4424999999999999</v>
      </c>
      <c r="F562" s="240">
        <v>9.2499999999999805</v>
      </c>
      <c r="G562" s="240">
        <v>18.250000000000011</v>
      </c>
      <c r="H562" s="240">
        <v>0.73000000000000043</v>
      </c>
      <c r="I562" s="240">
        <v>0.24999999999999467</v>
      </c>
      <c r="J562" s="240">
        <v>-2.2499999999999964</v>
      </c>
      <c r="K562" s="240">
        <v>-2.4999999999999911</v>
      </c>
    </row>
    <row r="563" spans="1:11" x14ac:dyDescent="0.3">
      <c r="A563" s="239">
        <v>46253</v>
      </c>
      <c r="B563" s="240" t="s">
        <v>28</v>
      </c>
      <c r="C563" s="241" t="s">
        <v>204</v>
      </c>
      <c r="D563" s="241" t="s">
        <v>205</v>
      </c>
      <c r="E563" s="240">
        <v>2.5550000000000002</v>
      </c>
      <c r="F563" s="240">
        <v>11.250000000000027</v>
      </c>
      <c r="G563" s="240">
        <v>29.500000000000036</v>
      </c>
      <c r="H563" s="240">
        <v>1.1800000000000015</v>
      </c>
      <c r="I563" s="240">
        <v>0.75000000000002842</v>
      </c>
      <c r="J563" s="240">
        <v>-2.7499999999999858</v>
      </c>
      <c r="K563" s="240" t="s">
        <v>41</v>
      </c>
    </row>
    <row r="564" spans="1:11" x14ac:dyDescent="0.3">
      <c r="A564" s="239">
        <v>46253</v>
      </c>
      <c r="B564" s="240" t="s">
        <v>15</v>
      </c>
      <c r="C564" s="241" t="s">
        <v>205</v>
      </c>
      <c r="D564" s="241" t="s">
        <v>127</v>
      </c>
      <c r="E564" s="240">
        <v>2.6724999999999999</v>
      </c>
      <c r="F564" s="240">
        <v>11.749999999999972</v>
      </c>
      <c r="G564" s="240">
        <v>41.250000000000007</v>
      </c>
      <c r="H564" s="240">
        <v>1.6500000000000004</v>
      </c>
      <c r="I564" s="240">
        <v>0.99999999999997868</v>
      </c>
      <c r="J564" s="240">
        <v>-2.4999999999999911</v>
      </c>
      <c r="K564" s="240" t="s">
        <v>41</v>
      </c>
    </row>
    <row r="565" spans="1:11" x14ac:dyDescent="0.3">
      <c r="A565" s="239">
        <v>46253</v>
      </c>
      <c r="B565" s="240" t="s">
        <v>16</v>
      </c>
      <c r="C565" s="241" t="s">
        <v>127</v>
      </c>
      <c r="D565" s="241" t="s">
        <v>206</v>
      </c>
      <c r="E565" s="240">
        <v>2.7850000000000001</v>
      </c>
      <c r="F565" s="240">
        <v>11.250000000000027</v>
      </c>
      <c r="G565" s="240">
        <v>52.500000000000036</v>
      </c>
      <c r="H565" s="240">
        <v>2.1000000000000014</v>
      </c>
      <c r="I565" s="240">
        <v>1.2500000000000178</v>
      </c>
      <c r="J565" s="240">
        <v>-2.0000000000000018</v>
      </c>
      <c r="K565" s="240" t="s">
        <v>41</v>
      </c>
    </row>
    <row r="566" spans="1:11" x14ac:dyDescent="0.3">
      <c r="A566" s="239">
        <v>46253</v>
      </c>
      <c r="B566" s="240" t="s">
        <v>18</v>
      </c>
      <c r="C566" s="241" t="s">
        <v>206</v>
      </c>
      <c r="D566" s="241" t="s">
        <v>207</v>
      </c>
      <c r="E566" s="240">
        <v>2.8725000000000001</v>
      </c>
      <c r="F566" s="240">
        <v>8.7499999999999911</v>
      </c>
      <c r="G566" s="240">
        <v>61.250000000000028</v>
      </c>
      <c r="H566" s="240">
        <v>2.4500000000000011</v>
      </c>
      <c r="I566" s="240">
        <v>1.2500000000000178</v>
      </c>
      <c r="J566" s="240">
        <v>-2.0000000000000018</v>
      </c>
      <c r="K566" s="240" t="s">
        <v>41</v>
      </c>
    </row>
    <row r="567" spans="1:11" x14ac:dyDescent="0.3">
      <c r="A567" s="239">
        <v>46253</v>
      </c>
      <c r="B567" s="240" t="s">
        <v>28</v>
      </c>
      <c r="C567" s="241"/>
      <c r="D567" s="241"/>
      <c r="E567" s="240"/>
      <c r="F567" s="240"/>
      <c r="G567" s="240"/>
      <c r="H567" s="240"/>
      <c r="I567" s="240">
        <v>0</v>
      </c>
      <c r="J567" s="240">
        <v>0</v>
      </c>
      <c r="K567" s="240">
        <v>0</v>
      </c>
    </row>
    <row r="568" spans="1:11" x14ac:dyDescent="0.3">
      <c r="A568" s="239">
        <v>46253</v>
      </c>
      <c r="B568" s="240"/>
      <c r="C568" s="241"/>
      <c r="D568" s="241"/>
      <c r="E568" s="240"/>
      <c r="F568" s="240"/>
      <c r="G568" s="240"/>
      <c r="H568" s="240"/>
      <c r="I568" s="240">
        <v>0</v>
      </c>
      <c r="J568" s="240">
        <v>0</v>
      </c>
      <c r="K568" s="240">
        <v>0</v>
      </c>
    </row>
    <row r="569" spans="1:11" x14ac:dyDescent="0.3">
      <c r="A569" s="239">
        <v>46253</v>
      </c>
      <c r="B569" s="240"/>
      <c r="C569" s="241"/>
      <c r="D569" s="241"/>
      <c r="E569" s="240"/>
      <c r="F569" s="240"/>
      <c r="G569" s="240"/>
      <c r="H569" s="240"/>
      <c r="I569" s="240">
        <v>0</v>
      </c>
      <c r="J569" s="240">
        <v>0</v>
      </c>
      <c r="K569" s="240">
        <v>0</v>
      </c>
    </row>
    <row r="570" spans="1:11" x14ac:dyDescent="0.3">
      <c r="A570" s="239">
        <v>46253</v>
      </c>
      <c r="B570" s="240"/>
      <c r="C570" s="241"/>
      <c r="D570" s="241"/>
      <c r="E570" s="240"/>
      <c r="F570" s="240"/>
      <c r="G570" s="240"/>
      <c r="H570" s="240"/>
      <c r="I570" s="240">
        <v>0</v>
      </c>
      <c r="J570" s="240">
        <v>0</v>
      </c>
      <c r="K570" s="240">
        <v>0</v>
      </c>
    </row>
    <row r="571" spans="1:11" x14ac:dyDescent="0.3">
      <c r="A571" s="239">
        <v>46253</v>
      </c>
      <c r="B571" s="240"/>
      <c r="C571" s="241"/>
      <c r="D571" s="241"/>
      <c r="E571" s="240"/>
      <c r="F571" s="240"/>
      <c r="G571" s="240"/>
      <c r="H571" s="240"/>
      <c r="I571" s="240">
        <v>0</v>
      </c>
      <c r="J571" s="240">
        <v>0</v>
      </c>
      <c r="K571" s="240">
        <v>0</v>
      </c>
    </row>
  </sheetData>
  <dataConsolidate link="1"/>
  <phoneticPr fontId="6" type="noConversion"/>
  <hyperlinks>
    <hyperlink ref="I1" r:id="rId1" display="https://www.worldsport.ge/ge/page/186696_realma-pogbas-damatebistvis-fexburteli-unda-gayidos?fbclid=IwAR1Q8_AuVjfuFyEqRQbAPIWQl1LwCJxT8yrAB4_5wAq_JUjGwmGboJ4jIZo" xr:uid="{00000000-0004-0000-0600-000000000000}"/>
  </hyperlinks>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154"/>
  <sheetViews>
    <sheetView topLeftCell="A132" zoomScale="70" zoomScaleNormal="70" workbookViewId="0">
      <selection activeCell="X154" sqref="X154"/>
    </sheetView>
  </sheetViews>
  <sheetFormatPr defaultRowHeight="15" x14ac:dyDescent="0.25"/>
  <cols>
    <col min="1" max="1" width="17.28515625" customWidth="1"/>
    <col min="2" max="2" width="12.85546875" customWidth="1"/>
    <col min="3" max="4" width="14.85546875" style="126" bestFit="1" customWidth="1"/>
    <col min="6" max="6" width="14.42578125" customWidth="1"/>
    <col min="7" max="7" width="20.42578125" customWidth="1"/>
    <col min="8" max="8" width="12" customWidth="1"/>
    <col min="9" max="9" width="10.7109375" customWidth="1"/>
    <col min="10" max="10" width="11.28515625" customWidth="1"/>
    <col min="11" max="11" width="11.42578125" customWidth="1"/>
  </cols>
  <sheetData>
    <row r="1" spans="1:11" ht="18.75" x14ac:dyDescent="0.3">
      <c r="A1" s="117" t="s">
        <v>24</v>
      </c>
      <c r="B1" s="118" t="s">
        <v>3</v>
      </c>
      <c r="C1" s="125" t="s">
        <v>4</v>
      </c>
      <c r="D1" s="125" t="s">
        <v>5</v>
      </c>
      <c r="E1" s="118" t="s">
        <v>6</v>
      </c>
      <c r="F1" s="118" t="s">
        <v>20</v>
      </c>
      <c r="G1" s="118" t="s">
        <v>7</v>
      </c>
      <c r="H1" s="118" t="s">
        <v>8</v>
      </c>
      <c r="I1" s="119" t="s">
        <v>21</v>
      </c>
      <c r="J1" s="118" t="s">
        <v>22</v>
      </c>
      <c r="K1" s="120" t="s">
        <v>23</v>
      </c>
    </row>
    <row r="2" spans="1:11" ht="18.75" x14ac:dyDescent="0.3">
      <c r="A2" s="20" t="s">
        <v>81</v>
      </c>
      <c r="B2" s="19" t="s">
        <v>13</v>
      </c>
      <c r="C2" s="124">
        <v>44911</v>
      </c>
      <c r="D2" s="124">
        <v>45009</v>
      </c>
      <c r="E2" s="19">
        <v>0.94499999999999995</v>
      </c>
      <c r="F2" s="19">
        <v>0.30000000000000027</v>
      </c>
      <c r="G2" s="19">
        <v>0.30000000000000027</v>
      </c>
      <c r="H2" s="19">
        <v>1.2000000000000011E-2</v>
      </c>
      <c r="I2" s="19" t="s">
        <v>41</v>
      </c>
      <c r="J2" s="19" t="s">
        <v>41</v>
      </c>
      <c r="K2" s="21" t="s">
        <v>41</v>
      </c>
    </row>
    <row r="3" spans="1:11" ht="18.75" x14ac:dyDescent="0.3">
      <c r="A3" s="175">
        <v>45229</v>
      </c>
      <c r="B3" s="176" t="s">
        <v>13</v>
      </c>
      <c r="C3" s="177">
        <v>45275</v>
      </c>
      <c r="D3" s="177">
        <v>45373</v>
      </c>
      <c r="E3" s="176">
        <v>1.7000000000000028</v>
      </c>
      <c r="F3" s="176">
        <v>28.800000000000292</v>
      </c>
      <c r="G3" s="176">
        <v>28.800000000000292</v>
      </c>
      <c r="H3" s="176">
        <v>1.1520000000000117</v>
      </c>
      <c r="I3" s="176" t="s">
        <v>41</v>
      </c>
      <c r="J3" s="176" t="s">
        <v>41</v>
      </c>
      <c r="K3" s="178" t="s">
        <v>41</v>
      </c>
    </row>
    <row r="4" spans="1:11" ht="18.75" x14ac:dyDescent="0.3">
      <c r="A4" s="175">
        <v>45229</v>
      </c>
      <c r="B4" s="176" t="s">
        <v>15</v>
      </c>
      <c r="C4" s="177">
        <v>45373</v>
      </c>
      <c r="D4" s="177">
        <v>45464</v>
      </c>
      <c r="E4" s="176">
        <v>1.6299999999999955</v>
      </c>
      <c r="F4" s="176">
        <v>-7.000000000000739</v>
      </c>
      <c r="G4" s="176">
        <v>21.799999999999553</v>
      </c>
      <c r="H4" s="176">
        <v>0.87199999999998212</v>
      </c>
      <c r="I4" s="176" t="s">
        <v>41</v>
      </c>
      <c r="J4" s="176" t="s">
        <v>41</v>
      </c>
      <c r="K4" s="178" t="s">
        <v>41</v>
      </c>
    </row>
    <row r="5" spans="1:11" ht="18.75" x14ac:dyDescent="0.3">
      <c r="A5" s="175">
        <v>45229</v>
      </c>
      <c r="B5" s="176" t="s">
        <v>37</v>
      </c>
      <c r="C5" s="177">
        <v>45464</v>
      </c>
      <c r="D5" s="177">
        <v>45562</v>
      </c>
      <c r="E5" s="176">
        <v>1.5150000000000006</v>
      </c>
      <c r="F5" s="176">
        <v>-11.499999999999488</v>
      </c>
      <c r="G5" s="176">
        <v>10.300000000000065</v>
      </c>
      <c r="H5" s="176">
        <v>0.41200000000000259</v>
      </c>
      <c r="I5" s="176" t="s">
        <v>41</v>
      </c>
      <c r="J5" s="176" t="s">
        <v>41</v>
      </c>
      <c r="K5" s="178" t="s">
        <v>41</v>
      </c>
    </row>
    <row r="6" spans="1:11" ht="18.75" x14ac:dyDescent="0.3">
      <c r="A6" s="175">
        <v>45229</v>
      </c>
      <c r="B6" s="176" t="s">
        <v>38</v>
      </c>
      <c r="C6" s="177">
        <v>45562</v>
      </c>
      <c r="D6" s="177">
        <v>45644</v>
      </c>
      <c r="E6" s="176">
        <v>1.375</v>
      </c>
      <c r="F6" s="176">
        <v>-14.000000000000057</v>
      </c>
      <c r="G6" s="176">
        <v>-3.6999999999999922</v>
      </c>
      <c r="H6" s="176">
        <v>-0.14799999999999969</v>
      </c>
      <c r="I6" s="176" t="s">
        <v>41</v>
      </c>
      <c r="J6" s="176" t="s">
        <v>41</v>
      </c>
      <c r="K6" s="178" t="s">
        <v>41</v>
      </c>
    </row>
    <row r="7" spans="1:11" ht="18.75" x14ac:dyDescent="0.3">
      <c r="A7" s="175">
        <v>45229</v>
      </c>
      <c r="B7" s="176" t="s">
        <v>13</v>
      </c>
      <c r="C7" s="177">
        <v>45644</v>
      </c>
      <c r="D7" s="177">
        <v>45735</v>
      </c>
      <c r="E7" s="176">
        <v>1.2349999999999994</v>
      </c>
      <c r="F7" s="176">
        <v>-14.000000000000057</v>
      </c>
      <c r="G7" s="176">
        <v>-17.700000000000049</v>
      </c>
      <c r="H7" s="176">
        <v>-0.70800000000000196</v>
      </c>
      <c r="I7" s="176" t="s">
        <v>41</v>
      </c>
      <c r="J7" s="176" t="s">
        <v>41</v>
      </c>
      <c r="K7" s="178" t="s">
        <v>41</v>
      </c>
    </row>
    <row r="8" spans="1:11" ht="18.75" x14ac:dyDescent="0.3">
      <c r="A8" s="175">
        <v>45229</v>
      </c>
      <c r="B8" s="176"/>
      <c r="C8" s="177">
        <v>45735</v>
      </c>
      <c r="D8" s="177">
        <v>45826</v>
      </c>
      <c r="E8" s="176">
        <v>1.1599999999999966</v>
      </c>
      <c r="F8" s="176">
        <v>-7.5000000000002842</v>
      </c>
      <c r="G8" s="176">
        <v>-417.00000000000034</v>
      </c>
      <c r="H8" s="176">
        <v>-16.680000000000014</v>
      </c>
      <c r="I8" s="176" t="s">
        <v>41</v>
      </c>
      <c r="J8" s="176" t="s">
        <v>41</v>
      </c>
      <c r="K8" s="178" t="s">
        <v>41</v>
      </c>
    </row>
    <row r="9" spans="1:11" ht="18.75" x14ac:dyDescent="0.3">
      <c r="A9" s="175">
        <v>45229</v>
      </c>
      <c r="B9" s="176"/>
      <c r="C9" s="177">
        <v>45826</v>
      </c>
      <c r="D9" s="177">
        <v>45917</v>
      </c>
      <c r="E9" s="176">
        <v>1.1400000000000006</v>
      </c>
      <c r="F9" s="176">
        <v>-1.9999999999996021</v>
      </c>
      <c r="G9" s="176">
        <v>-418.99999999999994</v>
      </c>
      <c r="H9" s="176">
        <v>-16.759999999999998</v>
      </c>
      <c r="I9" s="176" t="s">
        <v>41</v>
      </c>
      <c r="J9" s="176" t="s">
        <v>41</v>
      </c>
      <c r="K9" s="178" t="s">
        <v>41</v>
      </c>
    </row>
    <row r="10" spans="1:11" ht="18.75" x14ac:dyDescent="0.3">
      <c r="A10" s="175">
        <v>45229</v>
      </c>
      <c r="B10" s="176"/>
      <c r="C10" s="177"/>
      <c r="D10" s="177"/>
      <c r="E10" s="176"/>
      <c r="F10" s="176"/>
      <c r="G10" s="176">
        <v>-533</v>
      </c>
      <c r="H10" s="176">
        <v>-21.32</v>
      </c>
      <c r="I10" s="176" t="s">
        <v>41</v>
      </c>
      <c r="J10" s="176" t="s">
        <v>41</v>
      </c>
      <c r="K10" s="178" t="s">
        <v>41</v>
      </c>
    </row>
    <row r="11" spans="1:11" ht="18.75" x14ac:dyDescent="0.3">
      <c r="A11" s="20">
        <v>45233</v>
      </c>
      <c r="B11" s="19" t="s">
        <v>13</v>
      </c>
      <c r="C11" s="124">
        <v>45275</v>
      </c>
      <c r="D11" s="124">
        <v>45373</v>
      </c>
      <c r="E11" s="19">
        <v>1.7049999999999983</v>
      </c>
      <c r="F11" s="19">
        <v>29.299999999999837</v>
      </c>
      <c r="G11" s="19">
        <v>29.299999999999837</v>
      </c>
      <c r="H11" s="19">
        <v>1.1719999999999935</v>
      </c>
      <c r="I11" s="19" t="s">
        <v>41</v>
      </c>
      <c r="J11" s="19" t="s">
        <v>41</v>
      </c>
      <c r="K11" s="21" t="s">
        <v>41</v>
      </c>
    </row>
    <row r="12" spans="1:11" ht="18.75" x14ac:dyDescent="0.3">
      <c r="A12" s="20">
        <v>45233</v>
      </c>
      <c r="B12" s="19" t="s">
        <v>15</v>
      </c>
      <c r="C12" s="124">
        <v>45373</v>
      </c>
      <c r="D12" s="124">
        <v>45464</v>
      </c>
      <c r="E12" s="19">
        <v>1.6299999999999955</v>
      </c>
      <c r="F12" s="19">
        <v>-7.5000000000002842</v>
      </c>
      <c r="G12" s="19">
        <v>21.799999999999553</v>
      </c>
      <c r="H12" s="19">
        <v>0.87199999999998212</v>
      </c>
      <c r="I12" s="19" t="s">
        <v>41</v>
      </c>
      <c r="J12" s="19" t="s">
        <v>41</v>
      </c>
      <c r="K12" s="21" t="s">
        <v>41</v>
      </c>
    </row>
    <row r="13" spans="1:11" ht="18.75" x14ac:dyDescent="0.3">
      <c r="A13" s="20">
        <v>45233</v>
      </c>
      <c r="B13" s="19" t="s">
        <v>37</v>
      </c>
      <c r="C13" s="124">
        <v>45464</v>
      </c>
      <c r="D13" s="124">
        <v>45562</v>
      </c>
      <c r="E13" s="19">
        <v>1.4899999999999949</v>
      </c>
      <c r="F13" s="19">
        <v>-14.000000000000057</v>
      </c>
      <c r="G13" s="19">
        <v>7.7999999999994962</v>
      </c>
      <c r="H13" s="19">
        <v>0.31199999999997985</v>
      </c>
      <c r="I13" s="19" t="s">
        <v>41</v>
      </c>
      <c r="J13" s="19" t="s">
        <v>41</v>
      </c>
      <c r="K13" s="21" t="s">
        <v>41</v>
      </c>
    </row>
    <row r="14" spans="1:11" ht="18.75" x14ac:dyDescent="0.3">
      <c r="A14" s="20">
        <v>45233</v>
      </c>
      <c r="B14" s="19" t="s">
        <v>38</v>
      </c>
      <c r="C14" s="124">
        <v>45562</v>
      </c>
      <c r="D14" s="124">
        <v>45644</v>
      </c>
      <c r="E14" s="19">
        <v>1.3349999999999937</v>
      </c>
      <c r="F14" s="19">
        <v>-15.500000000000114</v>
      </c>
      <c r="G14" s="19">
        <v>-7.7000000000006175</v>
      </c>
      <c r="H14" s="19">
        <v>-0.3080000000000247</v>
      </c>
      <c r="I14" s="19" t="s">
        <v>41</v>
      </c>
      <c r="J14" s="19" t="s">
        <v>41</v>
      </c>
      <c r="K14" s="21" t="s">
        <v>41</v>
      </c>
    </row>
    <row r="15" spans="1:11" ht="18.75" x14ac:dyDescent="0.3">
      <c r="A15" s="20">
        <v>45233</v>
      </c>
      <c r="B15" s="19" t="s">
        <v>13</v>
      </c>
      <c r="C15" s="124">
        <v>45644</v>
      </c>
      <c r="D15" s="124">
        <v>45735</v>
      </c>
      <c r="E15" s="19">
        <v>1.1899999999999977</v>
      </c>
      <c r="F15" s="19">
        <v>-14.499999999999602</v>
      </c>
      <c r="G15" s="19">
        <v>-22.20000000000022</v>
      </c>
      <c r="H15" s="19">
        <v>-0.88800000000000878</v>
      </c>
      <c r="I15" s="19" t="s">
        <v>41</v>
      </c>
      <c r="J15" s="19" t="s">
        <v>41</v>
      </c>
      <c r="K15" s="21" t="s">
        <v>41</v>
      </c>
    </row>
    <row r="16" spans="1:11" ht="18.75" x14ac:dyDescent="0.3">
      <c r="A16" s="20">
        <v>45233</v>
      </c>
      <c r="B16" s="19"/>
      <c r="C16" s="124">
        <v>45735</v>
      </c>
      <c r="D16" s="124">
        <v>45826</v>
      </c>
      <c r="E16" s="19">
        <v>1.105000000000004</v>
      </c>
      <c r="F16" s="19">
        <v>-8.4999999999993747</v>
      </c>
      <c r="G16" s="19">
        <v>-422.4999999999996</v>
      </c>
      <c r="H16" s="19">
        <v>-16.899999999999984</v>
      </c>
      <c r="I16" s="19" t="s">
        <v>41</v>
      </c>
      <c r="J16" s="19" t="s">
        <v>41</v>
      </c>
      <c r="K16" s="21" t="s">
        <v>41</v>
      </c>
    </row>
    <row r="17" spans="1:11" ht="18.75" x14ac:dyDescent="0.3">
      <c r="A17" s="20">
        <v>45233</v>
      </c>
      <c r="B17" s="19"/>
      <c r="C17" s="124">
        <v>45826</v>
      </c>
      <c r="D17" s="124">
        <v>45917</v>
      </c>
      <c r="E17" s="19">
        <v>1.0649999999999977</v>
      </c>
      <c r="F17" s="19">
        <v>-4.0000000000006253</v>
      </c>
      <c r="G17" s="19">
        <v>-426.50000000000023</v>
      </c>
      <c r="H17" s="19">
        <v>-17.060000000000009</v>
      </c>
      <c r="I17" s="19" t="s">
        <v>41</v>
      </c>
      <c r="J17" s="19" t="s">
        <v>41</v>
      </c>
      <c r="K17" s="21" t="s">
        <v>41</v>
      </c>
    </row>
    <row r="18" spans="1:11" ht="18.75" x14ac:dyDescent="0.3">
      <c r="A18" s="20">
        <v>45233</v>
      </c>
      <c r="B18" s="19"/>
      <c r="C18" s="124"/>
      <c r="D18" s="124"/>
      <c r="E18" s="19"/>
      <c r="F18" s="19"/>
      <c r="G18" s="19">
        <v>-533</v>
      </c>
      <c r="H18" s="19">
        <v>-21.32</v>
      </c>
      <c r="I18" s="19" t="s">
        <v>41</v>
      </c>
      <c r="J18" s="19" t="s">
        <v>41</v>
      </c>
      <c r="K18" s="21" t="s">
        <v>41</v>
      </c>
    </row>
    <row r="19" spans="1:11" ht="18.75" x14ac:dyDescent="0.3">
      <c r="A19" s="181">
        <v>45236</v>
      </c>
      <c r="B19" s="182" t="s">
        <v>13</v>
      </c>
      <c r="C19" s="183">
        <v>45275</v>
      </c>
      <c r="D19" s="183">
        <v>45373</v>
      </c>
      <c r="E19" s="182">
        <v>1.7049999999999983</v>
      </c>
      <c r="F19" s="182">
        <v>29.299999999999837</v>
      </c>
      <c r="G19" s="182">
        <v>29.299999999999837</v>
      </c>
      <c r="H19" s="182">
        <v>1.1719999999999935</v>
      </c>
      <c r="I19" s="182">
        <v>0</v>
      </c>
      <c r="J19" s="182">
        <v>0.49999999999954525</v>
      </c>
      <c r="K19" s="184" t="s">
        <v>41</v>
      </c>
    </row>
    <row r="20" spans="1:11" ht="18.75" x14ac:dyDescent="0.3">
      <c r="A20" s="181">
        <v>45236</v>
      </c>
      <c r="B20" s="182" t="s">
        <v>15</v>
      </c>
      <c r="C20" s="183">
        <v>45373</v>
      </c>
      <c r="D20" s="183">
        <v>45464</v>
      </c>
      <c r="E20" s="182">
        <v>1.6400000000000006</v>
      </c>
      <c r="F20" s="182">
        <v>-6.4999999999997726</v>
      </c>
      <c r="G20" s="182">
        <v>22.800000000000065</v>
      </c>
      <c r="H20" s="182">
        <v>0.91200000000000259</v>
      </c>
      <c r="I20" s="182">
        <v>1.0000000000005116</v>
      </c>
      <c r="J20" s="182">
        <v>1.0000000000005116</v>
      </c>
      <c r="K20" s="184" t="s">
        <v>41</v>
      </c>
    </row>
    <row r="21" spans="1:11" ht="18.75" x14ac:dyDescent="0.3">
      <c r="A21" s="181">
        <v>45236</v>
      </c>
      <c r="B21" s="182" t="s">
        <v>37</v>
      </c>
      <c r="C21" s="183">
        <v>45464</v>
      </c>
      <c r="D21" s="183">
        <v>45562</v>
      </c>
      <c r="E21" s="182">
        <v>1.5250000000000057</v>
      </c>
      <c r="F21" s="182">
        <v>-11.499999999999488</v>
      </c>
      <c r="G21" s="182">
        <v>11.300000000000576</v>
      </c>
      <c r="H21" s="182">
        <v>0.45200000000002305</v>
      </c>
      <c r="I21" s="182">
        <v>3.50000000000108</v>
      </c>
      <c r="J21" s="182">
        <v>1.0000000000005116</v>
      </c>
      <c r="K21" s="184" t="s">
        <v>41</v>
      </c>
    </row>
    <row r="22" spans="1:11" ht="18.75" x14ac:dyDescent="0.3">
      <c r="A22" s="181">
        <v>45236</v>
      </c>
      <c r="B22" s="182" t="s">
        <v>38</v>
      </c>
      <c r="C22" s="183">
        <v>45562</v>
      </c>
      <c r="D22" s="183">
        <v>45644</v>
      </c>
      <c r="E22" s="182">
        <v>1.3900000000000006</v>
      </c>
      <c r="F22" s="182">
        <v>-13.500000000000512</v>
      </c>
      <c r="G22" s="182">
        <v>-2.1999999999999353</v>
      </c>
      <c r="H22" s="182">
        <v>-8.7999999999997414E-2</v>
      </c>
      <c r="I22" s="182">
        <v>5.5000000000006821</v>
      </c>
      <c r="J22" s="182">
        <v>1.5000000000000568</v>
      </c>
      <c r="K22" s="184" t="s">
        <v>41</v>
      </c>
    </row>
    <row r="23" spans="1:11" ht="18.75" x14ac:dyDescent="0.3">
      <c r="A23" s="181">
        <v>45236</v>
      </c>
      <c r="B23" s="182" t="s">
        <v>13</v>
      </c>
      <c r="C23" s="183">
        <v>45644</v>
      </c>
      <c r="D23" s="183">
        <v>45735</v>
      </c>
      <c r="E23" s="182">
        <v>1.25</v>
      </c>
      <c r="F23" s="182">
        <v>-14.000000000000057</v>
      </c>
      <c r="G23" s="182">
        <v>-16.199999999999992</v>
      </c>
      <c r="H23" s="182">
        <v>-0.64799999999999969</v>
      </c>
      <c r="I23" s="182">
        <v>6.0000000000002274</v>
      </c>
      <c r="J23" s="182">
        <v>1.5000000000000568</v>
      </c>
      <c r="K23" s="184" t="s">
        <v>41</v>
      </c>
    </row>
    <row r="24" spans="1:11" ht="18.75" x14ac:dyDescent="0.3">
      <c r="A24" s="181">
        <v>45236</v>
      </c>
      <c r="B24" s="182"/>
      <c r="C24" s="183">
        <v>45735</v>
      </c>
      <c r="D24" s="183">
        <v>45826</v>
      </c>
      <c r="E24" s="182">
        <v>1.1599999999999966</v>
      </c>
      <c r="F24" s="182">
        <v>-9.0000000000003411</v>
      </c>
      <c r="G24" s="182">
        <v>-417.00000000000034</v>
      </c>
      <c r="H24" s="182">
        <v>-16.680000000000014</v>
      </c>
      <c r="I24" s="182">
        <v>5.499999999999261</v>
      </c>
      <c r="J24" s="182">
        <v>0</v>
      </c>
      <c r="K24" s="184" t="s">
        <v>41</v>
      </c>
    </row>
    <row r="25" spans="1:11" ht="18.75" x14ac:dyDescent="0.3">
      <c r="A25" s="181">
        <v>45236</v>
      </c>
      <c r="B25" s="182"/>
      <c r="C25" s="183">
        <v>45826</v>
      </c>
      <c r="D25" s="183">
        <v>45917</v>
      </c>
      <c r="E25" s="182">
        <v>1.1099999999999994</v>
      </c>
      <c r="F25" s="182">
        <v>-4.9999999999997158</v>
      </c>
      <c r="G25" s="182">
        <v>-422.00000000000006</v>
      </c>
      <c r="H25" s="182">
        <v>-16.880000000000003</v>
      </c>
      <c r="I25" s="182">
        <v>4.5000000000001705</v>
      </c>
      <c r="J25" s="182">
        <v>-3.0000000000001137</v>
      </c>
      <c r="K25" s="184" t="s">
        <v>41</v>
      </c>
    </row>
    <row r="26" spans="1:11" ht="18.75" x14ac:dyDescent="0.3">
      <c r="A26" s="181">
        <v>45236</v>
      </c>
      <c r="B26" s="182"/>
      <c r="C26" s="183"/>
      <c r="D26" s="183"/>
      <c r="E26" s="182"/>
      <c r="F26" s="182"/>
      <c r="G26" s="182">
        <v>-533</v>
      </c>
      <c r="H26" s="182">
        <v>-21.32</v>
      </c>
      <c r="I26" s="182">
        <v>0</v>
      </c>
      <c r="J26" s="182">
        <v>0</v>
      </c>
      <c r="K26" s="184" t="s">
        <v>41</v>
      </c>
    </row>
    <row r="27" spans="1:11" ht="18.75" x14ac:dyDescent="0.3">
      <c r="A27" s="185">
        <v>45238</v>
      </c>
      <c r="B27" s="186" t="s">
        <v>13</v>
      </c>
      <c r="C27" s="187">
        <v>45275</v>
      </c>
      <c r="D27" s="187">
        <v>45373</v>
      </c>
      <c r="E27" s="186">
        <v>1.7099999999999937</v>
      </c>
      <c r="F27" s="186">
        <v>29.799999999999383</v>
      </c>
      <c r="G27" s="186">
        <v>29.799999999999383</v>
      </c>
      <c r="H27" s="186">
        <v>1.1919999999999753</v>
      </c>
      <c r="I27" s="186" t="s">
        <v>41</v>
      </c>
      <c r="J27" s="186" t="s">
        <v>41</v>
      </c>
      <c r="K27" s="188" t="s">
        <v>41</v>
      </c>
    </row>
    <row r="28" spans="1:11" ht="18.75" x14ac:dyDescent="0.3">
      <c r="A28" s="185">
        <v>45238</v>
      </c>
      <c r="B28" s="186" t="s">
        <v>15</v>
      </c>
      <c r="C28" s="187">
        <v>45373</v>
      </c>
      <c r="D28" s="187">
        <v>45464</v>
      </c>
      <c r="E28" s="186">
        <v>1.6500000000000057</v>
      </c>
      <c r="F28" s="186">
        <v>-5.9999999999988063</v>
      </c>
      <c r="G28" s="186">
        <v>23.800000000000576</v>
      </c>
      <c r="H28" s="186">
        <v>0.95200000000002305</v>
      </c>
      <c r="I28" s="186" t="s">
        <v>41</v>
      </c>
      <c r="J28" s="186" t="s">
        <v>41</v>
      </c>
      <c r="K28" s="188" t="s">
        <v>41</v>
      </c>
    </row>
    <row r="29" spans="1:11" ht="18.75" x14ac:dyDescent="0.3">
      <c r="A29" s="185">
        <v>45238</v>
      </c>
      <c r="B29" s="186" t="s">
        <v>37</v>
      </c>
      <c r="C29" s="187">
        <v>45464</v>
      </c>
      <c r="D29" s="187">
        <v>45562</v>
      </c>
      <c r="E29" s="186">
        <v>1.5349999999999966</v>
      </c>
      <c r="F29" s="186">
        <v>-11.500000000000909</v>
      </c>
      <c r="G29" s="186">
        <v>12.299999999999667</v>
      </c>
      <c r="H29" s="186">
        <v>0.49199999999998667</v>
      </c>
      <c r="I29" s="186" t="s">
        <v>41</v>
      </c>
      <c r="J29" s="186" t="s">
        <v>41</v>
      </c>
      <c r="K29" s="188" t="s">
        <v>41</v>
      </c>
    </row>
    <row r="30" spans="1:11" ht="18.75" x14ac:dyDescent="0.3">
      <c r="A30" s="185">
        <v>45238</v>
      </c>
      <c r="B30" s="186" t="s">
        <v>38</v>
      </c>
      <c r="C30" s="187">
        <v>45562</v>
      </c>
      <c r="D30" s="187">
        <v>45644</v>
      </c>
      <c r="E30" s="186">
        <v>1.3900000000000006</v>
      </c>
      <c r="F30" s="186">
        <v>-14.499999999999602</v>
      </c>
      <c r="G30" s="186">
        <v>-2.1999999999999353</v>
      </c>
      <c r="H30" s="186">
        <v>-8.7999999999997414E-2</v>
      </c>
      <c r="I30" s="186" t="s">
        <v>41</v>
      </c>
      <c r="J30" s="186" t="s">
        <v>41</v>
      </c>
      <c r="K30" s="188" t="s">
        <v>41</v>
      </c>
    </row>
    <row r="31" spans="1:11" ht="18.75" x14ac:dyDescent="0.3">
      <c r="A31" s="185">
        <v>45238</v>
      </c>
      <c r="B31" s="186" t="s">
        <v>13</v>
      </c>
      <c r="C31" s="187">
        <v>45644</v>
      </c>
      <c r="D31" s="187">
        <v>45735</v>
      </c>
      <c r="E31" s="186">
        <v>1.2450000000000045</v>
      </c>
      <c r="F31" s="186">
        <v>-14.499999999999602</v>
      </c>
      <c r="G31" s="186">
        <v>-16.699999999999537</v>
      </c>
      <c r="H31" s="186">
        <v>-0.6679999999999815</v>
      </c>
      <c r="I31" s="186" t="s">
        <v>41</v>
      </c>
      <c r="J31" s="186" t="s">
        <v>41</v>
      </c>
      <c r="K31" s="188" t="s">
        <v>41</v>
      </c>
    </row>
    <row r="32" spans="1:11" ht="18.75" x14ac:dyDescent="0.3">
      <c r="A32" s="185">
        <v>45238</v>
      </c>
      <c r="B32" s="186"/>
      <c r="C32" s="187">
        <v>45735</v>
      </c>
      <c r="D32" s="187">
        <v>45826</v>
      </c>
      <c r="E32" s="186">
        <v>1.1400000000000006</v>
      </c>
      <c r="F32" s="186">
        <v>-10.500000000000398</v>
      </c>
      <c r="G32" s="186">
        <v>-418.99999999999994</v>
      </c>
      <c r="H32" s="186">
        <v>-16.759999999999998</v>
      </c>
      <c r="I32" s="186" t="s">
        <v>41</v>
      </c>
      <c r="J32" s="186" t="s">
        <v>41</v>
      </c>
      <c r="K32" s="188" t="s">
        <v>41</v>
      </c>
    </row>
    <row r="33" spans="1:11" ht="18.75" x14ac:dyDescent="0.3">
      <c r="A33" s="185">
        <v>45238</v>
      </c>
      <c r="B33" s="186"/>
      <c r="C33" s="187">
        <v>45826</v>
      </c>
      <c r="D33" s="187">
        <v>45917</v>
      </c>
      <c r="E33" s="186">
        <v>1.0699999999999932</v>
      </c>
      <c r="F33" s="186">
        <v>-7.000000000000739</v>
      </c>
      <c r="G33" s="186">
        <v>-426.00000000000068</v>
      </c>
      <c r="H33" s="186">
        <v>-17.040000000000028</v>
      </c>
      <c r="I33" s="186" t="s">
        <v>41</v>
      </c>
      <c r="J33" s="186" t="s">
        <v>41</v>
      </c>
      <c r="K33" s="188" t="s">
        <v>41</v>
      </c>
    </row>
    <row r="34" spans="1:11" ht="18.75" x14ac:dyDescent="0.3">
      <c r="A34" s="185">
        <v>45238</v>
      </c>
      <c r="B34" s="186"/>
      <c r="C34" s="187"/>
      <c r="D34" s="187"/>
      <c r="E34" s="186"/>
      <c r="F34" s="186"/>
      <c r="G34" s="186">
        <v>-533</v>
      </c>
      <c r="H34" s="186">
        <v>-21.32</v>
      </c>
      <c r="I34" s="186" t="s">
        <v>41</v>
      </c>
      <c r="J34" s="186" t="s">
        <v>41</v>
      </c>
      <c r="K34" s="188" t="s">
        <v>41</v>
      </c>
    </row>
    <row r="35" spans="1:11" ht="18.75" x14ac:dyDescent="0.3">
      <c r="A35" s="185">
        <v>45239</v>
      </c>
      <c r="B35" s="186" t="s">
        <v>13</v>
      </c>
      <c r="C35" s="187">
        <v>45275</v>
      </c>
      <c r="D35" s="187">
        <v>45373</v>
      </c>
      <c r="E35" s="186">
        <v>1.7099999999999937</v>
      </c>
      <c r="F35" s="186">
        <v>29.799999999999383</v>
      </c>
      <c r="G35" s="186">
        <v>29.799999999999383</v>
      </c>
      <c r="H35" s="186">
        <v>1.1919999999999753</v>
      </c>
      <c r="I35" s="186">
        <v>0</v>
      </c>
      <c r="J35" s="186" t="s">
        <v>41</v>
      </c>
      <c r="K35" s="188" t="s">
        <v>41</v>
      </c>
    </row>
    <row r="36" spans="1:11" ht="18.75" x14ac:dyDescent="0.3">
      <c r="A36" s="185">
        <v>45239</v>
      </c>
      <c r="B36" s="186" t="s">
        <v>15</v>
      </c>
      <c r="C36" s="187">
        <v>45373</v>
      </c>
      <c r="D36" s="187">
        <v>45464</v>
      </c>
      <c r="E36" s="186">
        <v>1.6650000000000063</v>
      </c>
      <c r="F36" s="186">
        <v>-4.4999999999987494</v>
      </c>
      <c r="G36" s="186">
        <v>25.300000000000633</v>
      </c>
      <c r="H36" s="186">
        <v>1.0120000000000253</v>
      </c>
      <c r="I36" s="186">
        <v>1.5000000000000568</v>
      </c>
      <c r="J36" s="186" t="s">
        <v>41</v>
      </c>
      <c r="K36" s="188" t="s">
        <v>41</v>
      </c>
    </row>
    <row r="37" spans="1:11" ht="18.75" x14ac:dyDescent="0.3">
      <c r="A37" s="185">
        <v>45239</v>
      </c>
      <c r="B37" s="186" t="s">
        <v>37</v>
      </c>
      <c r="C37" s="187">
        <v>45464</v>
      </c>
      <c r="D37" s="187">
        <v>45562</v>
      </c>
      <c r="E37" s="186">
        <v>1.5649999999999977</v>
      </c>
      <c r="F37" s="186">
        <v>-10.000000000000853</v>
      </c>
      <c r="G37" s="186">
        <v>15.29999999999978</v>
      </c>
      <c r="H37" s="186">
        <v>0.61199999999999122</v>
      </c>
      <c r="I37" s="186">
        <v>3.0000000000001137</v>
      </c>
      <c r="J37" s="186" t="s">
        <v>41</v>
      </c>
      <c r="K37" s="188" t="s">
        <v>41</v>
      </c>
    </row>
    <row r="38" spans="1:11" ht="18.75" x14ac:dyDescent="0.3">
      <c r="A38" s="185">
        <v>45239</v>
      </c>
      <c r="B38" s="186" t="s">
        <v>38</v>
      </c>
      <c r="C38" s="187">
        <v>45562</v>
      </c>
      <c r="D38" s="187">
        <v>45644</v>
      </c>
      <c r="E38" s="186">
        <v>1.4350000000000023</v>
      </c>
      <c r="F38" s="186">
        <v>-12.999999999999545</v>
      </c>
      <c r="G38" s="186">
        <v>2.3000000000002352</v>
      </c>
      <c r="H38" s="186">
        <v>9.2000000000009408E-2</v>
      </c>
      <c r="I38" s="186">
        <v>4.5000000000001705</v>
      </c>
      <c r="J38" s="186" t="s">
        <v>41</v>
      </c>
      <c r="K38" s="188" t="s">
        <v>41</v>
      </c>
    </row>
    <row r="39" spans="1:11" ht="18.75" x14ac:dyDescent="0.3">
      <c r="A39" s="185">
        <v>45239</v>
      </c>
      <c r="B39" s="186" t="s">
        <v>13</v>
      </c>
      <c r="C39" s="187">
        <v>45644</v>
      </c>
      <c r="D39" s="187">
        <v>45735</v>
      </c>
      <c r="E39" s="186">
        <v>1.2849999999999966</v>
      </c>
      <c r="F39" s="186">
        <v>-15.000000000000568</v>
      </c>
      <c r="G39" s="186">
        <v>-12.700000000000333</v>
      </c>
      <c r="H39" s="186">
        <v>-0.50800000000001333</v>
      </c>
      <c r="I39" s="186">
        <v>3.9999999999992042</v>
      </c>
      <c r="J39" s="186" t="s">
        <v>41</v>
      </c>
      <c r="K39" s="188" t="s">
        <v>41</v>
      </c>
    </row>
    <row r="40" spans="1:11" ht="18.75" x14ac:dyDescent="0.3">
      <c r="A40" s="185">
        <v>45239</v>
      </c>
      <c r="B40" s="186"/>
      <c r="C40" s="187">
        <v>45735</v>
      </c>
      <c r="D40" s="187">
        <v>45826</v>
      </c>
      <c r="E40" s="186">
        <v>1.1749999999999972</v>
      </c>
      <c r="F40" s="186">
        <v>-10.999999999999943</v>
      </c>
      <c r="G40" s="186">
        <v>-415.50000000000028</v>
      </c>
      <c r="H40" s="186">
        <v>-16.620000000000012</v>
      </c>
      <c r="I40" s="186">
        <v>3.4999999999996589</v>
      </c>
      <c r="J40" s="186" t="s">
        <v>41</v>
      </c>
      <c r="K40" s="188" t="s">
        <v>41</v>
      </c>
    </row>
    <row r="41" spans="1:11" ht="18.75" x14ac:dyDescent="0.3">
      <c r="A41" s="185">
        <v>45239</v>
      </c>
      <c r="B41" s="186"/>
      <c r="C41" s="187">
        <v>45826</v>
      </c>
      <c r="D41" s="187">
        <v>45917</v>
      </c>
      <c r="E41" s="186">
        <v>1.1099999999999994</v>
      </c>
      <c r="F41" s="186">
        <v>-6.4999999999997726</v>
      </c>
      <c r="G41" s="186">
        <v>-422.00000000000006</v>
      </c>
      <c r="H41" s="186">
        <v>-16.880000000000003</v>
      </c>
      <c r="I41" s="186">
        <v>4.0000000000006253</v>
      </c>
      <c r="J41" s="186" t="s">
        <v>41</v>
      </c>
      <c r="K41" s="188" t="s">
        <v>41</v>
      </c>
    </row>
    <row r="42" spans="1:11" ht="18.75" x14ac:dyDescent="0.3">
      <c r="A42" s="185">
        <v>45239</v>
      </c>
      <c r="B42" s="186"/>
      <c r="C42" s="187"/>
      <c r="D42" s="187"/>
      <c r="E42" s="186"/>
      <c r="F42" s="186"/>
      <c r="G42" s="186">
        <v>-533</v>
      </c>
      <c r="H42" s="186">
        <v>-21.32</v>
      </c>
      <c r="I42" s="186">
        <v>0</v>
      </c>
      <c r="J42" s="186" t="s">
        <v>41</v>
      </c>
      <c r="K42" s="188" t="s">
        <v>41</v>
      </c>
    </row>
    <row r="43" spans="1:11" ht="18.75" x14ac:dyDescent="0.3">
      <c r="A43" s="189">
        <v>45245</v>
      </c>
      <c r="B43" s="190" t="s">
        <v>13</v>
      </c>
      <c r="C43" s="191">
        <v>45275</v>
      </c>
      <c r="D43" s="191">
        <v>45373</v>
      </c>
      <c r="E43" s="190">
        <v>1.7099999999999937</v>
      </c>
      <c r="F43" s="190">
        <v>29.799999999999383</v>
      </c>
      <c r="G43" s="190">
        <v>29.799999999999383</v>
      </c>
      <c r="H43" s="190">
        <v>1.1919999999999753</v>
      </c>
      <c r="I43" s="190" t="s">
        <v>41</v>
      </c>
      <c r="J43" s="190">
        <v>0</v>
      </c>
      <c r="K43" s="192" t="s">
        <v>41</v>
      </c>
    </row>
    <row r="44" spans="1:11" ht="18.75" x14ac:dyDescent="0.3">
      <c r="A44" s="189">
        <v>45245</v>
      </c>
      <c r="B44" s="190" t="s">
        <v>15</v>
      </c>
      <c r="C44" s="191">
        <v>45373</v>
      </c>
      <c r="D44" s="191">
        <v>45464</v>
      </c>
      <c r="E44" s="190">
        <v>1.6700000000000017</v>
      </c>
      <c r="F44" s="190">
        <v>-3.9999999999992042</v>
      </c>
      <c r="G44" s="190">
        <v>25.800000000000178</v>
      </c>
      <c r="H44" s="190">
        <v>1.0320000000000071</v>
      </c>
      <c r="I44" s="190" t="s">
        <v>41</v>
      </c>
      <c r="J44" s="190">
        <v>1.9999999999996021</v>
      </c>
      <c r="K44" s="192" t="s">
        <v>41</v>
      </c>
    </row>
    <row r="45" spans="1:11" ht="18.75" x14ac:dyDescent="0.3">
      <c r="A45" s="189">
        <v>45245</v>
      </c>
      <c r="B45" s="190" t="s">
        <v>37</v>
      </c>
      <c r="C45" s="191">
        <v>45464</v>
      </c>
      <c r="D45" s="191">
        <v>45562</v>
      </c>
      <c r="E45" s="190">
        <v>1.5849999999999937</v>
      </c>
      <c r="F45" s="190">
        <v>-8.5000000000007958</v>
      </c>
      <c r="G45" s="190">
        <v>17.299999999999383</v>
      </c>
      <c r="H45" s="190">
        <v>0.6919999999999753</v>
      </c>
      <c r="I45" s="190" t="s">
        <v>41</v>
      </c>
      <c r="J45" s="190">
        <v>4.9999999999997158</v>
      </c>
      <c r="K45" s="192" t="s">
        <v>41</v>
      </c>
    </row>
    <row r="46" spans="1:11" ht="18.75" x14ac:dyDescent="0.3">
      <c r="A46" s="189">
        <v>45245</v>
      </c>
      <c r="B46" s="190" t="s">
        <v>38</v>
      </c>
      <c r="C46" s="191">
        <v>45562</v>
      </c>
      <c r="D46" s="191">
        <v>45644</v>
      </c>
      <c r="E46" s="190">
        <v>1.4549999999999983</v>
      </c>
      <c r="F46" s="190">
        <v>-12.999999999999545</v>
      </c>
      <c r="G46" s="190">
        <v>4.2999999999998373</v>
      </c>
      <c r="H46" s="190">
        <v>0.17199999999999349</v>
      </c>
      <c r="I46" s="190" t="s">
        <v>41</v>
      </c>
      <c r="J46" s="190">
        <v>6.4999999999997726</v>
      </c>
      <c r="K46" s="192" t="s">
        <v>41</v>
      </c>
    </row>
    <row r="47" spans="1:11" ht="18.75" x14ac:dyDescent="0.3">
      <c r="A47" s="189">
        <v>45245</v>
      </c>
      <c r="B47" s="190" t="s">
        <v>13</v>
      </c>
      <c r="C47" s="191">
        <v>45644</v>
      </c>
      <c r="D47" s="191">
        <v>45735</v>
      </c>
      <c r="E47" s="190">
        <v>1.2950000000000017</v>
      </c>
      <c r="F47" s="190">
        <v>-15.999999999999659</v>
      </c>
      <c r="G47" s="190">
        <v>-11.699999999999822</v>
      </c>
      <c r="H47" s="190">
        <v>-0.46799999999999287</v>
      </c>
      <c r="I47" s="190" t="s">
        <v>41</v>
      </c>
      <c r="J47" s="190">
        <v>4.9999999999997158</v>
      </c>
      <c r="K47" s="192" t="s">
        <v>41</v>
      </c>
    </row>
    <row r="48" spans="1:11" ht="18.75" x14ac:dyDescent="0.3">
      <c r="A48" s="189">
        <v>45245</v>
      </c>
      <c r="B48" s="190"/>
      <c r="C48" s="191">
        <v>45735</v>
      </c>
      <c r="D48" s="191">
        <v>45826</v>
      </c>
      <c r="E48" s="190">
        <v>1.144999999999996</v>
      </c>
      <c r="F48" s="190">
        <v>-15.000000000000568</v>
      </c>
      <c r="G48" s="190">
        <v>-418.5000000000004</v>
      </c>
      <c r="H48" s="190">
        <v>-16.740000000000016</v>
      </c>
      <c r="I48" s="190" t="s">
        <v>41</v>
      </c>
      <c r="J48" s="190">
        <v>0.49999999999954525</v>
      </c>
      <c r="K48" s="192" t="s">
        <v>41</v>
      </c>
    </row>
    <row r="49" spans="1:11" ht="18.75" x14ac:dyDescent="0.3">
      <c r="A49" s="189">
        <v>45245</v>
      </c>
      <c r="B49" s="190"/>
      <c r="C49" s="191">
        <v>45826</v>
      </c>
      <c r="D49" s="191">
        <v>45917</v>
      </c>
      <c r="E49" s="190">
        <v>1.0600000000000023</v>
      </c>
      <c r="F49" s="190">
        <v>-8.4999999999993747</v>
      </c>
      <c r="G49" s="190">
        <v>-426.99999999999977</v>
      </c>
      <c r="H49" s="190">
        <v>-17.079999999999991</v>
      </c>
      <c r="I49" s="190" t="s">
        <v>41</v>
      </c>
      <c r="J49" s="190">
        <v>-0.99999999999909051</v>
      </c>
      <c r="K49" s="192" t="s">
        <v>41</v>
      </c>
    </row>
    <row r="50" spans="1:11" ht="18.75" x14ac:dyDescent="0.3">
      <c r="A50" s="189">
        <v>45245</v>
      </c>
      <c r="B50" s="190"/>
      <c r="C50" s="191"/>
      <c r="D50" s="191"/>
      <c r="E50" s="190"/>
      <c r="F50" s="190"/>
      <c r="G50" s="190">
        <v>-533</v>
      </c>
      <c r="H50" s="190">
        <v>-21.32</v>
      </c>
      <c r="I50" s="190" t="s">
        <v>41</v>
      </c>
      <c r="J50" s="190">
        <v>0</v>
      </c>
      <c r="K50" s="192" t="s">
        <v>41</v>
      </c>
    </row>
    <row r="51" spans="1:11" ht="18.75" x14ac:dyDescent="0.3">
      <c r="A51" s="20">
        <v>45247</v>
      </c>
      <c r="B51" s="19" t="s">
        <v>13</v>
      </c>
      <c r="C51" s="124">
        <v>45275</v>
      </c>
      <c r="D51" s="124">
        <v>45373</v>
      </c>
      <c r="E51" s="19">
        <v>1.7000000000000028</v>
      </c>
      <c r="F51" s="19">
        <v>28.800000000000292</v>
      </c>
      <c r="G51" s="19">
        <v>28.800000000000292</v>
      </c>
      <c r="H51" s="19">
        <v>1.1520000000000117</v>
      </c>
      <c r="I51" s="19" t="s">
        <v>41</v>
      </c>
      <c r="J51" s="19" t="s">
        <v>41</v>
      </c>
      <c r="K51" s="21" t="s">
        <v>41</v>
      </c>
    </row>
    <row r="52" spans="1:11" ht="18.75" x14ac:dyDescent="0.3">
      <c r="A52" s="20">
        <v>45247</v>
      </c>
      <c r="B52" s="19" t="s">
        <v>15</v>
      </c>
      <c r="C52" s="124">
        <v>45373</v>
      </c>
      <c r="D52" s="124">
        <v>45464</v>
      </c>
      <c r="E52" s="19">
        <v>1.6500000000000057</v>
      </c>
      <c r="F52" s="19">
        <v>-4.9999999999997158</v>
      </c>
      <c r="G52" s="19">
        <v>23.800000000000576</v>
      </c>
      <c r="H52" s="19">
        <v>0.95200000000002305</v>
      </c>
      <c r="I52" s="19" t="s">
        <v>41</v>
      </c>
      <c r="J52" s="19" t="s">
        <v>41</v>
      </c>
      <c r="K52" s="21" t="s">
        <v>41</v>
      </c>
    </row>
    <row r="53" spans="1:11" ht="18.75" x14ac:dyDescent="0.3">
      <c r="A53" s="20">
        <v>45247</v>
      </c>
      <c r="B53" s="19" t="s">
        <v>37</v>
      </c>
      <c r="C53" s="124">
        <v>45464</v>
      </c>
      <c r="D53" s="124">
        <v>45562</v>
      </c>
      <c r="E53" s="19">
        <v>1.5550000000000068</v>
      </c>
      <c r="F53" s="19">
        <v>-9.4999999999998863</v>
      </c>
      <c r="G53" s="19">
        <v>14.30000000000069</v>
      </c>
      <c r="H53" s="19">
        <v>0.5720000000000276</v>
      </c>
      <c r="I53" s="19" t="s">
        <v>41</v>
      </c>
      <c r="J53" s="19" t="s">
        <v>41</v>
      </c>
      <c r="K53" s="21" t="s">
        <v>41</v>
      </c>
    </row>
    <row r="54" spans="1:11" ht="18.75" x14ac:dyDescent="0.3">
      <c r="A54" s="20">
        <v>45247</v>
      </c>
      <c r="B54" s="19" t="s">
        <v>38</v>
      </c>
      <c r="C54" s="124">
        <v>45562</v>
      </c>
      <c r="D54" s="124">
        <v>45644</v>
      </c>
      <c r="E54" s="19">
        <v>1.4200000000000017</v>
      </c>
      <c r="F54" s="19">
        <v>-13.500000000000512</v>
      </c>
      <c r="G54" s="19">
        <v>0.80000000000017835</v>
      </c>
      <c r="H54" s="19">
        <v>3.2000000000007134E-2</v>
      </c>
      <c r="I54" s="19" t="s">
        <v>41</v>
      </c>
      <c r="J54" s="19" t="s">
        <v>41</v>
      </c>
      <c r="K54" s="21" t="s">
        <v>41</v>
      </c>
    </row>
    <row r="55" spans="1:11" ht="18.75" x14ac:dyDescent="0.3">
      <c r="A55" s="20">
        <v>45247</v>
      </c>
      <c r="B55" s="19" t="s">
        <v>13</v>
      </c>
      <c r="C55" s="124">
        <v>45644</v>
      </c>
      <c r="D55" s="124">
        <v>45735</v>
      </c>
      <c r="E55" s="19">
        <v>1.2650000000000006</v>
      </c>
      <c r="F55" s="19">
        <v>-15.500000000000114</v>
      </c>
      <c r="G55" s="19">
        <v>-14.699999999999935</v>
      </c>
      <c r="H55" s="19">
        <v>-0.58799999999999741</v>
      </c>
      <c r="I55" s="19" t="s">
        <v>41</v>
      </c>
      <c r="J55" s="19" t="s">
        <v>41</v>
      </c>
      <c r="K55" s="21" t="s">
        <v>41</v>
      </c>
    </row>
    <row r="56" spans="1:11" ht="18.75" x14ac:dyDescent="0.3">
      <c r="A56" s="20">
        <v>45247</v>
      </c>
      <c r="B56" s="19"/>
      <c r="C56" s="124">
        <v>45735</v>
      </c>
      <c r="D56" s="124">
        <v>45826</v>
      </c>
      <c r="E56" s="19">
        <v>1.125</v>
      </c>
      <c r="F56" s="19">
        <v>-14.000000000000057</v>
      </c>
      <c r="G56" s="19">
        <v>-420.5</v>
      </c>
      <c r="H56" s="19">
        <v>-16.82</v>
      </c>
      <c r="I56" s="19" t="s">
        <v>41</v>
      </c>
      <c r="J56" s="19" t="s">
        <v>41</v>
      </c>
      <c r="K56" s="21" t="s">
        <v>41</v>
      </c>
    </row>
    <row r="57" spans="1:11" ht="18.75" x14ac:dyDescent="0.3">
      <c r="A57" s="20">
        <v>45247</v>
      </c>
      <c r="B57" s="19"/>
      <c r="C57" s="124">
        <v>45826</v>
      </c>
      <c r="D57" s="124">
        <v>45917</v>
      </c>
      <c r="E57" s="19">
        <v>1.0400000000000063</v>
      </c>
      <c r="F57" s="19">
        <v>-8.4999999999993747</v>
      </c>
      <c r="G57" s="19">
        <v>-428.99999999999937</v>
      </c>
      <c r="H57" s="19">
        <v>-17.159999999999975</v>
      </c>
      <c r="I57" s="19" t="s">
        <v>41</v>
      </c>
      <c r="J57" s="19" t="s">
        <v>41</v>
      </c>
      <c r="K57" s="21" t="s">
        <v>41</v>
      </c>
    </row>
    <row r="58" spans="1:11" ht="18.75" x14ac:dyDescent="0.3">
      <c r="A58" s="20">
        <v>45247</v>
      </c>
      <c r="B58" s="19"/>
      <c r="C58" s="124"/>
      <c r="D58" s="124"/>
      <c r="E58" s="19"/>
      <c r="F58" s="19"/>
      <c r="G58" s="19">
        <v>-533</v>
      </c>
      <c r="H58" s="19">
        <v>-21.32</v>
      </c>
      <c r="I58" s="19" t="s">
        <v>41</v>
      </c>
      <c r="J58" s="19" t="s">
        <v>41</v>
      </c>
      <c r="K58" s="21" t="s">
        <v>41</v>
      </c>
    </row>
    <row r="59" spans="1:11" ht="18.75" x14ac:dyDescent="0.3">
      <c r="A59" s="193">
        <v>45250</v>
      </c>
      <c r="B59" s="194" t="s">
        <v>13</v>
      </c>
      <c r="C59" s="195">
        <v>45275</v>
      </c>
      <c r="D59" s="195">
        <v>45373</v>
      </c>
      <c r="E59" s="194">
        <v>1.6949999999999932</v>
      </c>
      <c r="F59" s="194">
        <v>28.299999999999326</v>
      </c>
      <c r="G59" s="194">
        <v>28.299999999999326</v>
      </c>
      <c r="H59" s="194">
        <v>1.131999999999973</v>
      </c>
      <c r="I59" s="194">
        <v>-0.50000000000096634</v>
      </c>
      <c r="J59" s="194" t="s">
        <v>41</v>
      </c>
      <c r="K59" s="196" t="s">
        <v>41</v>
      </c>
    </row>
    <row r="60" spans="1:11" ht="18.75" x14ac:dyDescent="0.3">
      <c r="A60" s="193">
        <v>45250</v>
      </c>
      <c r="B60" s="194" t="s">
        <v>15</v>
      </c>
      <c r="C60" s="195">
        <v>45373</v>
      </c>
      <c r="D60" s="195">
        <v>45464</v>
      </c>
      <c r="E60" s="194">
        <v>1.6400000000000006</v>
      </c>
      <c r="F60" s="194">
        <v>-5.499999999999261</v>
      </c>
      <c r="G60" s="194">
        <v>22.800000000000065</v>
      </c>
      <c r="H60" s="194">
        <v>0.91200000000000259</v>
      </c>
      <c r="I60" s="194">
        <v>-1.0000000000005116</v>
      </c>
      <c r="J60" s="194" t="s">
        <v>41</v>
      </c>
      <c r="K60" s="196" t="s">
        <v>41</v>
      </c>
    </row>
    <row r="61" spans="1:11" ht="18.75" x14ac:dyDescent="0.3">
      <c r="A61" s="193">
        <v>45250</v>
      </c>
      <c r="B61" s="194" t="s">
        <v>37</v>
      </c>
      <c r="C61" s="195">
        <v>45464</v>
      </c>
      <c r="D61" s="195">
        <v>45562</v>
      </c>
      <c r="E61" s="194">
        <v>1.5499999999999972</v>
      </c>
      <c r="F61" s="194">
        <v>-9.0000000000003411</v>
      </c>
      <c r="G61" s="194">
        <v>13.799999999999724</v>
      </c>
      <c r="H61" s="194">
        <v>0.55199999999998894</v>
      </c>
      <c r="I61" s="194">
        <v>-0.50000000000096634</v>
      </c>
      <c r="J61" s="194" t="s">
        <v>41</v>
      </c>
      <c r="K61" s="196" t="s">
        <v>41</v>
      </c>
    </row>
    <row r="62" spans="1:11" ht="18.75" x14ac:dyDescent="0.3">
      <c r="A62" s="193">
        <v>45250</v>
      </c>
      <c r="B62" s="194" t="s">
        <v>38</v>
      </c>
      <c r="C62" s="195">
        <v>45562</v>
      </c>
      <c r="D62" s="195">
        <v>45644</v>
      </c>
      <c r="E62" s="194">
        <v>1.4249999999999972</v>
      </c>
      <c r="F62" s="194">
        <v>-12.5</v>
      </c>
      <c r="G62" s="194">
        <v>1.2999999999997236</v>
      </c>
      <c r="H62" s="194">
        <v>5.1999999999988944E-2</v>
      </c>
      <c r="I62" s="194">
        <v>0.49999999999954525</v>
      </c>
      <c r="J62" s="194" t="s">
        <v>41</v>
      </c>
      <c r="K62" s="196" t="s">
        <v>41</v>
      </c>
    </row>
    <row r="63" spans="1:11" ht="18.75" x14ac:dyDescent="0.3">
      <c r="A63" s="193">
        <v>45250</v>
      </c>
      <c r="B63" s="194" t="s">
        <v>13</v>
      </c>
      <c r="C63" s="195">
        <v>45644</v>
      </c>
      <c r="D63" s="195">
        <v>45735</v>
      </c>
      <c r="E63" s="194">
        <v>1.2650000000000006</v>
      </c>
      <c r="F63" s="194">
        <v>-15.999999999999659</v>
      </c>
      <c r="G63" s="194">
        <v>-14.699999999999935</v>
      </c>
      <c r="H63" s="194">
        <v>-0.58799999999999741</v>
      </c>
      <c r="I63" s="194">
        <v>0</v>
      </c>
      <c r="J63" s="194" t="s">
        <v>41</v>
      </c>
      <c r="K63" s="196" t="s">
        <v>41</v>
      </c>
    </row>
    <row r="64" spans="1:11" ht="18.75" x14ac:dyDescent="0.3">
      <c r="A64" s="193">
        <v>45250</v>
      </c>
      <c r="B64" s="194"/>
      <c r="C64" s="195">
        <v>45735</v>
      </c>
      <c r="D64" s="195">
        <v>45826</v>
      </c>
      <c r="E64" s="194">
        <v>1.125</v>
      </c>
      <c r="F64" s="194">
        <v>-14.000000000000057</v>
      </c>
      <c r="G64" s="194">
        <v>-420.5</v>
      </c>
      <c r="H64" s="194">
        <v>-16.82</v>
      </c>
      <c r="I64" s="194">
        <v>0</v>
      </c>
      <c r="J64" s="194" t="s">
        <v>41</v>
      </c>
      <c r="K64" s="196" t="s">
        <v>41</v>
      </c>
    </row>
    <row r="65" spans="1:11" ht="18.75" x14ac:dyDescent="0.3">
      <c r="A65" s="193">
        <v>45250</v>
      </c>
      <c r="B65" s="194"/>
      <c r="C65" s="195">
        <v>45826</v>
      </c>
      <c r="D65" s="195">
        <v>45917</v>
      </c>
      <c r="E65" s="194">
        <v>1.0349999999999966</v>
      </c>
      <c r="F65" s="194">
        <v>-9.0000000000003411</v>
      </c>
      <c r="G65" s="194">
        <v>-429.50000000000034</v>
      </c>
      <c r="H65" s="194">
        <v>-17.180000000000014</v>
      </c>
      <c r="I65" s="194">
        <v>-0.50000000000096634</v>
      </c>
      <c r="J65" s="194" t="s">
        <v>41</v>
      </c>
      <c r="K65" s="196" t="s">
        <v>41</v>
      </c>
    </row>
    <row r="66" spans="1:11" ht="18.75" x14ac:dyDescent="0.3">
      <c r="A66" s="193">
        <v>45250</v>
      </c>
      <c r="B66" s="194"/>
      <c r="C66" s="195"/>
      <c r="D66" s="195"/>
      <c r="E66" s="194"/>
      <c r="F66" s="194"/>
      <c r="G66" s="194">
        <v>-533</v>
      </c>
      <c r="H66" s="194">
        <v>-21.32</v>
      </c>
      <c r="I66" s="194">
        <v>0</v>
      </c>
      <c r="J66" s="194" t="s">
        <v>41</v>
      </c>
      <c r="K66" s="196" t="s">
        <v>41</v>
      </c>
    </row>
    <row r="67" spans="1:11" ht="18.75" x14ac:dyDescent="0.3">
      <c r="A67" s="20">
        <v>45252</v>
      </c>
      <c r="B67" s="19" t="s">
        <v>13</v>
      </c>
      <c r="C67" s="124">
        <v>45275</v>
      </c>
      <c r="D67" s="124">
        <v>45373</v>
      </c>
      <c r="E67" s="19">
        <v>1.6949999999999932</v>
      </c>
      <c r="F67" s="19">
        <v>28.299999999999326</v>
      </c>
      <c r="G67" s="19">
        <v>28.299999999999326</v>
      </c>
      <c r="H67" s="19">
        <v>1.131999999999973</v>
      </c>
      <c r="I67" s="19" t="s">
        <v>41</v>
      </c>
      <c r="J67" s="19">
        <v>-1.5000000000000568</v>
      </c>
      <c r="K67" s="21" t="s">
        <v>41</v>
      </c>
    </row>
    <row r="68" spans="1:11" ht="18.75" x14ac:dyDescent="0.3">
      <c r="A68" s="20">
        <v>45252</v>
      </c>
      <c r="B68" s="19" t="s">
        <v>15</v>
      </c>
      <c r="C68" s="124">
        <v>45373</v>
      </c>
      <c r="D68" s="124">
        <v>45464</v>
      </c>
      <c r="E68" s="19">
        <v>1.6400000000000006</v>
      </c>
      <c r="F68" s="19">
        <v>-5.499999999999261</v>
      </c>
      <c r="G68" s="19">
        <v>22.800000000000065</v>
      </c>
      <c r="H68" s="19">
        <v>0.91200000000000259</v>
      </c>
      <c r="I68" s="19" t="s">
        <v>41</v>
      </c>
      <c r="J68" s="19">
        <v>-3.0000000000001137</v>
      </c>
      <c r="K68" s="21" t="s">
        <v>41</v>
      </c>
    </row>
    <row r="69" spans="1:11" ht="18.75" x14ac:dyDescent="0.3">
      <c r="A69" s="20">
        <v>45252</v>
      </c>
      <c r="B69" s="19" t="s">
        <v>37</v>
      </c>
      <c r="C69" s="124">
        <v>45464</v>
      </c>
      <c r="D69" s="124">
        <v>45562</v>
      </c>
      <c r="E69" s="19">
        <v>1.5600000000000023</v>
      </c>
      <c r="F69" s="19">
        <v>-7.9999999999998295</v>
      </c>
      <c r="G69" s="19">
        <v>14.800000000000235</v>
      </c>
      <c r="H69" s="19">
        <v>0.59200000000000941</v>
      </c>
      <c r="I69" s="19" t="s">
        <v>41</v>
      </c>
      <c r="J69" s="19">
        <v>-2.4999999999991473</v>
      </c>
      <c r="K69" s="21" t="s">
        <v>41</v>
      </c>
    </row>
    <row r="70" spans="1:11" ht="18.75" x14ac:dyDescent="0.3">
      <c r="A70" s="20">
        <v>45252</v>
      </c>
      <c r="B70" s="19" t="s">
        <v>38</v>
      </c>
      <c r="C70" s="124">
        <v>45562</v>
      </c>
      <c r="D70" s="124">
        <v>45644</v>
      </c>
      <c r="E70" s="19">
        <v>1.4350000000000023</v>
      </c>
      <c r="F70" s="19">
        <v>-12.5</v>
      </c>
      <c r="G70" s="19">
        <v>2.3000000000002352</v>
      </c>
      <c r="H70" s="19">
        <v>9.2000000000009408E-2</v>
      </c>
      <c r="I70" s="19" t="s">
        <v>41</v>
      </c>
      <c r="J70" s="19">
        <v>-1.9999999999996021</v>
      </c>
      <c r="K70" s="21" t="s">
        <v>41</v>
      </c>
    </row>
    <row r="71" spans="1:11" ht="18.75" x14ac:dyDescent="0.3">
      <c r="A71" s="20">
        <v>45252</v>
      </c>
      <c r="B71" s="19" t="s">
        <v>13</v>
      </c>
      <c r="C71" s="124">
        <v>45644</v>
      </c>
      <c r="D71" s="124">
        <v>45735</v>
      </c>
      <c r="E71" s="19">
        <v>1.2800000000000011</v>
      </c>
      <c r="F71" s="19">
        <v>-15.500000000000114</v>
      </c>
      <c r="G71" s="19">
        <v>-13.199999999999878</v>
      </c>
      <c r="H71" s="19">
        <v>-0.52799999999999514</v>
      </c>
      <c r="I71" s="19" t="s">
        <v>41</v>
      </c>
      <c r="J71" s="19">
        <v>-1.5000000000000568</v>
      </c>
      <c r="K71" s="21" t="s">
        <v>41</v>
      </c>
    </row>
    <row r="72" spans="1:11" ht="18.75" x14ac:dyDescent="0.3">
      <c r="A72" s="20">
        <v>45252</v>
      </c>
      <c r="B72" s="19"/>
      <c r="C72" s="124">
        <v>45735</v>
      </c>
      <c r="D72" s="124">
        <v>45826</v>
      </c>
      <c r="E72" s="19">
        <v>1.144999999999996</v>
      </c>
      <c r="F72" s="19">
        <v>-13.500000000000512</v>
      </c>
      <c r="G72" s="19">
        <v>-418.5000000000004</v>
      </c>
      <c r="H72" s="19">
        <v>-16.740000000000016</v>
      </c>
      <c r="I72" s="19" t="s">
        <v>41</v>
      </c>
      <c r="J72" s="19">
        <v>0</v>
      </c>
      <c r="K72" s="21" t="s">
        <v>41</v>
      </c>
    </row>
    <row r="73" spans="1:11" ht="18.75" x14ac:dyDescent="0.3">
      <c r="A73" s="20">
        <v>45252</v>
      </c>
      <c r="B73" s="19"/>
      <c r="C73" s="124">
        <v>45826</v>
      </c>
      <c r="D73" s="124">
        <v>45917</v>
      </c>
      <c r="E73" s="19">
        <v>1.0499999999999972</v>
      </c>
      <c r="F73" s="19">
        <v>-9.4999999999998863</v>
      </c>
      <c r="G73" s="19">
        <v>-428.00000000000028</v>
      </c>
      <c r="H73" s="19">
        <v>-17.120000000000012</v>
      </c>
      <c r="I73" s="19" t="s">
        <v>41</v>
      </c>
      <c r="J73" s="19">
        <v>-1.0000000000005116</v>
      </c>
      <c r="K73" s="21" t="s">
        <v>41</v>
      </c>
    </row>
    <row r="74" spans="1:11" ht="18.75" x14ac:dyDescent="0.3">
      <c r="A74" s="20">
        <v>45252</v>
      </c>
      <c r="B74" s="19"/>
      <c r="C74" s="124"/>
      <c r="D74" s="124"/>
      <c r="E74" s="19"/>
      <c r="F74" s="19"/>
      <c r="G74" s="19">
        <v>-533</v>
      </c>
      <c r="H74" s="19">
        <v>-21.32</v>
      </c>
      <c r="I74" s="19" t="s">
        <v>41</v>
      </c>
      <c r="J74" s="19">
        <v>0</v>
      </c>
      <c r="K74" s="21" t="s">
        <v>41</v>
      </c>
    </row>
    <row r="75" spans="1:11" ht="18.75" x14ac:dyDescent="0.3">
      <c r="A75" s="197">
        <v>45253</v>
      </c>
      <c r="B75" s="198" t="s">
        <v>13</v>
      </c>
      <c r="C75" s="199">
        <v>45275</v>
      </c>
      <c r="D75" s="199">
        <v>45373</v>
      </c>
      <c r="E75" s="198">
        <v>1.7000000000000028</v>
      </c>
      <c r="F75" s="198">
        <v>28.800000000000292</v>
      </c>
      <c r="G75" s="198">
        <v>28.800000000000292</v>
      </c>
      <c r="H75" s="198">
        <v>1.1520000000000117</v>
      </c>
      <c r="I75" s="198">
        <v>0.50000000000096634</v>
      </c>
      <c r="J75" s="198" t="s">
        <v>41</v>
      </c>
      <c r="K75" s="200" t="s">
        <v>41</v>
      </c>
    </row>
    <row r="76" spans="1:11" ht="18.75" x14ac:dyDescent="0.3">
      <c r="A76" s="197">
        <v>45253</v>
      </c>
      <c r="B76" s="198" t="s">
        <v>15</v>
      </c>
      <c r="C76" s="199">
        <v>45373</v>
      </c>
      <c r="D76" s="199">
        <v>45464</v>
      </c>
      <c r="E76" s="198">
        <v>1.6599999999999966</v>
      </c>
      <c r="F76" s="198">
        <v>-4.0000000000006253</v>
      </c>
      <c r="G76" s="198">
        <v>24.799999999999667</v>
      </c>
      <c r="H76" s="198">
        <v>0.99199999999998667</v>
      </c>
      <c r="I76" s="198">
        <v>1.9999999999996021</v>
      </c>
      <c r="J76" s="198" t="s">
        <v>41</v>
      </c>
      <c r="K76" s="200" t="s">
        <v>41</v>
      </c>
    </row>
    <row r="77" spans="1:11" ht="18.75" x14ac:dyDescent="0.3">
      <c r="A77" s="197">
        <v>45253</v>
      </c>
      <c r="B77" s="198" t="s">
        <v>37</v>
      </c>
      <c r="C77" s="199">
        <v>45464</v>
      </c>
      <c r="D77" s="199">
        <v>45562</v>
      </c>
      <c r="E77" s="198">
        <v>1.5799999999999983</v>
      </c>
      <c r="F77" s="198">
        <v>-7.9999999999998295</v>
      </c>
      <c r="G77" s="198">
        <v>16.799999999999837</v>
      </c>
      <c r="H77" s="198">
        <v>0.67199999999999349</v>
      </c>
      <c r="I77" s="198">
        <v>1.9999999999996021</v>
      </c>
      <c r="J77" s="198" t="s">
        <v>41</v>
      </c>
      <c r="K77" s="200" t="s">
        <v>41</v>
      </c>
    </row>
    <row r="78" spans="1:11" ht="18.75" x14ac:dyDescent="0.3">
      <c r="A78" s="197">
        <v>45253</v>
      </c>
      <c r="B78" s="198" t="s">
        <v>38</v>
      </c>
      <c r="C78" s="199">
        <v>45562</v>
      </c>
      <c r="D78" s="199">
        <v>45644</v>
      </c>
      <c r="E78" s="198">
        <v>1.4650000000000034</v>
      </c>
      <c r="F78" s="198">
        <v>-11.499999999999488</v>
      </c>
      <c r="G78" s="198">
        <v>5.3000000000003489</v>
      </c>
      <c r="H78" s="198">
        <v>0.21200000000001396</v>
      </c>
      <c r="I78" s="198">
        <v>3.0000000000001137</v>
      </c>
      <c r="J78" s="198" t="s">
        <v>41</v>
      </c>
      <c r="K78" s="200" t="s">
        <v>41</v>
      </c>
    </row>
    <row r="79" spans="1:11" ht="18.75" x14ac:dyDescent="0.3">
      <c r="A79" s="197">
        <v>45253</v>
      </c>
      <c r="B79" s="198" t="s">
        <v>13</v>
      </c>
      <c r="C79" s="199">
        <v>45644</v>
      </c>
      <c r="D79" s="199">
        <v>45735</v>
      </c>
      <c r="E79" s="198">
        <v>1.3149999999999977</v>
      </c>
      <c r="F79" s="198">
        <v>-15.000000000000568</v>
      </c>
      <c r="G79" s="198">
        <v>-9.7000000000002196</v>
      </c>
      <c r="H79" s="198">
        <v>-0.38800000000000878</v>
      </c>
      <c r="I79" s="198">
        <v>3.4999999999996589</v>
      </c>
      <c r="J79" s="198" t="s">
        <v>41</v>
      </c>
      <c r="K79" s="200" t="s">
        <v>41</v>
      </c>
    </row>
    <row r="80" spans="1:11" ht="18.75" x14ac:dyDescent="0.3">
      <c r="A80" s="197">
        <v>45253</v>
      </c>
      <c r="B80" s="198"/>
      <c r="C80" s="199">
        <v>45735</v>
      </c>
      <c r="D80" s="199">
        <v>45826</v>
      </c>
      <c r="E80" s="198">
        <v>1.1800000000000068</v>
      </c>
      <c r="F80" s="198">
        <v>-13.499999999999091</v>
      </c>
      <c r="G80" s="198">
        <v>-414.99999999999932</v>
      </c>
      <c r="H80" s="198">
        <v>-16.599999999999973</v>
      </c>
      <c r="I80" s="198">
        <v>3.50000000000108</v>
      </c>
      <c r="J80" s="198" t="s">
        <v>41</v>
      </c>
      <c r="K80" s="200" t="s">
        <v>41</v>
      </c>
    </row>
    <row r="81" spans="1:11" ht="18.75" x14ac:dyDescent="0.3">
      <c r="A81" s="197">
        <v>45253</v>
      </c>
      <c r="B81" s="198"/>
      <c r="C81" s="199">
        <v>45826</v>
      </c>
      <c r="D81" s="199">
        <v>45917</v>
      </c>
      <c r="E81" s="198">
        <v>1.0900000000000034</v>
      </c>
      <c r="F81" s="198">
        <v>-9.0000000000003411</v>
      </c>
      <c r="G81" s="198">
        <v>-423.99999999999966</v>
      </c>
      <c r="H81" s="198">
        <v>-16.959999999999987</v>
      </c>
      <c r="I81" s="198">
        <v>4.0000000000006253</v>
      </c>
      <c r="J81" s="198" t="s">
        <v>41</v>
      </c>
      <c r="K81" s="200" t="s">
        <v>41</v>
      </c>
    </row>
    <row r="82" spans="1:11" ht="18.75" x14ac:dyDescent="0.3">
      <c r="A82" s="197">
        <v>45253</v>
      </c>
      <c r="B82" s="198"/>
      <c r="C82" s="199"/>
      <c r="D82" s="199"/>
      <c r="E82" s="198"/>
      <c r="F82" s="198"/>
      <c r="G82" s="198">
        <v>-533</v>
      </c>
      <c r="H82" s="198">
        <v>-21.32</v>
      </c>
      <c r="I82" s="198">
        <v>0</v>
      </c>
      <c r="J82" s="198" t="s">
        <v>41</v>
      </c>
      <c r="K82" s="200" t="s">
        <v>41</v>
      </c>
    </row>
    <row r="83" spans="1:11" ht="18.75" x14ac:dyDescent="0.3">
      <c r="A83" s="197">
        <v>45254</v>
      </c>
      <c r="B83" s="198" t="s">
        <v>13</v>
      </c>
      <c r="C83" s="199">
        <v>45275</v>
      </c>
      <c r="D83" s="199">
        <v>45373</v>
      </c>
      <c r="E83" s="198">
        <v>1.7000000000000028</v>
      </c>
      <c r="F83" s="198">
        <v>28.800000000000292</v>
      </c>
      <c r="G83" s="198">
        <v>28.800000000000292</v>
      </c>
      <c r="H83" s="198">
        <v>1.1520000000000117</v>
      </c>
      <c r="I83" s="198">
        <v>0</v>
      </c>
      <c r="J83" s="198">
        <v>0</v>
      </c>
      <c r="K83" s="200" t="s">
        <v>41</v>
      </c>
    </row>
    <row r="84" spans="1:11" ht="18.75" x14ac:dyDescent="0.3">
      <c r="A84" s="197">
        <v>45254</v>
      </c>
      <c r="B84" s="198" t="s">
        <v>15</v>
      </c>
      <c r="C84" s="199">
        <v>45373</v>
      </c>
      <c r="D84" s="199">
        <v>45464</v>
      </c>
      <c r="E84" s="198">
        <v>1.6700000000000017</v>
      </c>
      <c r="F84" s="198">
        <v>-3.0000000000001137</v>
      </c>
      <c r="G84" s="198">
        <v>25.800000000000178</v>
      </c>
      <c r="H84" s="198">
        <v>1.0320000000000071</v>
      </c>
      <c r="I84" s="198">
        <v>1.0000000000005116</v>
      </c>
      <c r="J84" s="198">
        <v>1.9999999999996021</v>
      </c>
      <c r="K84" s="200" t="s">
        <v>41</v>
      </c>
    </row>
    <row r="85" spans="1:11" ht="18.75" x14ac:dyDescent="0.3">
      <c r="A85" s="197">
        <v>45254</v>
      </c>
      <c r="B85" s="198" t="s">
        <v>37</v>
      </c>
      <c r="C85" s="199">
        <v>45464</v>
      </c>
      <c r="D85" s="199">
        <v>45562</v>
      </c>
      <c r="E85" s="198">
        <v>1.605000000000004</v>
      </c>
      <c r="F85" s="198">
        <v>-6.4999999999997726</v>
      </c>
      <c r="G85" s="198">
        <v>19.300000000000406</v>
      </c>
      <c r="H85" s="198">
        <v>0.77200000000001623</v>
      </c>
      <c r="I85" s="198">
        <v>2.5000000000005684</v>
      </c>
      <c r="J85" s="198">
        <v>4.9999999999997158</v>
      </c>
      <c r="K85" s="200" t="s">
        <v>41</v>
      </c>
    </row>
    <row r="86" spans="1:11" ht="18.75" x14ac:dyDescent="0.3">
      <c r="A86" s="197">
        <v>45254</v>
      </c>
      <c r="B86" s="198" t="s">
        <v>38</v>
      </c>
      <c r="C86" s="199">
        <v>45562</v>
      </c>
      <c r="D86" s="199">
        <v>45644</v>
      </c>
      <c r="E86" s="198">
        <v>1.5049999999999955</v>
      </c>
      <c r="F86" s="198">
        <v>-10.000000000000853</v>
      </c>
      <c r="G86" s="198">
        <v>9.2999999999995531</v>
      </c>
      <c r="H86" s="198">
        <v>0.37199999999998212</v>
      </c>
      <c r="I86" s="198">
        <v>3.9999999999992042</v>
      </c>
      <c r="J86" s="198">
        <v>8.4999999999993747</v>
      </c>
      <c r="K86" s="200" t="s">
        <v>41</v>
      </c>
    </row>
    <row r="87" spans="1:11" ht="18.75" x14ac:dyDescent="0.3">
      <c r="A87" s="197">
        <v>45254</v>
      </c>
      <c r="B87" s="198" t="s">
        <v>13</v>
      </c>
      <c r="C87" s="199">
        <v>45644</v>
      </c>
      <c r="D87" s="199">
        <v>45735</v>
      </c>
      <c r="E87" s="198">
        <v>1.3700000000000045</v>
      </c>
      <c r="F87" s="198">
        <v>-13.499999999999091</v>
      </c>
      <c r="G87" s="198">
        <v>-4.1999999999995374</v>
      </c>
      <c r="H87" s="198">
        <v>-0.1679999999999815</v>
      </c>
      <c r="I87" s="198">
        <v>5.5000000000006821</v>
      </c>
      <c r="J87" s="198">
        <v>10.500000000000398</v>
      </c>
      <c r="K87" s="200" t="s">
        <v>41</v>
      </c>
    </row>
    <row r="88" spans="1:11" ht="18.75" x14ac:dyDescent="0.3">
      <c r="A88" s="197">
        <v>45254</v>
      </c>
      <c r="B88" s="198"/>
      <c r="C88" s="199">
        <v>45735</v>
      </c>
      <c r="D88" s="199">
        <v>45826</v>
      </c>
      <c r="E88" s="198">
        <v>1.2450000000000045</v>
      </c>
      <c r="F88" s="198">
        <v>-12.5</v>
      </c>
      <c r="G88" s="198">
        <v>-408.49999999999955</v>
      </c>
      <c r="H88" s="198">
        <v>-16.339999999999982</v>
      </c>
      <c r="I88" s="198">
        <v>6.4999999999997726</v>
      </c>
      <c r="J88" s="198">
        <v>12.000000000000455</v>
      </c>
      <c r="K88" s="200" t="s">
        <v>41</v>
      </c>
    </row>
    <row r="89" spans="1:11" ht="18.75" x14ac:dyDescent="0.3">
      <c r="A89" s="197">
        <v>45254</v>
      </c>
      <c r="B89" s="198"/>
      <c r="C89" s="199">
        <v>45826</v>
      </c>
      <c r="D89" s="199">
        <v>45917</v>
      </c>
      <c r="E89" s="198">
        <v>1.1550000000000011</v>
      </c>
      <c r="F89" s="198">
        <v>-9.0000000000003411</v>
      </c>
      <c r="G89" s="198">
        <v>-417.49999999999989</v>
      </c>
      <c r="H89" s="198">
        <v>-16.699999999999996</v>
      </c>
      <c r="I89" s="198">
        <v>6.4999999999997726</v>
      </c>
      <c r="J89" s="198">
        <v>11.499999999999488</v>
      </c>
      <c r="K89" s="200" t="s">
        <v>41</v>
      </c>
    </row>
    <row r="90" spans="1:11" ht="18.75" x14ac:dyDescent="0.3">
      <c r="A90" s="197">
        <v>45254</v>
      </c>
      <c r="B90" s="198"/>
      <c r="C90" s="199"/>
      <c r="D90" s="199"/>
      <c r="E90" s="198"/>
      <c r="F90" s="198"/>
      <c r="G90" s="198">
        <v>-533</v>
      </c>
      <c r="H90" s="198">
        <v>-21.32</v>
      </c>
      <c r="I90" s="198">
        <v>0</v>
      </c>
      <c r="J90" s="198">
        <v>0</v>
      </c>
      <c r="K90" s="200" t="s">
        <v>41</v>
      </c>
    </row>
    <row r="91" spans="1:11" ht="18.75" x14ac:dyDescent="0.3">
      <c r="A91" s="20">
        <v>45258</v>
      </c>
      <c r="B91" s="19" t="s">
        <v>13</v>
      </c>
      <c r="C91" s="124">
        <v>45275</v>
      </c>
      <c r="D91" s="124">
        <v>45373</v>
      </c>
      <c r="E91" s="19">
        <v>1.6899999999999977</v>
      </c>
      <c r="F91" s="19">
        <v>27.79999999999978</v>
      </c>
      <c r="G91" s="19">
        <v>27.79999999999978</v>
      </c>
      <c r="H91" s="19">
        <v>1.1119999999999912</v>
      </c>
      <c r="I91" s="19" t="s">
        <v>41</v>
      </c>
      <c r="J91" s="19" t="s">
        <v>41</v>
      </c>
      <c r="K91" s="21" t="s">
        <v>41</v>
      </c>
    </row>
    <row r="92" spans="1:11" ht="18.75" x14ac:dyDescent="0.3">
      <c r="A92" s="20">
        <v>45258</v>
      </c>
      <c r="B92" s="19" t="s">
        <v>15</v>
      </c>
      <c r="C92" s="124">
        <v>45373</v>
      </c>
      <c r="D92" s="124">
        <v>45464</v>
      </c>
      <c r="E92" s="19">
        <v>1.625</v>
      </c>
      <c r="F92" s="19">
        <v>-6.4999999999997726</v>
      </c>
      <c r="G92" s="19">
        <v>21.300000000000008</v>
      </c>
      <c r="H92" s="19">
        <v>0.85200000000000031</v>
      </c>
      <c r="I92" s="19" t="s">
        <v>41</v>
      </c>
      <c r="J92" s="19" t="s">
        <v>41</v>
      </c>
      <c r="K92" s="21" t="s">
        <v>41</v>
      </c>
    </row>
    <row r="93" spans="1:11" ht="18.75" x14ac:dyDescent="0.3">
      <c r="A93" s="20">
        <v>45258</v>
      </c>
      <c r="B93" s="19" t="s">
        <v>37</v>
      </c>
      <c r="C93" s="124">
        <v>45464</v>
      </c>
      <c r="D93" s="124">
        <v>45562</v>
      </c>
      <c r="E93" s="19">
        <v>1.5349999999999966</v>
      </c>
      <c r="F93" s="19">
        <v>-9.0000000000003411</v>
      </c>
      <c r="G93" s="19">
        <v>12.299999999999667</v>
      </c>
      <c r="H93" s="19">
        <v>0.49199999999998667</v>
      </c>
      <c r="I93" s="19" t="s">
        <v>41</v>
      </c>
      <c r="J93" s="19" t="s">
        <v>41</v>
      </c>
      <c r="K93" s="21" t="s">
        <v>41</v>
      </c>
    </row>
    <row r="94" spans="1:11" ht="18.75" x14ac:dyDescent="0.3">
      <c r="A94" s="20">
        <v>45258</v>
      </c>
      <c r="B94" s="19" t="s">
        <v>38</v>
      </c>
      <c r="C94" s="124">
        <v>45562</v>
      </c>
      <c r="D94" s="124">
        <v>45644</v>
      </c>
      <c r="E94" s="19">
        <v>1.394999999999996</v>
      </c>
      <c r="F94" s="19">
        <v>-14.000000000000057</v>
      </c>
      <c r="G94" s="19">
        <v>-1.7000000000003901</v>
      </c>
      <c r="H94" s="19">
        <v>-6.8000000000015604E-2</v>
      </c>
      <c r="I94" s="19" t="s">
        <v>41</v>
      </c>
      <c r="J94" s="19" t="s">
        <v>41</v>
      </c>
      <c r="K94" s="21" t="s">
        <v>41</v>
      </c>
    </row>
    <row r="95" spans="1:11" ht="18.75" x14ac:dyDescent="0.3">
      <c r="A95" s="20">
        <v>45258</v>
      </c>
      <c r="B95" s="19" t="s">
        <v>13</v>
      </c>
      <c r="C95" s="124">
        <v>45644</v>
      </c>
      <c r="D95" s="124">
        <v>45735</v>
      </c>
      <c r="E95" s="19">
        <v>1.2399999999999949</v>
      </c>
      <c r="F95" s="19">
        <v>-15.500000000000114</v>
      </c>
      <c r="G95" s="19">
        <v>-17.200000000000504</v>
      </c>
      <c r="H95" s="19">
        <v>-0.68800000000002015</v>
      </c>
      <c r="I95" s="19" t="s">
        <v>41</v>
      </c>
      <c r="J95" s="19" t="s">
        <v>41</v>
      </c>
      <c r="K95" s="21" t="s">
        <v>41</v>
      </c>
    </row>
    <row r="96" spans="1:11" ht="18.75" x14ac:dyDescent="0.3">
      <c r="A96" s="20">
        <v>45258</v>
      </c>
      <c r="B96" s="19"/>
      <c r="C96" s="124">
        <v>45735</v>
      </c>
      <c r="D96" s="124">
        <v>45826</v>
      </c>
      <c r="E96" s="19">
        <v>1.1099999999999994</v>
      </c>
      <c r="F96" s="19">
        <v>-12.999999999999545</v>
      </c>
      <c r="G96" s="19">
        <v>-422.00000000000006</v>
      </c>
      <c r="H96" s="19">
        <v>-16.880000000000003</v>
      </c>
      <c r="I96" s="19" t="s">
        <v>41</v>
      </c>
      <c r="J96" s="19" t="s">
        <v>41</v>
      </c>
      <c r="K96" s="21" t="s">
        <v>41</v>
      </c>
    </row>
    <row r="97" spans="1:11" ht="18.75" x14ac:dyDescent="0.3">
      <c r="A97" s="20">
        <v>45258</v>
      </c>
      <c r="B97" s="19"/>
      <c r="C97" s="124">
        <v>45826</v>
      </c>
      <c r="D97" s="124">
        <v>45917</v>
      </c>
      <c r="E97" s="19">
        <v>1.0300000000000011</v>
      </c>
      <c r="F97" s="19">
        <v>-7.9999999999998295</v>
      </c>
      <c r="G97" s="19">
        <v>-429.99999999999989</v>
      </c>
      <c r="H97" s="19">
        <v>-17.199999999999996</v>
      </c>
      <c r="I97" s="19" t="s">
        <v>41</v>
      </c>
      <c r="J97" s="19" t="s">
        <v>41</v>
      </c>
      <c r="K97" s="21" t="s">
        <v>41</v>
      </c>
    </row>
    <row r="98" spans="1:11" ht="18.75" x14ac:dyDescent="0.3">
      <c r="A98" s="20">
        <v>45258</v>
      </c>
      <c r="B98" s="19"/>
      <c r="C98" s="124"/>
      <c r="D98" s="124"/>
      <c r="E98" s="19"/>
      <c r="F98" s="19"/>
      <c r="G98" s="19">
        <v>-533</v>
      </c>
      <c r="H98" s="19">
        <v>-21.32</v>
      </c>
      <c r="I98" s="19" t="s">
        <v>41</v>
      </c>
      <c r="J98" s="19" t="s">
        <v>41</v>
      </c>
      <c r="K98" s="21" t="s">
        <v>41</v>
      </c>
    </row>
    <row r="99" spans="1:11" ht="18.75" x14ac:dyDescent="0.3">
      <c r="A99" s="201">
        <v>45259</v>
      </c>
      <c r="B99" s="202" t="s">
        <v>13</v>
      </c>
      <c r="C99" s="203">
        <v>45275</v>
      </c>
      <c r="D99" s="203">
        <v>45373</v>
      </c>
      <c r="E99" s="202">
        <v>1.6899999999999977</v>
      </c>
      <c r="F99" s="202">
        <v>27.79999999999978</v>
      </c>
      <c r="G99" s="202">
        <v>27.79999999999978</v>
      </c>
      <c r="H99" s="202">
        <v>1.1119999999999912</v>
      </c>
      <c r="I99" s="202">
        <v>0</v>
      </c>
      <c r="J99" s="202">
        <v>-0.49999999999954525</v>
      </c>
      <c r="K99" s="204" t="s">
        <v>41</v>
      </c>
    </row>
    <row r="100" spans="1:11" ht="18.75" x14ac:dyDescent="0.3">
      <c r="A100" s="201">
        <v>45259</v>
      </c>
      <c r="B100" s="202" t="s">
        <v>15</v>
      </c>
      <c r="C100" s="203">
        <v>45373</v>
      </c>
      <c r="D100" s="203">
        <v>45464</v>
      </c>
      <c r="E100" s="202">
        <v>1.6099999999999994</v>
      </c>
      <c r="F100" s="202">
        <v>-7.9999999999998295</v>
      </c>
      <c r="G100" s="202">
        <v>19.799999999999951</v>
      </c>
      <c r="H100" s="202">
        <v>0.79199999999999804</v>
      </c>
      <c r="I100" s="202">
        <v>-1.5000000000000568</v>
      </c>
      <c r="J100" s="202">
        <v>-3.0000000000001137</v>
      </c>
      <c r="K100" s="204" t="s">
        <v>41</v>
      </c>
    </row>
    <row r="101" spans="1:11" ht="18.75" x14ac:dyDescent="0.3">
      <c r="A101" s="201">
        <v>45259</v>
      </c>
      <c r="B101" s="202" t="s">
        <v>37</v>
      </c>
      <c r="C101" s="203">
        <v>45464</v>
      </c>
      <c r="D101" s="203">
        <v>45562</v>
      </c>
      <c r="E101" s="202">
        <v>1.4950000000000045</v>
      </c>
      <c r="F101" s="202">
        <v>-11.499999999999488</v>
      </c>
      <c r="G101" s="202">
        <v>8.3000000000004626</v>
      </c>
      <c r="H101" s="202">
        <v>0.3320000000000185</v>
      </c>
      <c r="I101" s="202">
        <v>-3.9999999999992042</v>
      </c>
      <c r="J101" s="202">
        <v>-6.4999999999997726</v>
      </c>
      <c r="K101" s="204" t="s">
        <v>41</v>
      </c>
    </row>
    <row r="102" spans="1:11" ht="18.75" x14ac:dyDescent="0.3">
      <c r="A102" s="201">
        <v>45259</v>
      </c>
      <c r="B102" s="202" t="s">
        <v>38</v>
      </c>
      <c r="C102" s="203">
        <v>45562</v>
      </c>
      <c r="D102" s="203">
        <v>45644</v>
      </c>
      <c r="E102" s="202">
        <v>1.3449999999999989</v>
      </c>
      <c r="F102" s="202">
        <v>-15.000000000000568</v>
      </c>
      <c r="G102" s="202">
        <v>-6.7000000000001059</v>
      </c>
      <c r="H102" s="202">
        <v>-0.26800000000000423</v>
      </c>
      <c r="I102" s="202">
        <v>-4.9999999999997158</v>
      </c>
      <c r="J102" s="202">
        <v>-9.0000000000003411</v>
      </c>
      <c r="K102" s="204" t="s">
        <v>41</v>
      </c>
    </row>
    <row r="103" spans="1:11" ht="18.75" x14ac:dyDescent="0.3">
      <c r="A103" s="201">
        <v>45259</v>
      </c>
      <c r="B103" s="202" t="s">
        <v>13</v>
      </c>
      <c r="C103" s="203">
        <v>45644</v>
      </c>
      <c r="D103" s="203">
        <v>45735</v>
      </c>
      <c r="E103" s="202">
        <v>1.1899999999999977</v>
      </c>
      <c r="F103" s="202">
        <v>-15.500000000000114</v>
      </c>
      <c r="G103" s="202">
        <v>-22.20000000000022</v>
      </c>
      <c r="H103" s="202">
        <v>-0.88800000000000878</v>
      </c>
      <c r="I103" s="202">
        <v>-4.9999999999997158</v>
      </c>
      <c r="J103" s="202">
        <v>-9.0000000000003411</v>
      </c>
      <c r="K103" s="204" t="s">
        <v>41</v>
      </c>
    </row>
    <row r="104" spans="1:11" ht="18.75" x14ac:dyDescent="0.3">
      <c r="A104" s="201">
        <v>45259</v>
      </c>
      <c r="B104" s="202"/>
      <c r="C104" s="203">
        <v>45735</v>
      </c>
      <c r="D104" s="203">
        <v>45826</v>
      </c>
      <c r="E104" s="202">
        <v>1.0600000000000023</v>
      </c>
      <c r="F104" s="202">
        <v>-12.999999999999545</v>
      </c>
      <c r="G104" s="202">
        <v>-426.99999999999977</v>
      </c>
      <c r="H104" s="202">
        <v>-17.079999999999991</v>
      </c>
      <c r="I104" s="202">
        <v>-4.9999999999997158</v>
      </c>
      <c r="J104" s="202">
        <v>-8.4999999999993747</v>
      </c>
      <c r="K104" s="204" t="s">
        <v>41</v>
      </c>
    </row>
    <row r="105" spans="1:11" ht="18.75" x14ac:dyDescent="0.3">
      <c r="A105" s="201">
        <v>45259</v>
      </c>
      <c r="B105" s="202"/>
      <c r="C105" s="203">
        <v>45826</v>
      </c>
      <c r="D105" s="203">
        <v>45917</v>
      </c>
      <c r="E105" s="202">
        <v>0.98000000000000398</v>
      </c>
      <c r="F105" s="202">
        <v>-7.9999999999998295</v>
      </c>
      <c r="G105" s="202">
        <v>-434.9999999999996</v>
      </c>
      <c r="H105" s="202">
        <v>-17.399999999999984</v>
      </c>
      <c r="I105" s="202">
        <v>-4.9999999999997158</v>
      </c>
      <c r="J105" s="202">
        <v>-6.9999999999993179</v>
      </c>
      <c r="K105" s="204" t="s">
        <v>41</v>
      </c>
    </row>
    <row r="106" spans="1:11" ht="18.75" x14ac:dyDescent="0.3">
      <c r="A106" s="201">
        <v>45259</v>
      </c>
      <c r="B106" s="202"/>
      <c r="C106" s="203"/>
      <c r="D106" s="203"/>
      <c r="E106" s="202"/>
      <c r="F106" s="202"/>
      <c r="G106" s="202">
        <v>-533</v>
      </c>
      <c r="H106" s="202">
        <v>-21.32</v>
      </c>
      <c r="I106" s="202">
        <v>0</v>
      </c>
      <c r="J106" s="202">
        <v>0</v>
      </c>
      <c r="K106" s="204" t="s">
        <v>41</v>
      </c>
    </row>
    <row r="107" spans="1:11" ht="18.75" x14ac:dyDescent="0.3">
      <c r="A107" s="206">
        <v>45264</v>
      </c>
      <c r="B107" s="207" t="s">
        <v>13</v>
      </c>
      <c r="C107" s="208">
        <v>45275</v>
      </c>
      <c r="D107" s="208">
        <v>45373</v>
      </c>
      <c r="E107" s="207">
        <v>1.644999999999996</v>
      </c>
      <c r="F107" s="207">
        <v>23.29999999999961</v>
      </c>
      <c r="G107" s="207">
        <v>23.29999999999961</v>
      </c>
      <c r="H107" s="207">
        <v>0.9319999999999844</v>
      </c>
      <c r="I107" s="207" t="s">
        <v>41</v>
      </c>
      <c r="J107" s="207" t="s">
        <v>41</v>
      </c>
      <c r="K107" s="209">
        <v>-6.0000000000002274</v>
      </c>
    </row>
    <row r="108" spans="1:11" ht="18.75" x14ac:dyDescent="0.3">
      <c r="A108" s="206">
        <v>45264</v>
      </c>
      <c r="B108" s="207" t="s">
        <v>15</v>
      </c>
      <c r="C108" s="208">
        <v>45373</v>
      </c>
      <c r="D108" s="208">
        <v>45464</v>
      </c>
      <c r="E108" s="207">
        <v>1.5049999999999955</v>
      </c>
      <c r="F108" s="207">
        <v>-14.000000000000057</v>
      </c>
      <c r="G108" s="207">
        <v>9.2999999999995531</v>
      </c>
      <c r="H108" s="207">
        <v>0.37199999999998212</v>
      </c>
      <c r="I108" s="207" t="s">
        <v>41</v>
      </c>
      <c r="J108" s="207" t="s">
        <v>41</v>
      </c>
      <c r="K108" s="209">
        <v>-12.5</v>
      </c>
    </row>
    <row r="109" spans="1:11" ht="18.75" x14ac:dyDescent="0.3">
      <c r="A109" s="206">
        <v>45264</v>
      </c>
      <c r="B109" s="207" t="s">
        <v>37</v>
      </c>
      <c r="C109" s="208">
        <v>45464</v>
      </c>
      <c r="D109" s="208">
        <v>45562</v>
      </c>
      <c r="E109" s="207">
        <v>1.3299999999999983</v>
      </c>
      <c r="F109" s="207">
        <v>-17.499999999999716</v>
      </c>
      <c r="G109" s="207">
        <v>-8.2000000000001627</v>
      </c>
      <c r="H109" s="207">
        <v>-0.32800000000000651</v>
      </c>
      <c r="I109" s="207" t="s">
        <v>41</v>
      </c>
      <c r="J109" s="207" t="s">
        <v>41</v>
      </c>
      <c r="K109" s="209">
        <v>-15.999999999999659</v>
      </c>
    </row>
    <row r="110" spans="1:11" ht="18.75" x14ac:dyDescent="0.3">
      <c r="A110" s="206">
        <v>45264</v>
      </c>
      <c r="B110" s="207" t="s">
        <v>38</v>
      </c>
      <c r="C110" s="208">
        <v>45562</v>
      </c>
      <c r="D110" s="208">
        <v>45644</v>
      </c>
      <c r="E110" s="207">
        <v>1.1650000000000063</v>
      </c>
      <c r="F110" s="207">
        <v>-16.499999999999204</v>
      </c>
      <c r="G110" s="207">
        <v>-24.699999999999367</v>
      </c>
      <c r="H110" s="207">
        <v>-0.98799999999997468</v>
      </c>
      <c r="I110" s="207" t="s">
        <v>41</v>
      </c>
      <c r="J110" s="207" t="s">
        <v>41</v>
      </c>
      <c r="K110" s="209">
        <v>-16.999999999998749</v>
      </c>
    </row>
    <row r="111" spans="1:11" ht="18.75" x14ac:dyDescent="0.3">
      <c r="A111" s="206">
        <v>45264</v>
      </c>
      <c r="B111" s="207" t="s">
        <v>13</v>
      </c>
      <c r="C111" s="208">
        <v>45644</v>
      </c>
      <c r="D111" s="208">
        <v>45735</v>
      </c>
      <c r="E111" s="207">
        <v>1.0100000000000051</v>
      </c>
      <c r="F111" s="207">
        <v>-15.500000000000114</v>
      </c>
      <c r="G111" s="207">
        <v>-40.199999999999477</v>
      </c>
      <c r="H111" s="207">
        <v>-1.607999999999979</v>
      </c>
      <c r="I111" s="207" t="s">
        <v>41</v>
      </c>
      <c r="J111" s="207" t="s">
        <v>41</v>
      </c>
      <c r="K111" s="209">
        <v>-17.999999999999261</v>
      </c>
    </row>
    <row r="112" spans="1:11" ht="18.75" x14ac:dyDescent="0.3">
      <c r="A112" s="206">
        <v>45264</v>
      </c>
      <c r="B112" s="207"/>
      <c r="C112" s="208">
        <v>45735</v>
      </c>
      <c r="D112" s="208">
        <v>45826</v>
      </c>
      <c r="E112" s="207">
        <v>0.88500000000000512</v>
      </c>
      <c r="F112" s="207">
        <v>-12.5</v>
      </c>
      <c r="G112" s="207">
        <v>-444.49999999999949</v>
      </c>
      <c r="H112" s="207">
        <v>-17.77999999999998</v>
      </c>
      <c r="I112" s="207" t="s">
        <v>41</v>
      </c>
      <c r="J112" s="207" t="s">
        <v>41</v>
      </c>
      <c r="K112" s="209">
        <v>-21.999999999999886</v>
      </c>
    </row>
    <row r="113" spans="1:11" ht="18.75" x14ac:dyDescent="0.3">
      <c r="A113" s="206">
        <v>45264</v>
      </c>
      <c r="B113" s="207"/>
      <c r="C113" s="208">
        <v>45826</v>
      </c>
      <c r="D113" s="208">
        <v>45917</v>
      </c>
      <c r="E113" s="207">
        <v>0.81499999999999773</v>
      </c>
      <c r="F113" s="207">
        <v>-7.000000000000739</v>
      </c>
      <c r="G113" s="207">
        <v>-451.50000000000023</v>
      </c>
      <c r="H113" s="207">
        <v>-18.060000000000009</v>
      </c>
      <c r="I113" s="207" t="s">
        <v>41</v>
      </c>
      <c r="J113" s="207" t="s">
        <v>41</v>
      </c>
      <c r="K113" s="209">
        <v>-25</v>
      </c>
    </row>
    <row r="114" spans="1:11" ht="18.75" x14ac:dyDescent="0.3">
      <c r="A114" s="206">
        <v>45264</v>
      </c>
      <c r="B114" s="207"/>
      <c r="C114" s="208"/>
      <c r="D114" s="208"/>
      <c r="E114" s="207"/>
      <c r="F114" s="207"/>
      <c r="G114" s="207">
        <v>-533</v>
      </c>
      <c r="H114" s="207">
        <v>-21.32</v>
      </c>
      <c r="I114" s="207" t="s">
        <v>41</v>
      </c>
      <c r="J114" s="207" t="s">
        <v>41</v>
      </c>
      <c r="K114" s="209">
        <v>0</v>
      </c>
    </row>
    <row r="115" spans="1:11" ht="18.75" x14ac:dyDescent="0.3">
      <c r="A115" s="206">
        <v>45265</v>
      </c>
      <c r="B115" s="207" t="s">
        <v>13</v>
      </c>
      <c r="C115" s="208">
        <v>45275</v>
      </c>
      <c r="D115" s="208">
        <v>45373</v>
      </c>
      <c r="E115" s="207">
        <v>1.6350000000000051</v>
      </c>
      <c r="F115" s="207">
        <v>22.300000000000519</v>
      </c>
      <c r="G115" s="207">
        <v>22.300000000000519</v>
      </c>
      <c r="H115" s="207">
        <v>0.89200000000002078</v>
      </c>
      <c r="I115" s="207">
        <v>-0.99999999999909051</v>
      </c>
      <c r="J115" s="207">
        <v>-5.499999999999261</v>
      </c>
      <c r="K115" s="209">
        <v>-6.9999999999993179</v>
      </c>
    </row>
    <row r="116" spans="1:11" ht="18.75" x14ac:dyDescent="0.3">
      <c r="A116" s="206">
        <v>45265</v>
      </c>
      <c r="B116" s="207" t="s">
        <v>15</v>
      </c>
      <c r="C116" s="208">
        <v>45373</v>
      </c>
      <c r="D116" s="208">
        <v>45464</v>
      </c>
      <c r="E116" s="207">
        <v>1.4950000000000045</v>
      </c>
      <c r="F116" s="207">
        <v>-14.000000000000057</v>
      </c>
      <c r="G116" s="207">
        <v>8.3000000000004626</v>
      </c>
      <c r="H116" s="207">
        <v>0.3320000000000185</v>
      </c>
      <c r="I116" s="207">
        <v>-0.99999999999909051</v>
      </c>
      <c r="J116" s="207">
        <v>-12.999999999999545</v>
      </c>
      <c r="K116" s="209">
        <v>-13.499999999999091</v>
      </c>
    </row>
    <row r="117" spans="1:11" ht="18.75" x14ac:dyDescent="0.3">
      <c r="A117" s="206">
        <v>45265</v>
      </c>
      <c r="B117" s="207" t="s">
        <v>37</v>
      </c>
      <c r="C117" s="208">
        <v>45464</v>
      </c>
      <c r="D117" s="208">
        <v>45562</v>
      </c>
      <c r="E117" s="207">
        <v>1.3250000000000028</v>
      </c>
      <c r="F117" s="207">
        <v>-17.000000000000171</v>
      </c>
      <c r="G117" s="207">
        <v>-8.699999999999708</v>
      </c>
      <c r="H117" s="207">
        <v>-0.34799999999998832</v>
      </c>
      <c r="I117" s="207">
        <v>-0.49999999999954525</v>
      </c>
      <c r="J117" s="207">
        <v>-20.999999999999375</v>
      </c>
      <c r="K117" s="209">
        <v>-16.499999999999204</v>
      </c>
    </row>
    <row r="118" spans="1:11" ht="18.75" x14ac:dyDescent="0.3">
      <c r="A118" s="206">
        <v>45265</v>
      </c>
      <c r="B118" s="207" t="s">
        <v>38</v>
      </c>
      <c r="C118" s="208">
        <v>45562</v>
      </c>
      <c r="D118" s="208">
        <v>45644</v>
      </c>
      <c r="E118" s="207">
        <v>1.1650000000000063</v>
      </c>
      <c r="F118" s="207">
        <v>-15.999999999999659</v>
      </c>
      <c r="G118" s="207">
        <v>-24.699999999999367</v>
      </c>
      <c r="H118" s="207">
        <v>-0.98799999999997468</v>
      </c>
      <c r="I118" s="207">
        <v>0</v>
      </c>
      <c r="J118" s="207">
        <v>-22.999999999998977</v>
      </c>
      <c r="K118" s="209">
        <v>-16.999999999998749</v>
      </c>
    </row>
    <row r="119" spans="1:11" ht="18.75" x14ac:dyDescent="0.3">
      <c r="A119" s="206">
        <v>45265</v>
      </c>
      <c r="B119" s="207" t="s">
        <v>13</v>
      </c>
      <c r="C119" s="208">
        <v>45644</v>
      </c>
      <c r="D119" s="208">
        <v>45735</v>
      </c>
      <c r="E119" s="207">
        <v>1.0250000000000057</v>
      </c>
      <c r="F119" s="207">
        <v>-14.000000000000057</v>
      </c>
      <c r="G119" s="207">
        <v>-38.69999999999942</v>
      </c>
      <c r="H119" s="207">
        <v>-1.5479999999999767</v>
      </c>
      <c r="I119" s="207">
        <v>1.5000000000000568</v>
      </c>
      <c r="J119" s="207">
        <v>-21.49999999999892</v>
      </c>
      <c r="K119" s="209">
        <v>-16.499999999999204</v>
      </c>
    </row>
    <row r="120" spans="1:11" ht="18.75" x14ac:dyDescent="0.3">
      <c r="A120" s="206">
        <v>45265</v>
      </c>
      <c r="B120" s="207"/>
      <c r="C120" s="208">
        <v>45735</v>
      </c>
      <c r="D120" s="208">
        <v>45826</v>
      </c>
      <c r="E120" s="207">
        <v>0.90500000000000114</v>
      </c>
      <c r="F120" s="207">
        <v>-12.000000000000455</v>
      </c>
      <c r="G120" s="207">
        <v>-442.49999999999989</v>
      </c>
      <c r="H120" s="207">
        <v>-17.699999999999996</v>
      </c>
      <c r="I120" s="207">
        <v>1.9999999999996021</v>
      </c>
      <c r="J120" s="207">
        <v>-20.499999999999829</v>
      </c>
      <c r="K120" s="209">
        <v>-20.000000000000284</v>
      </c>
    </row>
    <row r="121" spans="1:11" ht="18.75" x14ac:dyDescent="0.3">
      <c r="A121" s="206">
        <v>45265</v>
      </c>
      <c r="B121" s="207"/>
      <c r="C121" s="208">
        <v>45826</v>
      </c>
      <c r="D121" s="208">
        <v>45917</v>
      </c>
      <c r="E121" s="207">
        <v>0.83499999999999375</v>
      </c>
      <c r="F121" s="207">
        <v>-7.000000000000739</v>
      </c>
      <c r="G121" s="207">
        <v>-449.50000000000063</v>
      </c>
      <c r="H121" s="207">
        <v>-17.980000000000025</v>
      </c>
      <c r="I121" s="207">
        <v>1.9999999999996021</v>
      </c>
      <c r="J121" s="207">
        <v>-19.500000000000739</v>
      </c>
      <c r="K121" s="209">
        <v>-23.000000000000398</v>
      </c>
    </row>
    <row r="122" spans="1:11" ht="18.75" x14ac:dyDescent="0.3">
      <c r="A122" s="206">
        <v>45265</v>
      </c>
      <c r="B122" s="207"/>
      <c r="C122" s="208"/>
      <c r="D122" s="208"/>
      <c r="E122" s="207"/>
      <c r="F122" s="207"/>
      <c r="G122" s="207">
        <v>-533</v>
      </c>
      <c r="H122" s="207">
        <v>-21.32</v>
      </c>
      <c r="I122" s="207">
        <v>0</v>
      </c>
      <c r="J122" s="207">
        <v>0</v>
      </c>
      <c r="K122" s="209">
        <v>0</v>
      </c>
    </row>
    <row r="123" spans="1:11" ht="18.75" x14ac:dyDescent="0.3">
      <c r="A123" s="206">
        <v>45266</v>
      </c>
      <c r="B123" s="207" t="s">
        <v>13</v>
      </c>
      <c r="C123" s="208">
        <v>45275</v>
      </c>
      <c r="D123" s="208">
        <v>45373</v>
      </c>
      <c r="E123" s="207">
        <v>1.6500000000000057</v>
      </c>
      <c r="F123" s="207">
        <v>23.800000000000576</v>
      </c>
      <c r="G123" s="207">
        <v>23.800000000000576</v>
      </c>
      <c r="H123" s="207">
        <v>0.95200000000002305</v>
      </c>
      <c r="I123" s="207">
        <v>1.5000000000000568</v>
      </c>
      <c r="J123" s="207">
        <v>-3.9999999999992042</v>
      </c>
      <c r="K123" s="209">
        <v>-5.499999999999261</v>
      </c>
    </row>
    <row r="124" spans="1:11" ht="18.75" x14ac:dyDescent="0.3">
      <c r="A124" s="206">
        <v>45266</v>
      </c>
      <c r="B124" s="207" t="s">
        <v>15</v>
      </c>
      <c r="C124" s="208">
        <v>45373</v>
      </c>
      <c r="D124" s="208">
        <v>45464</v>
      </c>
      <c r="E124" s="207">
        <v>1.5100000000000051</v>
      </c>
      <c r="F124" s="207">
        <v>-14.000000000000057</v>
      </c>
      <c r="G124" s="207">
        <v>9.8000000000005194</v>
      </c>
      <c r="H124" s="207">
        <v>0.39200000000002078</v>
      </c>
      <c r="I124" s="207">
        <v>1.5000000000000568</v>
      </c>
      <c r="J124" s="207">
        <v>-9.9999999999994316</v>
      </c>
      <c r="K124" s="209">
        <v>-12.999999999999545</v>
      </c>
    </row>
    <row r="125" spans="1:11" ht="18.75" x14ac:dyDescent="0.3">
      <c r="A125" s="206">
        <v>45266</v>
      </c>
      <c r="B125" s="207" t="s">
        <v>37</v>
      </c>
      <c r="C125" s="208">
        <v>45464</v>
      </c>
      <c r="D125" s="208">
        <v>45562</v>
      </c>
      <c r="E125" s="207">
        <v>1.3250000000000028</v>
      </c>
      <c r="F125" s="207">
        <v>-18.500000000000227</v>
      </c>
      <c r="G125" s="207">
        <v>-8.699999999999708</v>
      </c>
      <c r="H125" s="207">
        <v>-0.34799999999998832</v>
      </c>
      <c r="I125" s="207">
        <v>0</v>
      </c>
      <c r="J125" s="207">
        <v>-17.000000000000171</v>
      </c>
      <c r="K125" s="209">
        <v>-20.000000000000284</v>
      </c>
    </row>
    <row r="126" spans="1:11" ht="18.75" x14ac:dyDescent="0.3">
      <c r="A126" s="206">
        <v>45266</v>
      </c>
      <c r="B126" s="207" t="s">
        <v>38</v>
      </c>
      <c r="C126" s="208">
        <v>45562</v>
      </c>
      <c r="D126" s="208">
        <v>45644</v>
      </c>
      <c r="E126" s="207">
        <v>1.1650000000000063</v>
      </c>
      <c r="F126" s="207">
        <v>-15.999999999999659</v>
      </c>
      <c r="G126" s="207">
        <v>-24.699999999999367</v>
      </c>
      <c r="H126" s="207">
        <v>-0.98799999999997468</v>
      </c>
      <c r="I126" s="207">
        <v>0</v>
      </c>
      <c r="J126" s="207">
        <v>-17.999999999999261</v>
      </c>
      <c r="K126" s="209">
        <v>-22.499999999999432</v>
      </c>
    </row>
    <row r="127" spans="1:11" ht="18.75" x14ac:dyDescent="0.3">
      <c r="A127" s="206">
        <v>45266</v>
      </c>
      <c r="B127" s="207" t="s">
        <v>13</v>
      </c>
      <c r="C127" s="208">
        <v>45644</v>
      </c>
      <c r="D127" s="208">
        <v>45735</v>
      </c>
      <c r="E127" s="207">
        <v>1.0250000000000057</v>
      </c>
      <c r="F127" s="207">
        <v>-14.000000000000057</v>
      </c>
      <c r="G127" s="207">
        <v>-38.69999999999942</v>
      </c>
      <c r="H127" s="207">
        <v>-1.5479999999999767</v>
      </c>
      <c r="I127" s="207">
        <v>0</v>
      </c>
      <c r="J127" s="207">
        <v>-16.499999999999204</v>
      </c>
      <c r="K127" s="209">
        <v>-22.499999999999432</v>
      </c>
    </row>
    <row r="128" spans="1:11" ht="18.75" x14ac:dyDescent="0.3">
      <c r="A128" s="206">
        <v>45266</v>
      </c>
      <c r="B128" s="207"/>
      <c r="C128" s="208">
        <v>45735</v>
      </c>
      <c r="D128" s="208">
        <v>45826</v>
      </c>
      <c r="E128" s="207">
        <v>0.91500000000000625</v>
      </c>
      <c r="F128" s="207">
        <v>-10.999999999999943</v>
      </c>
      <c r="G128" s="207">
        <v>-441.49999999999937</v>
      </c>
      <c r="H128" s="207">
        <v>-17.659999999999975</v>
      </c>
      <c r="I128" s="207">
        <v>1.0000000000005116</v>
      </c>
      <c r="J128" s="207">
        <v>-14.499999999999602</v>
      </c>
      <c r="K128" s="209">
        <v>-24.499999999999034</v>
      </c>
    </row>
    <row r="129" spans="1:11" ht="18.75" x14ac:dyDescent="0.3">
      <c r="A129" s="206">
        <v>45266</v>
      </c>
      <c r="B129" s="207"/>
      <c r="C129" s="208">
        <v>45826</v>
      </c>
      <c r="D129" s="208">
        <v>45917</v>
      </c>
      <c r="E129" s="207">
        <v>0.84999999999999432</v>
      </c>
      <c r="F129" s="207">
        <v>-6.5000000000011937</v>
      </c>
      <c r="G129" s="207">
        <v>-448.00000000000057</v>
      </c>
      <c r="H129" s="207">
        <v>-17.920000000000023</v>
      </c>
      <c r="I129" s="207">
        <v>1.5000000000000568</v>
      </c>
      <c r="J129" s="207">
        <v>-13.000000000000966</v>
      </c>
      <c r="K129" s="209">
        <v>-26.000000000000512</v>
      </c>
    </row>
    <row r="130" spans="1:11" ht="18.75" x14ac:dyDescent="0.3">
      <c r="A130" s="206">
        <v>45266</v>
      </c>
      <c r="B130" s="207"/>
      <c r="C130" s="208"/>
      <c r="D130" s="208"/>
      <c r="E130" s="207"/>
      <c r="F130" s="207"/>
      <c r="G130" s="207">
        <v>-533</v>
      </c>
      <c r="H130" s="207">
        <v>-21.32</v>
      </c>
      <c r="I130" s="207">
        <v>0</v>
      </c>
      <c r="J130" s="207">
        <v>0</v>
      </c>
      <c r="K130" s="209">
        <v>0</v>
      </c>
    </row>
    <row r="131" spans="1:11" ht="18.75" x14ac:dyDescent="0.3">
      <c r="A131" s="210">
        <v>45271</v>
      </c>
      <c r="B131" s="211" t="s">
        <v>13</v>
      </c>
      <c r="C131" s="212">
        <v>45275</v>
      </c>
      <c r="D131" s="212">
        <v>45373</v>
      </c>
      <c r="E131" s="211">
        <v>1.6599999999999966</v>
      </c>
      <c r="F131" s="211">
        <v>24.799999999999667</v>
      </c>
      <c r="G131" s="211">
        <v>24.799999999999667</v>
      </c>
      <c r="H131" s="211">
        <v>0.99199999999998667</v>
      </c>
      <c r="I131" s="211" t="s">
        <v>41</v>
      </c>
      <c r="J131" s="211">
        <v>1.5000000000000568</v>
      </c>
      <c r="K131" s="213" t="s">
        <v>41</v>
      </c>
    </row>
    <row r="132" spans="1:11" ht="18.75" x14ac:dyDescent="0.3">
      <c r="A132" s="210">
        <v>45271</v>
      </c>
      <c r="B132" s="211" t="s">
        <v>15</v>
      </c>
      <c r="C132" s="212">
        <v>45373</v>
      </c>
      <c r="D132" s="212">
        <v>45464</v>
      </c>
      <c r="E132" s="211">
        <v>1.5300000000000011</v>
      </c>
      <c r="F132" s="211">
        <v>-12.999999999999545</v>
      </c>
      <c r="G132" s="211">
        <v>11.800000000000122</v>
      </c>
      <c r="H132" s="211">
        <v>0.47200000000000486</v>
      </c>
      <c r="I132" s="211" t="s">
        <v>41</v>
      </c>
      <c r="J132" s="211">
        <v>2.5000000000005684</v>
      </c>
      <c r="K132" s="213" t="s">
        <v>41</v>
      </c>
    </row>
    <row r="133" spans="1:11" ht="18.75" x14ac:dyDescent="0.3">
      <c r="A133" s="210">
        <v>45271</v>
      </c>
      <c r="B133" s="211" t="s">
        <v>37</v>
      </c>
      <c r="C133" s="212">
        <v>45464</v>
      </c>
      <c r="D133" s="212">
        <v>45562</v>
      </c>
      <c r="E133" s="211">
        <v>1.3499999999999943</v>
      </c>
      <c r="F133" s="211">
        <v>-18.000000000000682</v>
      </c>
      <c r="G133" s="211">
        <v>-6.2000000000005606</v>
      </c>
      <c r="H133" s="211">
        <v>-0.24800000000002242</v>
      </c>
      <c r="I133" s="211" t="s">
        <v>41</v>
      </c>
      <c r="J133" s="211">
        <v>1.9999999999996021</v>
      </c>
      <c r="K133" s="213" t="s">
        <v>41</v>
      </c>
    </row>
    <row r="134" spans="1:11" ht="18.75" x14ac:dyDescent="0.3">
      <c r="A134" s="210">
        <v>45271</v>
      </c>
      <c r="B134" s="211" t="s">
        <v>38</v>
      </c>
      <c r="C134" s="212">
        <v>45562</v>
      </c>
      <c r="D134" s="212">
        <v>45644</v>
      </c>
      <c r="E134" s="211">
        <v>1.2000000000000028</v>
      </c>
      <c r="F134" s="211">
        <v>-14.999999999999147</v>
      </c>
      <c r="G134" s="211">
        <v>-21.199999999999708</v>
      </c>
      <c r="H134" s="211">
        <v>-0.84799999999998832</v>
      </c>
      <c r="I134" s="211" t="s">
        <v>41</v>
      </c>
      <c r="J134" s="211">
        <v>3.4999999999996589</v>
      </c>
      <c r="K134" s="213" t="s">
        <v>41</v>
      </c>
    </row>
    <row r="135" spans="1:11" ht="18.75" x14ac:dyDescent="0.3">
      <c r="A135" s="210">
        <v>45271</v>
      </c>
      <c r="B135" s="211" t="s">
        <v>13</v>
      </c>
      <c r="C135" s="212">
        <v>45644</v>
      </c>
      <c r="D135" s="212">
        <v>45735</v>
      </c>
      <c r="E135" s="211">
        <v>1.0699999999999932</v>
      </c>
      <c r="F135" s="211">
        <v>-13.000000000000966</v>
      </c>
      <c r="G135" s="211">
        <v>-34.200000000000671</v>
      </c>
      <c r="H135" s="211">
        <v>-1.3680000000000268</v>
      </c>
      <c r="I135" s="211" t="s">
        <v>41</v>
      </c>
      <c r="J135" s="211">
        <v>5.9999999999988063</v>
      </c>
      <c r="K135" s="213" t="s">
        <v>41</v>
      </c>
    </row>
    <row r="136" spans="1:11" ht="18.75" x14ac:dyDescent="0.3">
      <c r="A136" s="210">
        <v>45271</v>
      </c>
      <c r="B136" s="211"/>
      <c r="C136" s="212">
        <v>45735</v>
      </c>
      <c r="D136" s="212">
        <v>45826</v>
      </c>
      <c r="E136" s="211">
        <v>0.96999999999999886</v>
      </c>
      <c r="F136" s="211">
        <v>-9.9999999999994316</v>
      </c>
      <c r="G136" s="211">
        <v>-436.00000000000011</v>
      </c>
      <c r="H136" s="211">
        <v>-17.440000000000005</v>
      </c>
      <c r="I136" s="211" t="s">
        <v>41</v>
      </c>
      <c r="J136" s="211">
        <v>8.4999999999993747</v>
      </c>
      <c r="K136" s="213" t="s">
        <v>41</v>
      </c>
    </row>
    <row r="137" spans="1:11" ht="18.75" x14ac:dyDescent="0.3">
      <c r="A137" s="210">
        <v>45271</v>
      </c>
      <c r="B137" s="211"/>
      <c r="C137" s="212">
        <v>45826</v>
      </c>
      <c r="D137" s="212">
        <v>45917</v>
      </c>
      <c r="E137" s="211">
        <v>0.91500000000000625</v>
      </c>
      <c r="F137" s="211">
        <v>-5.499999999999261</v>
      </c>
      <c r="G137" s="211">
        <v>-441.49999999999937</v>
      </c>
      <c r="H137" s="211">
        <v>-17.659999999999975</v>
      </c>
      <c r="I137" s="211" t="s">
        <v>41</v>
      </c>
      <c r="J137" s="211">
        <v>10.000000000000853</v>
      </c>
      <c r="K137" s="213" t="s">
        <v>41</v>
      </c>
    </row>
    <row r="138" spans="1:11" ht="18.75" x14ac:dyDescent="0.3">
      <c r="A138" s="210">
        <v>45271</v>
      </c>
      <c r="B138" s="211"/>
      <c r="C138" s="212"/>
      <c r="D138" s="212"/>
      <c r="E138" s="211"/>
      <c r="F138" s="211"/>
      <c r="G138" s="211">
        <v>-533</v>
      </c>
      <c r="H138" s="211">
        <v>-21.32</v>
      </c>
      <c r="I138" s="211" t="s">
        <v>41</v>
      </c>
      <c r="J138" s="211">
        <v>0</v>
      </c>
      <c r="K138" s="213" t="s">
        <v>41</v>
      </c>
    </row>
    <row r="139" spans="1:11" ht="18.75" x14ac:dyDescent="0.3">
      <c r="A139" s="210">
        <v>45272</v>
      </c>
      <c r="B139" s="211" t="s">
        <v>13</v>
      </c>
      <c r="C139" s="212">
        <v>45275</v>
      </c>
      <c r="D139" s="212">
        <v>45373</v>
      </c>
      <c r="E139" s="211">
        <v>1.6700000000000017</v>
      </c>
      <c r="F139" s="211">
        <v>25.800000000000178</v>
      </c>
      <c r="G139" s="211">
        <v>25.800000000000178</v>
      </c>
      <c r="H139" s="211">
        <v>1.0320000000000071</v>
      </c>
      <c r="I139" s="211">
        <v>1.0000000000005116</v>
      </c>
      <c r="J139" s="211">
        <v>3.4999999999996589</v>
      </c>
      <c r="K139" s="213" t="s">
        <v>41</v>
      </c>
    </row>
    <row r="140" spans="1:11" ht="18.75" x14ac:dyDescent="0.3">
      <c r="A140" s="210">
        <v>45272</v>
      </c>
      <c r="B140" s="211" t="s">
        <v>15</v>
      </c>
      <c r="C140" s="212">
        <v>45373</v>
      </c>
      <c r="D140" s="212">
        <v>45464</v>
      </c>
      <c r="E140" s="211">
        <v>1.5349999999999966</v>
      </c>
      <c r="F140" s="211">
        <v>-13.500000000000512</v>
      </c>
      <c r="G140" s="211">
        <v>12.299999999999667</v>
      </c>
      <c r="H140" s="211">
        <v>0.49199999999998667</v>
      </c>
      <c r="I140" s="211">
        <v>0.49999999999954525</v>
      </c>
      <c r="J140" s="211">
        <v>3.9999999999992042</v>
      </c>
      <c r="K140" s="213" t="s">
        <v>41</v>
      </c>
    </row>
    <row r="141" spans="1:11" ht="18.75" x14ac:dyDescent="0.3">
      <c r="A141" s="210">
        <v>45272</v>
      </c>
      <c r="B141" s="211" t="s">
        <v>37</v>
      </c>
      <c r="C141" s="212">
        <v>45464</v>
      </c>
      <c r="D141" s="212">
        <v>45562</v>
      </c>
      <c r="E141" s="211">
        <v>1.3449999999999989</v>
      </c>
      <c r="F141" s="211">
        <v>-18.999999999999773</v>
      </c>
      <c r="G141" s="211">
        <v>-6.7000000000001059</v>
      </c>
      <c r="H141" s="211">
        <v>-0.26800000000000423</v>
      </c>
      <c r="I141" s="211">
        <v>-0.49999999999954525</v>
      </c>
      <c r="J141" s="211">
        <v>1.9999999999996021</v>
      </c>
      <c r="K141" s="213" t="s">
        <v>41</v>
      </c>
    </row>
    <row r="142" spans="1:11" ht="18.75" x14ac:dyDescent="0.3">
      <c r="A142" s="210">
        <v>45272</v>
      </c>
      <c r="B142" s="211" t="s">
        <v>38</v>
      </c>
      <c r="C142" s="212">
        <v>45562</v>
      </c>
      <c r="D142" s="212">
        <v>45644</v>
      </c>
      <c r="E142" s="211">
        <v>1.1850000000000023</v>
      </c>
      <c r="F142" s="211">
        <v>-15.999999999999659</v>
      </c>
      <c r="G142" s="211">
        <v>-22.699999999999765</v>
      </c>
      <c r="H142" s="211">
        <v>-0.90799999999999059</v>
      </c>
      <c r="I142" s="211">
        <v>-1.5000000000000568</v>
      </c>
      <c r="J142" s="211">
        <v>1.9999999999996021</v>
      </c>
      <c r="K142" s="213" t="s">
        <v>41</v>
      </c>
    </row>
    <row r="143" spans="1:11" ht="18.75" x14ac:dyDescent="0.3">
      <c r="A143" s="210">
        <v>45272</v>
      </c>
      <c r="B143" s="211" t="s">
        <v>13</v>
      </c>
      <c r="C143" s="212">
        <v>45644</v>
      </c>
      <c r="D143" s="212">
        <v>45735</v>
      </c>
      <c r="E143" s="211">
        <v>1.0600000000000023</v>
      </c>
      <c r="F143" s="211">
        <v>-12.5</v>
      </c>
      <c r="G143" s="211">
        <v>-35.199999999999761</v>
      </c>
      <c r="H143" s="211">
        <v>-1.4079999999999904</v>
      </c>
      <c r="I143" s="211">
        <v>-0.99999999999909051</v>
      </c>
      <c r="J143" s="211">
        <v>3.4999999999996589</v>
      </c>
      <c r="K143" s="213" t="s">
        <v>41</v>
      </c>
    </row>
    <row r="144" spans="1:11" ht="18.75" x14ac:dyDescent="0.3">
      <c r="A144" s="210">
        <v>45272</v>
      </c>
      <c r="B144" s="211"/>
      <c r="C144" s="212">
        <v>45735</v>
      </c>
      <c r="D144" s="212">
        <v>45826</v>
      </c>
      <c r="E144" s="211">
        <v>0.95999999999999375</v>
      </c>
      <c r="F144" s="211">
        <v>-10.000000000000853</v>
      </c>
      <c r="G144" s="211">
        <v>-437.00000000000063</v>
      </c>
      <c r="H144" s="211">
        <v>-17.480000000000025</v>
      </c>
      <c r="I144" s="211">
        <v>-1.0000000000005116</v>
      </c>
      <c r="J144" s="211">
        <v>5.499999999999261</v>
      </c>
      <c r="K144" s="213" t="s">
        <v>41</v>
      </c>
    </row>
    <row r="145" spans="1:11" ht="18.75" x14ac:dyDescent="0.3">
      <c r="A145" s="210">
        <v>45272</v>
      </c>
      <c r="B145" s="211"/>
      <c r="C145" s="212">
        <v>45826</v>
      </c>
      <c r="D145" s="212">
        <v>45917</v>
      </c>
      <c r="E145" s="211">
        <v>0.90500000000000114</v>
      </c>
      <c r="F145" s="211">
        <v>-5.499999999999261</v>
      </c>
      <c r="G145" s="211">
        <v>-442.49999999999989</v>
      </c>
      <c r="H145" s="211">
        <v>-17.699999999999996</v>
      </c>
      <c r="I145" s="211">
        <v>-1.0000000000005116</v>
      </c>
      <c r="J145" s="211">
        <v>7.000000000000739</v>
      </c>
      <c r="K145" s="213" t="s">
        <v>41</v>
      </c>
    </row>
    <row r="146" spans="1:11" ht="18.75" x14ac:dyDescent="0.3">
      <c r="A146" s="210">
        <v>45272</v>
      </c>
      <c r="B146" s="211"/>
      <c r="C146" s="212"/>
      <c r="D146" s="212"/>
      <c r="E146" s="211"/>
      <c r="F146" s="211"/>
      <c r="G146" s="211">
        <v>-533</v>
      </c>
      <c r="H146" s="211">
        <v>-21.32</v>
      </c>
      <c r="I146" s="211">
        <v>0</v>
      </c>
      <c r="J146" s="211">
        <v>0</v>
      </c>
      <c r="K146" s="213" t="s">
        <v>41</v>
      </c>
    </row>
    <row r="147" spans="1:11" ht="18.75" x14ac:dyDescent="0.3">
      <c r="A147" s="210">
        <v>45273</v>
      </c>
      <c r="B147" s="211" t="s">
        <v>13</v>
      </c>
      <c r="C147" s="212">
        <v>45275</v>
      </c>
      <c r="D147" s="212">
        <v>45373</v>
      </c>
      <c r="E147" s="211">
        <v>1.6599999999999966</v>
      </c>
      <c r="F147" s="211">
        <v>24.799999999999667</v>
      </c>
      <c r="G147" s="211">
        <v>24.799999999999667</v>
      </c>
      <c r="H147" s="211">
        <v>0.99199999999998667</v>
      </c>
      <c r="I147" s="211">
        <v>-1.0000000000005116</v>
      </c>
      <c r="J147" s="211">
        <v>0.99999999999909051</v>
      </c>
      <c r="K147" s="213" t="s">
        <v>41</v>
      </c>
    </row>
    <row r="148" spans="1:11" ht="18.75" x14ac:dyDescent="0.3">
      <c r="A148" s="210">
        <v>45273</v>
      </c>
      <c r="B148" s="211" t="s">
        <v>15</v>
      </c>
      <c r="C148" s="212">
        <v>45373</v>
      </c>
      <c r="D148" s="212">
        <v>45464</v>
      </c>
      <c r="E148" s="211">
        <v>1.519999999999996</v>
      </c>
      <c r="F148" s="211">
        <v>-14.000000000000057</v>
      </c>
      <c r="G148" s="211">
        <v>10.79999999999961</v>
      </c>
      <c r="H148" s="211">
        <v>0.4319999999999844</v>
      </c>
      <c r="I148" s="211">
        <v>-1.5000000000000568</v>
      </c>
      <c r="J148" s="211">
        <v>0.99999999999909051</v>
      </c>
      <c r="K148" s="213" t="s">
        <v>41</v>
      </c>
    </row>
    <row r="149" spans="1:11" ht="18.75" x14ac:dyDescent="0.3">
      <c r="A149" s="210">
        <v>45273</v>
      </c>
      <c r="B149" s="211" t="s">
        <v>37</v>
      </c>
      <c r="C149" s="212">
        <v>45464</v>
      </c>
      <c r="D149" s="212">
        <v>45562</v>
      </c>
      <c r="E149" s="211">
        <v>1.3149999999999977</v>
      </c>
      <c r="F149" s="211">
        <v>-20.499999999999829</v>
      </c>
      <c r="G149" s="211">
        <v>-9.7000000000002196</v>
      </c>
      <c r="H149" s="211">
        <v>-0.38800000000000878</v>
      </c>
      <c r="I149" s="211">
        <v>-3.0000000000001137</v>
      </c>
      <c r="J149" s="211">
        <v>-1.0000000000005116</v>
      </c>
      <c r="K149" s="213" t="s">
        <v>41</v>
      </c>
    </row>
    <row r="150" spans="1:11" ht="18.75" x14ac:dyDescent="0.3">
      <c r="A150" s="210">
        <v>45273</v>
      </c>
      <c r="B150" s="211" t="s">
        <v>38</v>
      </c>
      <c r="C150" s="212">
        <v>45562</v>
      </c>
      <c r="D150" s="212">
        <v>45644</v>
      </c>
      <c r="E150" s="211">
        <v>1.1500000000000057</v>
      </c>
      <c r="F150" s="211">
        <v>-16.499999999999204</v>
      </c>
      <c r="G150" s="211">
        <v>-26.199999999999424</v>
      </c>
      <c r="H150" s="211">
        <v>-1.0479999999999769</v>
      </c>
      <c r="I150" s="211">
        <v>-3.4999999999996589</v>
      </c>
      <c r="J150" s="211">
        <v>-1.5000000000000568</v>
      </c>
      <c r="K150" s="213" t="s">
        <v>41</v>
      </c>
    </row>
    <row r="151" spans="1:11" ht="18.75" x14ac:dyDescent="0.3">
      <c r="A151" s="210">
        <v>45273</v>
      </c>
      <c r="B151" s="211" t="s">
        <v>13</v>
      </c>
      <c r="C151" s="212">
        <v>45644</v>
      </c>
      <c r="D151" s="212">
        <v>45735</v>
      </c>
      <c r="E151" s="211">
        <v>1.019999999999996</v>
      </c>
      <c r="F151" s="211">
        <v>-13.000000000000966</v>
      </c>
      <c r="G151" s="211">
        <v>-39.200000000000387</v>
      </c>
      <c r="H151" s="211">
        <v>-1.5680000000000154</v>
      </c>
      <c r="I151" s="211">
        <v>-4.0000000000006253</v>
      </c>
      <c r="J151" s="211">
        <v>-0.50000000000096634</v>
      </c>
      <c r="K151" s="213" t="s">
        <v>41</v>
      </c>
    </row>
    <row r="152" spans="1:11" ht="18.75" x14ac:dyDescent="0.3">
      <c r="A152" s="210">
        <v>45273</v>
      </c>
      <c r="B152" s="211"/>
      <c r="C152" s="212">
        <v>45735</v>
      </c>
      <c r="D152" s="212">
        <v>45826</v>
      </c>
      <c r="E152" s="211">
        <v>0.92000000000000171</v>
      </c>
      <c r="F152" s="211">
        <v>-9.9999999999994316</v>
      </c>
      <c r="G152" s="211">
        <v>-440.99999999999983</v>
      </c>
      <c r="H152" s="211">
        <v>-17.639999999999993</v>
      </c>
      <c r="I152" s="211">
        <v>-3.9999999999992042</v>
      </c>
      <c r="J152" s="211">
        <v>0.49999999999954525</v>
      </c>
      <c r="K152" s="213" t="s">
        <v>41</v>
      </c>
    </row>
    <row r="153" spans="1:11" ht="18.75" x14ac:dyDescent="0.3">
      <c r="A153" s="210">
        <v>45273</v>
      </c>
      <c r="B153" s="211"/>
      <c r="C153" s="212">
        <v>45826</v>
      </c>
      <c r="D153" s="212">
        <v>45917</v>
      </c>
      <c r="E153" s="211">
        <v>0.86499999999999488</v>
      </c>
      <c r="F153" s="211">
        <v>-5.5000000000006821</v>
      </c>
      <c r="G153" s="211">
        <v>-446.50000000000051</v>
      </c>
      <c r="H153" s="211">
        <v>-17.860000000000021</v>
      </c>
      <c r="I153" s="211">
        <v>-4.0000000000006253</v>
      </c>
      <c r="J153" s="211">
        <v>1.5000000000000568</v>
      </c>
      <c r="K153" s="213" t="s">
        <v>41</v>
      </c>
    </row>
    <row r="154" spans="1:11" ht="18.75" x14ac:dyDescent="0.3">
      <c r="A154" s="210">
        <v>45273</v>
      </c>
      <c r="B154" s="211"/>
      <c r="C154" s="212"/>
      <c r="D154" s="212"/>
      <c r="E154" s="211"/>
      <c r="F154" s="211"/>
      <c r="G154" s="211">
        <v>-533</v>
      </c>
      <c r="H154" s="211">
        <v>-21.32</v>
      </c>
      <c r="I154" s="211">
        <v>0</v>
      </c>
      <c r="J154" s="211">
        <v>0</v>
      </c>
      <c r="K154" s="213" t="s">
        <v>41</v>
      </c>
    </row>
  </sheetData>
  <dataConsolidate link="1"/>
  <hyperlinks>
    <hyperlink ref="I1" r:id="rId1" display="https://www.worldsport.ge/ge/page/186696_realma-pogbas-damatebistvis-fexburteli-unda-gayidos?fbclid=IwAR1Q8_AuVjfuFyEqRQbAPIWQl1LwCJxT8yrAB4_5wAq_JUjGwmGboJ4jIZo" xr:uid="{00000000-0004-0000-0700-000000000000}"/>
  </hyperlinks>
  <pageMargins left="0.7" right="0.7" top="0.75" bottom="0.75" header="0.3" footer="0.3"/>
  <pageSetup paperSize="9" orientation="portrait"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DEF1A-4449-4184-B350-0EC70F5D456E}">
  <sheetPr codeName="Sheet13"/>
  <dimension ref="A1:Z489"/>
  <sheetViews>
    <sheetView topLeftCell="A451" workbookViewId="0">
      <selection activeCell="A478" sqref="A478:K489"/>
    </sheetView>
  </sheetViews>
  <sheetFormatPr defaultRowHeight="15" x14ac:dyDescent="0.25"/>
  <cols>
    <col min="1" max="1" width="17.28515625" customWidth="1"/>
    <col min="2" max="2" width="12.85546875" customWidth="1"/>
    <col min="3" max="3" width="14.140625" customWidth="1"/>
    <col min="4" max="4" width="12.7109375" customWidth="1"/>
    <col min="5" max="5" width="8.42578125" customWidth="1"/>
    <col min="6" max="6" width="14.42578125" customWidth="1"/>
    <col min="7" max="7" width="20.42578125" customWidth="1"/>
    <col min="8" max="8" width="12" customWidth="1"/>
    <col min="9" max="9" width="10.7109375" customWidth="1"/>
    <col min="10" max="10" width="11.28515625" customWidth="1"/>
    <col min="11" max="11" width="11.42578125" customWidth="1"/>
    <col min="18" max="18" width="10.7109375" bestFit="1" customWidth="1"/>
    <col min="20" max="20" width="10.7109375" bestFit="1" customWidth="1"/>
  </cols>
  <sheetData>
    <row r="1" spans="1:26" ht="18.75" x14ac:dyDescent="0.3">
      <c r="A1" s="410" t="s">
        <v>24</v>
      </c>
      <c r="B1" s="411" t="s">
        <v>3</v>
      </c>
      <c r="C1" s="411" t="s">
        <v>4</v>
      </c>
      <c r="D1" s="411" t="s">
        <v>5</v>
      </c>
      <c r="E1" s="411" t="s">
        <v>6</v>
      </c>
      <c r="F1" s="411" t="s">
        <v>20</v>
      </c>
      <c r="G1" s="411" t="s">
        <v>7</v>
      </c>
      <c r="H1" s="411" t="s">
        <v>8</v>
      </c>
      <c r="I1" s="412" t="s">
        <v>21</v>
      </c>
      <c r="J1" s="411" t="s">
        <v>22</v>
      </c>
      <c r="K1" s="413" t="s">
        <v>23</v>
      </c>
      <c r="L1" s="411" t="s">
        <v>88</v>
      </c>
    </row>
    <row r="2" spans="1:26" x14ac:dyDescent="0.25">
      <c r="A2" s="374">
        <v>46195</v>
      </c>
      <c r="B2" t="s">
        <v>9</v>
      </c>
      <c r="C2" t="s">
        <v>177</v>
      </c>
      <c r="D2" t="s">
        <v>178</v>
      </c>
      <c r="E2" s="402">
        <v>4.42</v>
      </c>
      <c r="I2" s="163"/>
      <c r="R2" t="s">
        <v>66</v>
      </c>
      <c r="T2" t="s">
        <v>67</v>
      </c>
      <c r="V2" t="s">
        <v>68</v>
      </c>
      <c r="X2" t="s">
        <v>69</v>
      </c>
      <c r="Z2" t="s">
        <v>92</v>
      </c>
    </row>
    <row r="3" spans="1:26" x14ac:dyDescent="0.25">
      <c r="A3" s="374">
        <v>46195</v>
      </c>
      <c r="B3" t="s">
        <v>10</v>
      </c>
      <c r="C3" t="s">
        <v>178</v>
      </c>
      <c r="D3" t="s">
        <v>179</v>
      </c>
      <c r="E3" s="402">
        <v>4.5380000000000003</v>
      </c>
      <c r="I3" s="163"/>
      <c r="R3" s="294">
        <v>46239</v>
      </c>
      <c r="T3" s="294">
        <v>46290</v>
      </c>
      <c r="V3">
        <v>4.415</v>
      </c>
      <c r="X3">
        <v>-5.0000000000000001E-3</v>
      </c>
      <c r="Y3">
        <v>-0.5</v>
      </c>
    </row>
    <row r="4" spans="1:26" x14ac:dyDescent="0.25">
      <c r="A4" s="374">
        <v>46195</v>
      </c>
      <c r="B4" t="s">
        <v>12</v>
      </c>
      <c r="C4" t="s">
        <v>179</v>
      </c>
      <c r="D4" t="s">
        <v>180</v>
      </c>
      <c r="E4" s="402">
        <v>4.6029999999999998</v>
      </c>
      <c r="I4" s="163"/>
      <c r="R4" s="294">
        <v>46290</v>
      </c>
      <c r="T4" s="294">
        <v>46332</v>
      </c>
      <c r="V4">
        <v>4.5380000000000003</v>
      </c>
      <c r="X4">
        <v>-3.3000000000000002E-2</v>
      </c>
      <c r="Y4">
        <v>-2.75</v>
      </c>
    </row>
    <row r="5" spans="1:26" x14ac:dyDescent="0.25">
      <c r="A5" s="374">
        <v>46196</v>
      </c>
      <c r="B5" t="s">
        <v>9</v>
      </c>
      <c r="C5" t="s">
        <v>177</v>
      </c>
      <c r="D5" t="s">
        <v>178</v>
      </c>
      <c r="E5" s="402">
        <v>4.42</v>
      </c>
      <c r="I5">
        <v>0</v>
      </c>
      <c r="R5" s="294">
        <v>46332</v>
      </c>
      <c r="T5" s="294">
        <v>46374</v>
      </c>
      <c r="V5">
        <v>4.6029999999999998</v>
      </c>
      <c r="X5">
        <v>-4.4999999999999998E-2</v>
      </c>
      <c r="Y5">
        <v>-2.5</v>
      </c>
    </row>
    <row r="6" spans="1:26" x14ac:dyDescent="0.25">
      <c r="A6" s="374">
        <v>46196</v>
      </c>
      <c r="B6" t="s">
        <v>10</v>
      </c>
      <c r="C6" t="s">
        <v>178</v>
      </c>
      <c r="D6" t="s">
        <v>179</v>
      </c>
      <c r="E6" s="402">
        <v>4.5380000000000003</v>
      </c>
      <c r="I6">
        <v>-6.0000000000000001E-3</v>
      </c>
    </row>
    <row r="7" spans="1:26" x14ac:dyDescent="0.25">
      <c r="A7" s="374">
        <v>46196</v>
      </c>
      <c r="B7" t="s">
        <v>12</v>
      </c>
      <c r="C7" t="s">
        <v>179</v>
      </c>
      <c r="D7" t="s">
        <v>180</v>
      </c>
      <c r="E7" s="402">
        <v>4.6029999999999998</v>
      </c>
      <c r="I7">
        <v>-2.1000000000000001E-2</v>
      </c>
      <c r="R7" t="s">
        <v>66</v>
      </c>
      <c r="T7" t="s">
        <v>67</v>
      </c>
      <c r="V7" t="s">
        <v>68</v>
      </c>
      <c r="X7" t="s">
        <v>69</v>
      </c>
    </row>
    <row r="8" spans="1:26" x14ac:dyDescent="0.25">
      <c r="A8" s="374">
        <v>46197</v>
      </c>
      <c r="B8" t="s">
        <v>9</v>
      </c>
      <c r="C8" t="s">
        <v>177</v>
      </c>
      <c r="D8" t="s">
        <v>178</v>
      </c>
      <c r="E8">
        <v>4.415</v>
      </c>
      <c r="I8">
        <v>-5.0000000000000001E-3</v>
      </c>
      <c r="R8" s="294">
        <v>46239</v>
      </c>
      <c r="T8" s="294">
        <v>46290</v>
      </c>
      <c r="V8">
        <v>4.42</v>
      </c>
      <c r="X8">
        <v>0</v>
      </c>
    </row>
    <row r="9" spans="1:26" x14ac:dyDescent="0.25">
      <c r="A9" s="374">
        <v>46197</v>
      </c>
      <c r="B9" t="s">
        <v>10</v>
      </c>
      <c r="C9" t="s">
        <v>178</v>
      </c>
      <c r="D9" t="s">
        <v>179</v>
      </c>
      <c r="E9" s="402">
        <v>4.5380000000000003</v>
      </c>
      <c r="I9">
        <v>-3.3000000000000002E-2</v>
      </c>
      <c r="R9" s="294">
        <v>46290</v>
      </c>
      <c r="T9" s="294">
        <v>46332</v>
      </c>
      <c r="V9">
        <v>4.5380000000000003</v>
      </c>
      <c r="X9">
        <v>-6.0000000000000001E-3</v>
      </c>
    </row>
    <row r="10" spans="1:26" x14ac:dyDescent="0.25">
      <c r="A10" s="374">
        <v>46197</v>
      </c>
      <c r="B10" t="s">
        <v>12</v>
      </c>
      <c r="C10" t="s">
        <v>179</v>
      </c>
      <c r="D10" t="s">
        <v>180</v>
      </c>
      <c r="E10" s="402">
        <v>4.6029999999999998</v>
      </c>
      <c r="I10">
        <v>-4.4999999999999998E-2</v>
      </c>
      <c r="R10" s="294">
        <v>46332</v>
      </c>
      <c r="T10" s="294">
        <v>46374</v>
      </c>
      <c r="V10">
        <v>4.6029999999999998</v>
      </c>
      <c r="X10">
        <v>-2.1000000000000001E-2</v>
      </c>
    </row>
    <row r="11" spans="1:26" x14ac:dyDescent="0.25">
      <c r="A11" s="374">
        <v>46198</v>
      </c>
      <c r="B11" t="s">
        <v>9</v>
      </c>
      <c r="C11" t="s">
        <v>177</v>
      </c>
      <c r="D11" t="s">
        <v>178</v>
      </c>
      <c r="E11">
        <v>4.41</v>
      </c>
      <c r="I11">
        <v>-0.01</v>
      </c>
    </row>
    <row r="12" spans="1:26" x14ac:dyDescent="0.25">
      <c r="A12" s="374">
        <v>46198</v>
      </c>
      <c r="B12" t="s">
        <v>10</v>
      </c>
      <c r="C12" t="s">
        <v>178</v>
      </c>
      <c r="D12" t="s">
        <v>179</v>
      </c>
      <c r="E12">
        <v>4.5380000000000003</v>
      </c>
      <c r="I12">
        <v>-3.3000000000000002E-2</v>
      </c>
      <c r="R12" t="s">
        <v>66</v>
      </c>
      <c r="T12" t="s">
        <v>67</v>
      </c>
      <c r="V12" t="s">
        <v>68</v>
      </c>
      <c r="X12" t="s">
        <v>69</v>
      </c>
      <c r="Z12" t="s">
        <v>92</v>
      </c>
    </row>
    <row r="13" spans="1:26" x14ac:dyDescent="0.25">
      <c r="A13" s="374">
        <v>46198</v>
      </c>
      <c r="B13" t="s">
        <v>12</v>
      </c>
      <c r="C13" t="s">
        <v>179</v>
      </c>
      <c r="D13" t="s">
        <v>180</v>
      </c>
      <c r="E13">
        <v>4.6029999999999998</v>
      </c>
      <c r="I13">
        <v>-5.5E-2</v>
      </c>
      <c r="R13" s="294">
        <v>46239</v>
      </c>
      <c r="T13" s="294">
        <v>46290</v>
      </c>
      <c r="V13">
        <v>4.41</v>
      </c>
      <c r="X13">
        <v>-0.01</v>
      </c>
      <c r="Y13">
        <v>-0.5</v>
      </c>
    </row>
    <row r="14" spans="1:26" x14ac:dyDescent="0.25">
      <c r="A14" s="374">
        <v>46199</v>
      </c>
      <c r="B14" t="s">
        <v>9</v>
      </c>
      <c r="C14" t="s">
        <v>177</v>
      </c>
      <c r="D14" t="s">
        <v>178</v>
      </c>
      <c r="E14">
        <v>4.41</v>
      </c>
      <c r="I14">
        <v>-0.01</v>
      </c>
      <c r="R14" s="294">
        <v>46290</v>
      </c>
      <c r="T14" s="294">
        <v>46332</v>
      </c>
      <c r="V14">
        <v>4.5380000000000003</v>
      </c>
      <c r="X14">
        <v>-3.3000000000000002E-2</v>
      </c>
      <c r="Y14">
        <v>0</v>
      </c>
    </row>
    <row r="15" spans="1:26" x14ac:dyDescent="0.25">
      <c r="A15" s="374">
        <v>46199</v>
      </c>
      <c r="B15" t="s">
        <v>10</v>
      </c>
      <c r="C15" t="s">
        <v>178</v>
      </c>
      <c r="D15" t="s">
        <v>179</v>
      </c>
      <c r="E15">
        <v>4.5380000000000003</v>
      </c>
      <c r="I15">
        <v>-4.2999999999999997E-2</v>
      </c>
      <c r="R15" s="294">
        <v>46332</v>
      </c>
      <c r="T15" s="294">
        <v>46374</v>
      </c>
      <c r="V15">
        <v>4.6029999999999998</v>
      </c>
      <c r="X15">
        <v>-5.5E-2</v>
      </c>
      <c r="Y15">
        <v>-1</v>
      </c>
    </row>
    <row r="16" spans="1:26" x14ac:dyDescent="0.25">
      <c r="A16" s="374">
        <v>46199</v>
      </c>
      <c r="B16" t="s">
        <v>12</v>
      </c>
      <c r="C16" t="s">
        <v>179</v>
      </c>
      <c r="D16" t="s">
        <v>180</v>
      </c>
      <c r="E16">
        <v>4.6029999999999998</v>
      </c>
      <c r="I16">
        <v>-6.6000000000000003E-2</v>
      </c>
    </row>
    <row r="17" spans="1:26" x14ac:dyDescent="0.25">
      <c r="A17" s="374">
        <v>46202</v>
      </c>
      <c r="B17" t="s">
        <v>9</v>
      </c>
      <c r="C17" t="s">
        <v>177</v>
      </c>
      <c r="D17" t="s">
        <v>178</v>
      </c>
      <c r="E17">
        <v>4.415</v>
      </c>
      <c r="F17">
        <v>16.500000000000004</v>
      </c>
      <c r="G17">
        <v>16.500000000000004</v>
      </c>
      <c r="H17">
        <v>0.66000000000000014</v>
      </c>
      <c r="I17">
        <v>0.49999999999998934</v>
      </c>
      <c r="J17" t="s">
        <v>41</v>
      </c>
      <c r="K17" t="s">
        <v>41</v>
      </c>
      <c r="R17" t="s">
        <v>66</v>
      </c>
      <c r="T17" t="s">
        <v>67</v>
      </c>
      <c r="V17" t="s">
        <v>68</v>
      </c>
      <c r="X17" t="s">
        <v>69</v>
      </c>
      <c r="Z17" t="s">
        <v>92</v>
      </c>
    </row>
    <row r="18" spans="1:26" x14ac:dyDescent="0.25">
      <c r="A18" s="374">
        <v>46202</v>
      </c>
      <c r="B18" t="s">
        <v>10</v>
      </c>
      <c r="C18" t="s">
        <v>178</v>
      </c>
      <c r="D18" t="s">
        <v>179</v>
      </c>
      <c r="E18">
        <v>4.4950000000000001</v>
      </c>
      <c r="F18">
        <v>8.0000000000000071</v>
      </c>
      <c r="G18">
        <v>24.500000000000011</v>
      </c>
      <c r="H18">
        <v>0.98000000000000043</v>
      </c>
      <c r="I18">
        <v>-4.3000000000000149</v>
      </c>
      <c r="J18">
        <v>-4.3000000000000149</v>
      </c>
      <c r="K18" t="s">
        <v>41</v>
      </c>
      <c r="R18" s="294">
        <v>46239</v>
      </c>
      <c r="T18" s="294">
        <v>46290</v>
      </c>
      <c r="V18">
        <v>4.41</v>
      </c>
      <c r="X18">
        <v>-0.01</v>
      </c>
      <c r="Y18">
        <v>0</v>
      </c>
    </row>
    <row r="19" spans="1:26" x14ac:dyDescent="0.25">
      <c r="A19" s="374">
        <v>46202</v>
      </c>
      <c r="B19" t="s">
        <v>12</v>
      </c>
      <c r="C19" t="s">
        <v>179</v>
      </c>
      <c r="D19" t="s">
        <v>180</v>
      </c>
      <c r="E19">
        <v>4.5425000000000004</v>
      </c>
      <c r="F19">
        <v>4.750000000000032</v>
      </c>
      <c r="G19">
        <v>29.250000000000043</v>
      </c>
      <c r="H19">
        <v>1.1700000000000017</v>
      </c>
      <c r="I19">
        <v>-6.0499999999999332</v>
      </c>
      <c r="J19">
        <v>-6.0499999999999332</v>
      </c>
      <c r="K19" t="s">
        <v>41</v>
      </c>
      <c r="R19" s="294">
        <v>46290</v>
      </c>
      <c r="T19" s="294">
        <v>46332</v>
      </c>
      <c r="V19">
        <v>4.5380000000000003</v>
      </c>
      <c r="X19">
        <v>-4.2999999999999997E-2</v>
      </c>
      <c r="Y19">
        <v>-1</v>
      </c>
    </row>
    <row r="20" spans="1:26" x14ac:dyDescent="0.25">
      <c r="A20" s="374">
        <v>46202</v>
      </c>
      <c r="B20" t="s">
        <v>13</v>
      </c>
      <c r="C20" t="s">
        <v>180</v>
      </c>
      <c r="D20" t="s">
        <v>194</v>
      </c>
      <c r="E20">
        <v>4.5599999999999996</v>
      </c>
      <c r="F20">
        <v>1.7499999999999183</v>
      </c>
      <c r="G20">
        <v>30.999999999999961</v>
      </c>
      <c r="H20">
        <v>1.2399999999999984</v>
      </c>
      <c r="I20" t="s">
        <v>41</v>
      </c>
      <c r="J20" t="s">
        <v>41</v>
      </c>
      <c r="K20" t="s">
        <v>41</v>
      </c>
      <c r="R20" s="294">
        <v>46332</v>
      </c>
      <c r="T20" s="294">
        <v>46374</v>
      </c>
      <c r="V20">
        <v>4.6029999999999998</v>
      </c>
      <c r="X20">
        <v>-6.6000000000000003E-2</v>
      </c>
      <c r="Y20">
        <v>-1</v>
      </c>
    </row>
    <row r="21" spans="1:26" x14ac:dyDescent="0.25">
      <c r="A21" s="374">
        <v>46202</v>
      </c>
      <c r="B21" t="s">
        <v>28</v>
      </c>
      <c r="C21" t="s">
        <v>194</v>
      </c>
      <c r="D21" t="s">
        <v>195</v>
      </c>
      <c r="E21">
        <v>4.5599999999999996</v>
      </c>
      <c r="F21">
        <v>0</v>
      </c>
      <c r="G21">
        <v>30.999999999999961</v>
      </c>
      <c r="H21">
        <v>1.2399999999999984</v>
      </c>
      <c r="I21" t="s">
        <v>41</v>
      </c>
      <c r="J21" t="s">
        <v>41</v>
      </c>
      <c r="K21" t="s">
        <v>41</v>
      </c>
    </row>
    <row r="22" spans="1:26" x14ac:dyDescent="0.25">
      <c r="A22" s="374">
        <v>46202</v>
      </c>
      <c r="B22" t="s">
        <v>15</v>
      </c>
      <c r="C22" t="s">
        <v>195</v>
      </c>
      <c r="D22" t="s">
        <v>148</v>
      </c>
      <c r="E22">
        <v>4.5274999999999999</v>
      </c>
      <c r="F22">
        <v>-3.2499999999999751</v>
      </c>
      <c r="G22">
        <v>27.749999999999986</v>
      </c>
      <c r="H22">
        <v>1.1099999999999994</v>
      </c>
      <c r="I22" t="s">
        <v>41</v>
      </c>
      <c r="J22" t="s">
        <v>41</v>
      </c>
      <c r="K22" t="s">
        <v>41</v>
      </c>
    </row>
    <row r="23" spans="1:26" x14ac:dyDescent="0.25">
      <c r="A23" s="374">
        <v>46202</v>
      </c>
      <c r="B23" t="s">
        <v>17</v>
      </c>
      <c r="C23" t="s">
        <v>148</v>
      </c>
      <c r="D23" t="s">
        <v>196</v>
      </c>
      <c r="E23" t="s">
        <v>197</v>
      </c>
      <c r="F23" t="e">
        <v>#VALUE!</v>
      </c>
      <c r="G23" t="e">
        <v>#VALUE!</v>
      </c>
      <c r="H23" t="e">
        <v>#VALUE!</v>
      </c>
      <c r="I23" t="s">
        <v>41</v>
      </c>
      <c r="J23" t="s">
        <v>41</v>
      </c>
      <c r="K23" t="s">
        <v>41</v>
      </c>
    </row>
    <row r="24" spans="1:26" x14ac:dyDescent="0.25">
      <c r="A24" s="374">
        <v>46202</v>
      </c>
    </row>
    <row r="25" spans="1:26" x14ac:dyDescent="0.25">
      <c r="A25" s="374">
        <v>46202</v>
      </c>
      <c r="I25" t="s">
        <v>41</v>
      </c>
      <c r="J25" t="s">
        <v>41</v>
      </c>
      <c r="K25" t="s">
        <v>41</v>
      </c>
    </row>
    <row r="26" spans="1:26" x14ac:dyDescent="0.25">
      <c r="A26" s="374">
        <v>46202</v>
      </c>
      <c r="I26" t="s">
        <v>41</v>
      </c>
      <c r="J26" t="s">
        <v>41</v>
      </c>
      <c r="K26" t="s">
        <v>41</v>
      </c>
    </row>
    <row r="27" spans="1:26" x14ac:dyDescent="0.25">
      <c r="A27" s="374">
        <v>46202</v>
      </c>
      <c r="I27" t="s">
        <v>41</v>
      </c>
      <c r="J27" t="s">
        <v>41</v>
      </c>
      <c r="K27" t="s">
        <v>41</v>
      </c>
    </row>
    <row r="28" spans="1:26" x14ac:dyDescent="0.25">
      <c r="A28" s="374">
        <v>46202</v>
      </c>
      <c r="I28" t="s">
        <v>41</v>
      </c>
      <c r="J28" t="s">
        <v>41</v>
      </c>
      <c r="K28" t="s">
        <v>41</v>
      </c>
    </row>
    <row r="29" spans="1:26" x14ac:dyDescent="0.25">
      <c r="A29" s="374">
        <v>46202</v>
      </c>
      <c r="B29" t="s">
        <v>9</v>
      </c>
      <c r="C29" t="s">
        <v>177</v>
      </c>
      <c r="D29" t="s">
        <v>178</v>
      </c>
      <c r="E29">
        <v>4.415</v>
      </c>
      <c r="F29">
        <v>16.500000000000004</v>
      </c>
      <c r="G29">
        <v>16.500000000000004</v>
      </c>
      <c r="H29">
        <v>0.66000000000000014</v>
      </c>
      <c r="I29">
        <v>0.49999999999998934</v>
      </c>
      <c r="J29" t="s">
        <v>41</v>
      </c>
      <c r="K29" t="s">
        <v>41</v>
      </c>
    </row>
    <row r="30" spans="1:26" x14ac:dyDescent="0.25">
      <c r="A30" s="374">
        <v>46202</v>
      </c>
      <c r="B30" t="s">
        <v>10</v>
      </c>
      <c r="C30" t="s">
        <v>178</v>
      </c>
      <c r="D30" t="s">
        <v>179</v>
      </c>
      <c r="E30">
        <v>4.4950000000000001</v>
      </c>
      <c r="F30">
        <v>8.0000000000000071</v>
      </c>
      <c r="G30">
        <v>24.500000000000011</v>
      </c>
      <c r="H30">
        <v>0.98000000000000043</v>
      </c>
      <c r="I30">
        <v>-4.3000000000000149</v>
      </c>
      <c r="J30">
        <v>-4.3000000000000149</v>
      </c>
      <c r="K30" t="s">
        <v>41</v>
      </c>
    </row>
    <row r="31" spans="1:26" x14ac:dyDescent="0.25">
      <c r="A31" s="374">
        <v>46202</v>
      </c>
      <c r="B31" t="s">
        <v>12</v>
      </c>
      <c r="C31" t="s">
        <v>179</v>
      </c>
      <c r="D31" t="s">
        <v>180</v>
      </c>
      <c r="E31">
        <v>4.5425000000000004</v>
      </c>
      <c r="F31">
        <v>4.750000000000032</v>
      </c>
      <c r="G31">
        <v>29.250000000000043</v>
      </c>
      <c r="H31">
        <v>1.1700000000000017</v>
      </c>
      <c r="I31">
        <v>-6.0499999999999332</v>
      </c>
      <c r="J31">
        <v>-6.0499999999999332</v>
      </c>
      <c r="K31" t="s">
        <v>41</v>
      </c>
    </row>
    <row r="32" spans="1:26" x14ac:dyDescent="0.25">
      <c r="A32" s="374">
        <v>46202</v>
      </c>
      <c r="B32" t="s">
        <v>13</v>
      </c>
      <c r="C32" t="s">
        <v>180</v>
      </c>
      <c r="D32" t="s">
        <v>194</v>
      </c>
      <c r="E32">
        <v>4.5650000000000004</v>
      </c>
      <c r="F32">
        <v>2.2499999999999964</v>
      </c>
      <c r="G32">
        <v>31.500000000000039</v>
      </c>
      <c r="H32">
        <v>1.2600000000000016</v>
      </c>
      <c r="I32" t="s">
        <v>41</v>
      </c>
      <c r="J32" t="s">
        <v>41</v>
      </c>
      <c r="K32" t="s">
        <v>41</v>
      </c>
    </row>
    <row r="33" spans="1:11" x14ac:dyDescent="0.25">
      <c r="A33" s="374">
        <v>46202</v>
      </c>
      <c r="B33" t="s">
        <v>28</v>
      </c>
      <c r="C33" t="s">
        <v>194</v>
      </c>
      <c r="D33" t="s">
        <v>195</v>
      </c>
      <c r="E33">
        <v>4.5650000000000004</v>
      </c>
      <c r="F33">
        <v>0</v>
      </c>
      <c r="G33">
        <v>31.500000000000039</v>
      </c>
      <c r="H33">
        <v>1.2600000000000016</v>
      </c>
      <c r="I33" t="s">
        <v>41</v>
      </c>
      <c r="J33" t="s">
        <v>41</v>
      </c>
      <c r="K33" t="s">
        <v>41</v>
      </c>
    </row>
    <row r="34" spans="1:11" x14ac:dyDescent="0.25">
      <c r="A34" s="374">
        <v>46202</v>
      </c>
      <c r="B34" t="s">
        <v>15</v>
      </c>
      <c r="C34" t="s">
        <v>195</v>
      </c>
      <c r="D34" t="s">
        <v>148</v>
      </c>
      <c r="E34">
        <v>4.5324999999999998</v>
      </c>
      <c r="F34">
        <v>-3.2500000000000639</v>
      </c>
      <c r="G34">
        <v>28.249999999999975</v>
      </c>
      <c r="H34">
        <v>1.129999999999999</v>
      </c>
      <c r="I34" t="s">
        <v>41</v>
      </c>
      <c r="J34" t="s">
        <v>41</v>
      </c>
      <c r="K34" t="s">
        <v>41</v>
      </c>
    </row>
    <row r="35" spans="1:11" x14ac:dyDescent="0.25">
      <c r="A35" s="374">
        <v>46202</v>
      </c>
      <c r="B35" t="s">
        <v>17</v>
      </c>
      <c r="C35" t="s">
        <v>148</v>
      </c>
      <c r="D35" t="s">
        <v>196</v>
      </c>
      <c r="E35" t="s">
        <v>197</v>
      </c>
      <c r="F35" t="e">
        <v>#VALUE!</v>
      </c>
      <c r="G35" t="e">
        <v>#VALUE!</v>
      </c>
      <c r="H35" t="e">
        <v>#VALUE!</v>
      </c>
      <c r="I35" t="s">
        <v>41</v>
      </c>
      <c r="J35" t="s">
        <v>41</v>
      </c>
      <c r="K35" t="s">
        <v>41</v>
      </c>
    </row>
    <row r="36" spans="1:11" x14ac:dyDescent="0.25">
      <c r="A36" s="374">
        <v>46202</v>
      </c>
      <c r="I36" t="s">
        <v>41</v>
      </c>
      <c r="J36" t="s">
        <v>41</v>
      </c>
      <c r="K36" t="s">
        <v>41</v>
      </c>
    </row>
    <row r="37" spans="1:11" x14ac:dyDescent="0.25">
      <c r="A37" s="374">
        <v>46202</v>
      </c>
      <c r="I37" t="s">
        <v>41</v>
      </c>
      <c r="J37" t="s">
        <v>41</v>
      </c>
      <c r="K37" t="s">
        <v>41</v>
      </c>
    </row>
    <row r="38" spans="1:11" x14ac:dyDescent="0.25">
      <c r="A38" s="374">
        <v>46202</v>
      </c>
      <c r="I38" t="s">
        <v>41</v>
      </c>
      <c r="J38" t="s">
        <v>41</v>
      </c>
      <c r="K38" t="s">
        <v>41</v>
      </c>
    </row>
    <row r="39" spans="1:11" x14ac:dyDescent="0.25">
      <c r="A39" s="374">
        <v>46202</v>
      </c>
      <c r="I39" t="s">
        <v>41</v>
      </c>
      <c r="J39" t="s">
        <v>41</v>
      </c>
      <c r="K39" t="s">
        <v>41</v>
      </c>
    </row>
    <row r="40" spans="1:11" x14ac:dyDescent="0.25">
      <c r="A40" s="374">
        <v>46202</v>
      </c>
      <c r="I40" t="s">
        <v>41</v>
      </c>
      <c r="J40" t="s">
        <v>41</v>
      </c>
      <c r="K40" t="s">
        <v>41</v>
      </c>
    </row>
    <row r="41" spans="1:11" x14ac:dyDescent="0.25">
      <c r="A41" s="374">
        <v>46203</v>
      </c>
      <c r="B41" t="s">
        <v>9</v>
      </c>
      <c r="C41" t="s">
        <v>177</v>
      </c>
      <c r="D41" t="s">
        <v>178</v>
      </c>
      <c r="E41">
        <v>4.41</v>
      </c>
      <c r="F41">
        <v>16.000000000000014</v>
      </c>
      <c r="G41">
        <v>16.000000000000014</v>
      </c>
      <c r="H41">
        <v>0.64000000000000057</v>
      </c>
      <c r="I41">
        <v>-0.49999999999998934</v>
      </c>
      <c r="J41">
        <v>-0.99999999999997868</v>
      </c>
      <c r="K41" t="s">
        <v>41</v>
      </c>
    </row>
    <row r="42" spans="1:11" x14ac:dyDescent="0.25">
      <c r="A42" s="374">
        <v>46203</v>
      </c>
      <c r="B42" t="s">
        <v>10</v>
      </c>
      <c r="C42" t="s">
        <v>178</v>
      </c>
      <c r="D42" t="s">
        <v>179</v>
      </c>
      <c r="E42">
        <v>4.4950000000000001</v>
      </c>
      <c r="F42">
        <v>8.4999999999999964</v>
      </c>
      <c r="G42">
        <v>24.500000000000011</v>
      </c>
      <c r="H42">
        <v>0.98000000000000043</v>
      </c>
      <c r="I42">
        <v>0</v>
      </c>
      <c r="J42">
        <v>-4.3000000000000149</v>
      </c>
      <c r="K42" t="s">
        <v>41</v>
      </c>
    </row>
    <row r="43" spans="1:11" x14ac:dyDescent="0.25">
      <c r="A43" s="374">
        <v>46203</v>
      </c>
      <c r="B43" t="s">
        <v>12</v>
      </c>
      <c r="C43" t="s">
        <v>179</v>
      </c>
      <c r="D43" t="s">
        <v>180</v>
      </c>
      <c r="E43">
        <v>4.5475000000000003</v>
      </c>
      <c r="F43">
        <v>5.2500000000000213</v>
      </c>
      <c r="G43">
        <v>29.750000000000032</v>
      </c>
      <c r="H43">
        <v>1.1900000000000013</v>
      </c>
      <c r="I43">
        <v>0.49999999999998934</v>
      </c>
      <c r="J43">
        <v>-5.5499999999999439</v>
      </c>
      <c r="K43" t="s">
        <v>41</v>
      </c>
    </row>
    <row r="44" spans="1:11" x14ac:dyDescent="0.25">
      <c r="A44" s="374">
        <v>46203</v>
      </c>
      <c r="B44" t="s">
        <v>13</v>
      </c>
      <c r="C44" t="s">
        <v>180</v>
      </c>
      <c r="D44" t="s">
        <v>194</v>
      </c>
      <c r="E44">
        <v>4.58</v>
      </c>
      <c r="F44">
        <v>3.2499999999999751</v>
      </c>
      <c r="G44">
        <v>33.000000000000007</v>
      </c>
      <c r="H44">
        <v>1.3200000000000003</v>
      </c>
      <c r="I44">
        <v>2.0000000000000462</v>
      </c>
      <c r="J44" t="s">
        <v>41</v>
      </c>
      <c r="K44" t="s">
        <v>41</v>
      </c>
    </row>
    <row r="45" spans="1:11" x14ac:dyDescent="0.25">
      <c r="A45" s="374">
        <v>46203</v>
      </c>
      <c r="B45" t="s">
        <v>28</v>
      </c>
      <c r="C45" t="s">
        <v>194</v>
      </c>
      <c r="D45" t="s">
        <v>195</v>
      </c>
      <c r="E45">
        <v>4.585</v>
      </c>
      <c r="F45">
        <v>0.49999999999998934</v>
      </c>
      <c r="G45">
        <v>33.5</v>
      </c>
      <c r="H45">
        <v>1.34</v>
      </c>
      <c r="I45">
        <v>2.5000000000000355</v>
      </c>
      <c r="J45" t="s">
        <v>41</v>
      </c>
      <c r="K45" t="s">
        <v>41</v>
      </c>
    </row>
    <row r="46" spans="1:11" x14ac:dyDescent="0.25">
      <c r="A46" s="374">
        <v>46203</v>
      </c>
      <c r="B46" t="s">
        <v>15</v>
      </c>
      <c r="C46" t="s">
        <v>195</v>
      </c>
      <c r="D46" t="s">
        <v>148</v>
      </c>
      <c r="E46">
        <v>4.5575000000000001</v>
      </c>
      <c r="F46">
        <v>-2.7499999999999858</v>
      </c>
      <c r="G46">
        <v>30.750000000000011</v>
      </c>
      <c r="H46">
        <v>1.2300000000000004</v>
      </c>
      <c r="I46">
        <v>3.0000000000000249</v>
      </c>
      <c r="J46" t="s">
        <v>41</v>
      </c>
      <c r="K46" t="s">
        <v>41</v>
      </c>
    </row>
    <row r="47" spans="1:11" x14ac:dyDescent="0.25">
      <c r="A47" s="374">
        <v>46203</v>
      </c>
      <c r="I47">
        <v>0</v>
      </c>
      <c r="J47" t="s">
        <v>41</v>
      </c>
      <c r="K47" t="s">
        <v>41</v>
      </c>
    </row>
    <row r="48" spans="1:11" x14ac:dyDescent="0.25">
      <c r="A48" s="374">
        <v>46203</v>
      </c>
      <c r="I48">
        <v>0</v>
      </c>
      <c r="J48" t="s">
        <v>41</v>
      </c>
      <c r="K48" t="s">
        <v>41</v>
      </c>
    </row>
    <row r="49" spans="1:11" x14ac:dyDescent="0.25">
      <c r="A49" s="374">
        <v>46203</v>
      </c>
      <c r="I49">
        <v>0</v>
      </c>
      <c r="J49" t="s">
        <v>41</v>
      </c>
      <c r="K49" t="s">
        <v>41</v>
      </c>
    </row>
    <row r="50" spans="1:11" x14ac:dyDescent="0.25">
      <c r="A50" s="374">
        <v>46203</v>
      </c>
      <c r="I50">
        <v>0</v>
      </c>
      <c r="J50" t="s">
        <v>41</v>
      </c>
      <c r="K50" t="s">
        <v>41</v>
      </c>
    </row>
    <row r="51" spans="1:11" x14ac:dyDescent="0.25">
      <c r="A51" s="374">
        <v>46203</v>
      </c>
      <c r="I51">
        <v>0</v>
      </c>
      <c r="J51" t="s">
        <v>41</v>
      </c>
      <c r="K51" t="s">
        <v>41</v>
      </c>
    </row>
    <row r="52" spans="1:11" x14ac:dyDescent="0.25">
      <c r="A52" s="374">
        <v>46203</v>
      </c>
      <c r="I52">
        <v>0</v>
      </c>
      <c r="J52" t="s">
        <v>41</v>
      </c>
      <c r="K52" t="s">
        <v>41</v>
      </c>
    </row>
    <row r="53" spans="1:11" x14ac:dyDescent="0.25">
      <c r="A53" s="374">
        <v>46204</v>
      </c>
      <c r="B53" t="s">
        <v>9</v>
      </c>
      <c r="C53" t="s">
        <v>177</v>
      </c>
      <c r="D53" t="s">
        <v>178</v>
      </c>
      <c r="E53">
        <v>4.42</v>
      </c>
      <c r="F53">
        <v>16.999999999999993</v>
      </c>
      <c r="G53">
        <v>16.999999999999993</v>
      </c>
      <c r="H53">
        <v>0.67999999999999972</v>
      </c>
      <c r="I53">
        <v>0.99999999999997868</v>
      </c>
      <c r="J53">
        <v>0.49999999999998934</v>
      </c>
      <c r="K53" t="s">
        <v>41</v>
      </c>
    </row>
    <row r="54" spans="1:11" x14ac:dyDescent="0.25">
      <c r="A54" s="374">
        <v>46204</v>
      </c>
      <c r="B54" t="s">
        <v>10</v>
      </c>
      <c r="C54" t="s">
        <v>178</v>
      </c>
      <c r="D54" t="s">
        <v>179</v>
      </c>
      <c r="E54">
        <v>4.5</v>
      </c>
      <c r="F54">
        <v>8.0000000000000071</v>
      </c>
      <c r="G54">
        <v>25</v>
      </c>
      <c r="H54">
        <v>1</v>
      </c>
      <c r="I54">
        <v>0.49999999999998934</v>
      </c>
      <c r="J54">
        <v>-3.8000000000000256</v>
      </c>
      <c r="K54" t="s">
        <v>41</v>
      </c>
    </row>
    <row r="55" spans="1:11" x14ac:dyDescent="0.25">
      <c r="A55" s="374">
        <v>46204</v>
      </c>
      <c r="B55" t="s">
        <v>12</v>
      </c>
      <c r="C55" t="s">
        <v>179</v>
      </c>
      <c r="D55" t="s">
        <v>180</v>
      </c>
      <c r="E55">
        <v>4.5575000000000001</v>
      </c>
      <c r="F55">
        <v>5.7500000000000107</v>
      </c>
      <c r="G55">
        <v>30.750000000000011</v>
      </c>
      <c r="H55">
        <v>1.2300000000000004</v>
      </c>
      <c r="I55">
        <v>0.99999999999997868</v>
      </c>
      <c r="J55">
        <v>-4.5499999999999652</v>
      </c>
      <c r="K55" t="s">
        <v>41</v>
      </c>
    </row>
    <row r="56" spans="1:11" x14ac:dyDescent="0.25">
      <c r="A56" s="374">
        <v>46204</v>
      </c>
      <c r="B56" t="s">
        <v>13</v>
      </c>
      <c r="C56" t="s">
        <v>180</v>
      </c>
      <c r="D56" t="s">
        <v>194</v>
      </c>
      <c r="E56">
        <v>4.59</v>
      </c>
      <c r="F56">
        <v>3.2499999999999751</v>
      </c>
      <c r="G56">
        <v>33.999999999999986</v>
      </c>
      <c r="H56">
        <v>1.3599999999999994</v>
      </c>
      <c r="I56">
        <v>0.99999999999997868</v>
      </c>
      <c r="J56" t="s">
        <v>41</v>
      </c>
      <c r="K56" t="s">
        <v>41</v>
      </c>
    </row>
    <row r="57" spans="1:11" x14ac:dyDescent="0.25">
      <c r="A57" s="374">
        <v>46204</v>
      </c>
      <c r="B57" t="s">
        <v>28</v>
      </c>
      <c r="C57" t="s">
        <v>194</v>
      </c>
      <c r="D57" t="s">
        <v>195</v>
      </c>
      <c r="E57">
        <v>4.5949999999999998</v>
      </c>
      <c r="F57">
        <v>0.49999999999998934</v>
      </c>
      <c r="G57">
        <v>34.499999999999972</v>
      </c>
      <c r="H57">
        <v>1.3799999999999988</v>
      </c>
      <c r="I57">
        <v>0.99999999999997868</v>
      </c>
      <c r="J57" t="s">
        <v>41</v>
      </c>
      <c r="K57" t="s">
        <v>41</v>
      </c>
    </row>
    <row r="58" spans="1:11" x14ac:dyDescent="0.25">
      <c r="A58" s="374">
        <v>46204</v>
      </c>
      <c r="B58" t="s">
        <v>15</v>
      </c>
      <c r="C58" t="s">
        <v>195</v>
      </c>
      <c r="D58" t="s">
        <v>148</v>
      </c>
      <c r="E58">
        <v>4.5674999999999999</v>
      </c>
      <c r="F58">
        <v>-2.7499999999999858</v>
      </c>
      <c r="G58">
        <v>31.749999999999989</v>
      </c>
      <c r="H58">
        <v>1.2699999999999996</v>
      </c>
      <c r="I58">
        <v>0.99999999999997868</v>
      </c>
      <c r="J58" t="s">
        <v>41</v>
      </c>
      <c r="K58" t="s">
        <v>41</v>
      </c>
    </row>
    <row r="59" spans="1:11" x14ac:dyDescent="0.25">
      <c r="A59" s="374">
        <v>46204</v>
      </c>
      <c r="I59">
        <v>0</v>
      </c>
      <c r="J59" t="s">
        <v>41</v>
      </c>
      <c r="K59" t="s">
        <v>41</v>
      </c>
    </row>
    <row r="60" spans="1:11" x14ac:dyDescent="0.25">
      <c r="A60" s="374">
        <v>46204</v>
      </c>
      <c r="I60">
        <v>0</v>
      </c>
      <c r="J60" t="s">
        <v>41</v>
      </c>
      <c r="K60" t="s">
        <v>41</v>
      </c>
    </row>
    <row r="61" spans="1:11" x14ac:dyDescent="0.25">
      <c r="A61" s="374">
        <v>46204</v>
      </c>
      <c r="I61">
        <v>0</v>
      </c>
      <c r="J61" t="s">
        <v>41</v>
      </c>
      <c r="K61" t="s">
        <v>41</v>
      </c>
    </row>
    <row r="62" spans="1:11" x14ac:dyDescent="0.25">
      <c r="A62" s="374">
        <v>46204</v>
      </c>
      <c r="I62">
        <v>0</v>
      </c>
      <c r="J62" t="s">
        <v>41</v>
      </c>
      <c r="K62" t="s">
        <v>41</v>
      </c>
    </row>
    <row r="63" spans="1:11" x14ac:dyDescent="0.25">
      <c r="A63" s="374">
        <v>46204</v>
      </c>
      <c r="I63">
        <v>0</v>
      </c>
      <c r="J63" t="s">
        <v>41</v>
      </c>
      <c r="K63" t="s">
        <v>41</v>
      </c>
    </row>
    <row r="64" spans="1:11" x14ac:dyDescent="0.25">
      <c r="A64" s="374">
        <v>46204</v>
      </c>
      <c r="I64">
        <v>0</v>
      </c>
      <c r="J64" t="s">
        <v>41</v>
      </c>
      <c r="K64" t="s">
        <v>41</v>
      </c>
    </row>
    <row r="65" spans="1:11" x14ac:dyDescent="0.25">
      <c r="A65" s="374">
        <v>46205</v>
      </c>
      <c r="B65" t="s">
        <v>9</v>
      </c>
      <c r="C65" t="s">
        <v>177</v>
      </c>
      <c r="D65" t="s">
        <v>178</v>
      </c>
      <c r="E65">
        <v>4.415</v>
      </c>
      <c r="F65">
        <v>16.500000000000004</v>
      </c>
      <c r="G65">
        <v>16.500000000000004</v>
      </c>
      <c r="H65">
        <v>0.66000000000000014</v>
      </c>
      <c r="I65">
        <v>-0.49999999999998934</v>
      </c>
      <c r="J65">
        <v>0.49999999999998934</v>
      </c>
      <c r="K65" t="s">
        <v>41</v>
      </c>
    </row>
    <row r="66" spans="1:11" x14ac:dyDescent="0.25">
      <c r="A66" s="374">
        <v>46205</v>
      </c>
      <c r="B66" t="s">
        <v>10</v>
      </c>
      <c r="C66" t="s">
        <v>178</v>
      </c>
      <c r="D66" t="s">
        <v>179</v>
      </c>
      <c r="E66">
        <v>4.5</v>
      </c>
      <c r="F66">
        <v>8.4999999999999964</v>
      </c>
      <c r="G66">
        <v>25</v>
      </c>
      <c r="H66">
        <v>1</v>
      </c>
      <c r="I66">
        <v>0</v>
      </c>
      <c r="J66">
        <v>-3.8000000000000256</v>
      </c>
      <c r="K66" t="s">
        <v>41</v>
      </c>
    </row>
    <row r="67" spans="1:11" x14ac:dyDescent="0.25">
      <c r="A67" s="374">
        <v>46205</v>
      </c>
      <c r="B67" t="s">
        <v>12</v>
      </c>
      <c r="C67" t="s">
        <v>179</v>
      </c>
      <c r="D67" t="s">
        <v>180</v>
      </c>
      <c r="E67">
        <v>4.5525000000000002</v>
      </c>
      <c r="F67">
        <v>5.2500000000000213</v>
      </c>
      <c r="G67">
        <v>30.250000000000021</v>
      </c>
      <c r="H67">
        <v>1.2100000000000009</v>
      </c>
      <c r="I67">
        <v>-0.49999999999998934</v>
      </c>
      <c r="J67">
        <v>-5.0499999999999545</v>
      </c>
      <c r="K67" t="s">
        <v>41</v>
      </c>
    </row>
    <row r="68" spans="1:11" x14ac:dyDescent="0.25">
      <c r="A68" s="374">
        <v>46205</v>
      </c>
      <c r="B68" t="s">
        <v>13</v>
      </c>
      <c r="C68" t="s">
        <v>180</v>
      </c>
      <c r="D68" t="s">
        <v>194</v>
      </c>
      <c r="E68">
        <v>4.585</v>
      </c>
      <c r="F68">
        <v>3.2499999999999751</v>
      </c>
      <c r="G68">
        <v>33.5</v>
      </c>
      <c r="H68">
        <v>1.34</v>
      </c>
      <c r="I68">
        <v>-0.49999999999998934</v>
      </c>
      <c r="J68" t="s">
        <v>41</v>
      </c>
      <c r="K68" t="s">
        <v>41</v>
      </c>
    </row>
    <row r="69" spans="1:11" x14ac:dyDescent="0.25">
      <c r="A69" s="374">
        <v>46205</v>
      </c>
      <c r="B69" t="s">
        <v>28</v>
      </c>
      <c r="C69" t="s">
        <v>194</v>
      </c>
      <c r="D69" t="s">
        <v>195</v>
      </c>
      <c r="E69">
        <v>4.59</v>
      </c>
      <c r="F69">
        <v>0.49999999999998934</v>
      </c>
      <c r="G69">
        <v>33.999999999999986</v>
      </c>
      <c r="H69">
        <v>1.3599999999999994</v>
      </c>
      <c r="I69">
        <v>-0.49999999999998934</v>
      </c>
      <c r="J69" t="s">
        <v>41</v>
      </c>
      <c r="K69" t="s">
        <v>41</v>
      </c>
    </row>
    <row r="70" spans="1:11" x14ac:dyDescent="0.25">
      <c r="A70" s="374">
        <v>46205</v>
      </c>
      <c r="B70" t="s">
        <v>15</v>
      </c>
      <c r="C70" t="s">
        <v>195</v>
      </c>
      <c r="D70" t="s">
        <v>148</v>
      </c>
      <c r="E70">
        <v>4.5625</v>
      </c>
      <c r="F70">
        <v>-2.7499999999999858</v>
      </c>
      <c r="G70">
        <v>31.25</v>
      </c>
      <c r="H70">
        <v>1.25</v>
      </c>
      <c r="I70">
        <v>-0.49999999999998934</v>
      </c>
      <c r="J70" t="s">
        <v>41</v>
      </c>
      <c r="K70" t="s">
        <v>41</v>
      </c>
    </row>
    <row r="71" spans="1:11" x14ac:dyDescent="0.25">
      <c r="A71" s="374">
        <v>46205</v>
      </c>
      <c r="I71">
        <v>0</v>
      </c>
      <c r="J71" t="s">
        <v>41</v>
      </c>
      <c r="K71" t="s">
        <v>41</v>
      </c>
    </row>
    <row r="72" spans="1:11" x14ac:dyDescent="0.25">
      <c r="A72" s="374">
        <v>46205</v>
      </c>
      <c r="I72">
        <v>0</v>
      </c>
      <c r="J72" t="s">
        <v>41</v>
      </c>
      <c r="K72" t="s">
        <v>41</v>
      </c>
    </row>
    <row r="73" spans="1:11" x14ac:dyDescent="0.25">
      <c r="A73" s="374">
        <v>46205</v>
      </c>
      <c r="I73">
        <v>0</v>
      </c>
      <c r="J73" t="s">
        <v>41</v>
      </c>
      <c r="K73" t="s">
        <v>41</v>
      </c>
    </row>
    <row r="74" spans="1:11" x14ac:dyDescent="0.25">
      <c r="A74" s="374">
        <v>46205</v>
      </c>
      <c r="I74">
        <v>0</v>
      </c>
      <c r="J74" t="s">
        <v>41</v>
      </c>
      <c r="K74" t="s">
        <v>41</v>
      </c>
    </row>
    <row r="75" spans="1:11" x14ac:dyDescent="0.25">
      <c r="A75" s="374">
        <v>46205</v>
      </c>
      <c r="I75">
        <v>0</v>
      </c>
      <c r="J75" t="s">
        <v>41</v>
      </c>
      <c r="K75" t="s">
        <v>41</v>
      </c>
    </row>
    <row r="76" spans="1:11" x14ac:dyDescent="0.25">
      <c r="A76" s="374">
        <v>46205</v>
      </c>
      <c r="I76">
        <v>0</v>
      </c>
      <c r="J76" t="s">
        <v>41</v>
      </c>
      <c r="K76" t="s">
        <v>41</v>
      </c>
    </row>
    <row r="77" spans="1:11" x14ac:dyDescent="0.25">
      <c r="A77" s="374">
        <v>46206</v>
      </c>
      <c r="B77" t="s">
        <v>9</v>
      </c>
      <c r="C77" t="s">
        <v>177</v>
      </c>
      <c r="D77" t="s">
        <v>178</v>
      </c>
      <c r="E77">
        <v>4.42</v>
      </c>
      <c r="F77">
        <v>16.999999999999993</v>
      </c>
      <c r="G77">
        <v>16.999999999999993</v>
      </c>
      <c r="H77">
        <v>0.67999999999999972</v>
      </c>
      <c r="I77">
        <v>0.49999999999998934</v>
      </c>
      <c r="J77">
        <v>0.99999999999997868</v>
      </c>
      <c r="K77" t="s">
        <v>41</v>
      </c>
    </row>
    <row r="78" spans="1:11" x14ac:dyDescent="0.25">
      <c r="A78" s="374">
        <v>46206</v>
      </c>
      <c r="B78" t="s">
        <v>10</v>
      </c>
      <c r="C78" t="s">
        <v>178</v>
      </c>
      <c r="D78" t="s">
        <v>179</v>
      </c>
      <c r="E78">
        <v>4.5</v>
      </c>
      <c r="F78">
        <v>8.0000000000000071</v>
      </c>
      <c r="G78">
        <v>25</v>
      </c>
      <c r="H78">
        <v>1</v>
      </c>
      <c r="I78">
        <v>0</v>
      </c>
      <c r="J78">
        <v>-3.8000000000000256</v>
      </c>
      <c r="K78" t="s">
        <v>41</v>
      </c>
    </row>
    <row r="79" spans="1:11" x14ac:dyDescent="0.25">
      <c r="A79" s="374">
        <v>46206</v>
      </c>
      <c r="B79" t="s">
        <v>12</v>
      </c>
      <c r="C79" t="s">
        <v>179</v>
      </c>
      <c r="D79" t="s">
        <v>180</v>
      </c>
      <c r="E79">
        <v>4.5575000000000001</v>
      </c>
      <c r="F79">
        <v>5.7500000000000107</v>
      </c>
      <c r="G79">
        <v>30.750000000000011</v>
      </c>
      <c r="H79">
        <v>1.2300000000000004</v>
      </c>
      <c r="I79">
        <v>0.49999999999998934</v>
      </c>
      <c r="J79">
        <v>-4.5499999999999652</v>
      </c>
      <c r="K79" t="s">
        <v>41</v>
      </c>
    </row>
    <row r="80" spans="1:11" x14ac:dyDescent="0.25">
      <c r="A80" s="374">
        <v>46206</v>
      </c>
      <c r="B80" t="s">
        <v>13</v>
      </c>
      <c r="C80" t="s">
        <v>180</v>
      </c>
      <c r="D80" t="s">
        <v>194</v>
      </c>
      <c r="E80">
        <v>4.59</v>
      </c>
      <c r="F80">
        <v>3.2499999999999751</v>
      </c>
      <c r="G80">
        <v>33.999999999999986</v>
      </c>
      <c r="H80">
        <v>1.3599999999999994</v>
      </c>
      <c r="I80">
        <v>0.49999999999998934</v>
      </c>
      <c r="J80" t="s">
        <v>41</v>
      </c>
      <c r="K80" t="s">
        <v>41</v>
      </c>
    </row>
    <row r="81" spans="1:11" x14ac:dyDescent="0.25">
      <c r="A81" s="374">
        <v>46206</v>
      </c>
      <c r="B81" t="s">
        <v>28</v>
      </c>
      <c r="C81" t="s">
        <v>194</v>
      </c>
      <c r="D81" t="s">
        <v>195</v>
      </c>
      <c r="E81">
        <v>4.5949999999999998</v>
      </c>
      <c r="F81">
        <v>0.49999999999998934</v>
      </c>
      <c r="G81">
        <v>34.499999999999972</v>
      </c>
      <c r="H81">
        <v>1.3799999999999988</v>
      </c>
      <c r="I81">
        <v>0.49999999999998934</v>
      </c>
      <c r="J81" t="s">
        <v>41</v>
      </c>
      <c r="K81" t="s">
        <v>41</v>
      </c>
    </row>
    <row r="82" spans="1:11" x14ac:dyDescent="0.25">
      <c r="A82" s="374">
        <v>46206</v>
      </c>
      <c r="B82" t="s">
        <v>15</v>
      </c>
      <c r="C82" t="s">
        <v>195</v>
      </c>
      <c r="D82" t="s">
        <v>148</v>
      </c>
      <c r="E82">
        <v>4.5674999999999999</v>
      </c>
      <c r="F82">
        <v>-2.7499999999999858</v>
      </c>
      <c r="G82">
        <v>31.749999999999989</v>
      </c>
      <c r="H82">
        <v>1.2699999999999996</v>
      </c>
      <c r="I82">
        <v>0.49999999999998934</v>
      </c>
      <c r="J82" t="s">
        <v>41</v>
      </c>
      <c r="K82" t="s">
        <v>41</v>
      </c>
    </row>
    <row r="83" spans="1:11" x14ac:dyDescent="0.25">
      <c r="A83" s="374">
        <v>46206</v>
      </c>
      <c r="I83">
        <v>0</v>
      </c>
      <c r="J83" t="s">
        <v>41</v>
      </c>
      <c r="K83" t="s">
        <v>41</v>
      </c>
    </row>
    <row r="84" spans="1:11" x14ac:dyDescent="0.25">
      <c r="A84" s="374">
        <v>46206</v>
      </c>
      <c r="I84">
        <v>0</v>
      </c>
      <c r="J84" t="s">
        <v>41</v>
      </c>
      <c r="K84" t="s">
        <v>41</v>
      </c>
    </row>
    <row r="85" spans="1:11" x14ac:dyDescent="0.25">
      <c r="A85" s="374">
        <v>46206</v>
      </c>
      <c r="I85">
        <v>0</v>
      </c>
      <c r="J85" t="s">
        <v>41</v>
      </c>
      <c r="K85" t="s">
        <v>41</v>
      </c>
    </row>
    <row r="86" spans="1:11" x14ac:dyDescent="0.25">
      <c r="A86" s="374">
        <v>46206</v>
      </c>
      <c r="I86">
        <v>0</v>
      </c>
      <c r="J86" t="s">
        <v>41</v>
      </c>
      <c r="K86" t="s">
        <v>41</v>
      </c>
    </row>
    <row r="87" spans="1:11" x14ac:dyDescent="0.25">
      <c r="A87" s="374">
        <v>46206</v>
      </c>
      <c r="I87">
        <v>0</v>
      </c>
      <c r="J87" t="s">
        <v>41</v>
      </c>
      <c r="K87" t="s">
        <v>41</v>
      </c>
    </row>
    <row r="88" spans="1:11" x14ac:dyDescent="0.25">
      <c r="A88" s="374">
        <v>46206</v>
      </c>
      <c r="I88">
        <v>0</v>
      </c>
      <c r="J88" t="s">
        <v>41</v>
      </c>
      <c r="K88" t="s">
        <v>41</v>
      </c>
    </row>
    <row r="89" spans="1:11" x14ac:dyDescent="0.25">
      <c r="A89" s="374">
        <v>46209</v>
      </c>
      <c r="B89" t="s">
        <v>9</v>
      </c>
      <c r="C89" t="s">
        <v>177</v>
      </c>
      <c r="D89" t="s">
        <v>178</v>
      </c>
      <c r="E89">
        <v>4.42</v>
      </c>
      <c r="F89">
        <v>16.999999999999993</v>
      </c>
      <c r="G89">
        <v>16.999999999999993</v>
      </c>
      <c r="H89">
        <v>0.67999999999999972</v>
      </c>
      <c r="I89">
        <v>0</v>
      </c>
      <c r="J89">
        <v>0.49999999999998934</v>
      </c>
      <c r="K89" t="s">
        <v>41</v>
      </c>
    </row>
    <row r="90" spans="1:11" x14ac:dyDescent="0.25">
      <c r="A90" s="374">
        <v>46209</v>
      </c>
      <c r="B90" t="s">
        <v>10</v>
      </c>
      <c r="C90" t="s">
        <v>178</v>
      </c>
      <c r="D90" t="s">
        <v>179</v>
      </c>
      <c r="E90">
        <v>4.49</v>
      </c>
      <c r="F90">
        <v>7.0000000000000284</v>
      </c>
      <c r="G90">
        <v>24.000000000000021</v>
      </c>
      <c r="H90">
        <v>0.96000000000000085</v>
      </c>
      <c r="I90">
        <v>-0.99999999999997868</v>
      </c>
      <c r="J90">
        <v>-0.49999999999998934</v>
      </c>
      <c r="K90" t="s">
        <v>41</v>
      </c>
    </row>
    <row r="91" spans="1:11" x14ac:dyDescent="0.25">
      <c r="A91" s="374">
        <v>46209</v>
      </c>
      <c r="B91" t="s">
        <v>12</v>
      </c>
      <c r="C91" t="s">
        <v>179</v>
      </c>
      <c r="D91" t="s">
        <v>180</v>
      </c>
      <c r="E91">
        <v>4.5425000000000004</v>
      </c>
      <c r="F91">
        <v>5.2500000000000213</v>
      </c>
      <c r="G91">
        <v>29.250000000000043</v>
      </c>
      <c r="H91">
        <v>1.1700000000000017</v>
      </c>
      <c r="I91">
        <v>-1.499999999999968</v>
      </c>
      <c r="J91">
        <v>0</v>
      </c>
      <c r="K91" t="s">
        <v>41</v>
      </c>
    </row>
    <row r="92" spans="1:11" x14ac:dyDescent="0.25">
      <c r="A92" s="374">
        <v>46209</v>
      </c>
      <c r="B92" t="s">
        <v>13</v>
      </c>
      <c r="C92" t="s">
        <v>180</v>
      </c>
      <c r="D92" t="s">
        <v>194</v>
      </c>
      <c r="E92">
        <v>4.57</v>
      </c>
      <c r="F92">
        <v>2.7499999999999858</v>
      </c>
      <c r="G92">
        <v>32.000000000000028</v>
      </c>
      <c r="H92">
        <v>1.2800000000000011</v>
      </c>
      <c r="I92">
        <v>-1.9999999999999574</v>
      </c>
      <c r="J92">
        <v>1.0000000000000675</v>
      </c>
      <c r="K92" t="s">
        <v>41</v>
      </c>
    </row>
    <row r="93" spans="1:11" x14ac:dyDescent="0.25">
      <c r="A93" s="374">
        <v>46209</v>
      </c>
      <c r="B93" t="s">
        <v>28</v>
      </c>
      <c r="C93" t="s">
        <v>194</v>
      </c>
      <c r="D93" t="s">
        <v>195</v>
      </c>
      <c r="E93">
        <v>4.5750000000000002</v>
      </c>
      <c r="F93">
        <v>0.49999999999998934</v>
      </c>
      <c r="G93">
        <v>32.500000000000014</v>
      </c>
      <c r="H93">
        <v>1.3000000000000005</v>
      </c>
      <c r="I93">
        <v>-1.9999999999999574</v>
      </c>
      <c r="J93">
        <v>1.5000000000000568</v>
      </c>
      <c r="K93" t="s">
        <v>41</v>
      </c>
    </row>
    <row r="94" spans="1:11" x14ac:dyDescent="0.25">
      <c r="A94" s="374">
        <v>46209</v>
      </c>
      <c r="B94" t="s">
        <v>15</v>
      </c>
      <c r="C94" t="s">
        <v>195</v>
      </c>
      <c r="D94" t="s">
        <v>148</v>
      </c>
      <c r="E94">
        <v>4.5475000000000003</v>
      </c>
      <c r="F94">
        <v>-2.7499999999999858</v>
      </c>
      <c r="G94">
        <v>29.750000000000032</v>
      </c>
      <c r="H94">
        <v>1.1900000000000013</v>
      </c>
      <c r="I94">
        <v>-1.9999999999999574</v>
      </c>
      <c r="J94">
        <v>2.0000000000000462</v>
      </c>
      <c r="K94" t="s">
        <v>41</v>
      </c>
    </row>
    <row r="95" spans="1:11" x14ac:dyDescent="0.25">
      <c r="A95" s="374">
        <v>46209</v>
      </c>
      <c r="I95">
        <v>0</v>
      </c>
      <c r="J95">
        <v>0</v>
      </c>
      <c r="K95" t="s">
        <v>41</v>
      </c>
    </row>
    <row r="96" spans="1:11" x14ac:dyDescent="0.25">
      <c r="A96" s="374">
        <v>46209</v>
      </c>
      <c r="I96">
        <v>0</v>
      </c>
      <c r="J96">
        <v>0</v>
      </c>
      <c r="K96" t="s">
        <v>41</v>
      </c>
    </row>
    <row r="97" spans="1:11" x14ac:dyDescent="0.25">
      <c r="A97" s="374">
        <v>46209</v>
      </c>
      <c r="I97">
        <v>0</v>
      </c>
      <c r="J97">
        <v>0</v>
      </c>
      <c r="K97" t="s">
        <v>41</v>
      </c>
    </row>
    <row r="98" spans="1:11" x14ac:dyDescent="0.25">
      <c r="A98" s="374">
        <v>46209</v>
      </c>
      <c r="I98">
        <v>0</v>
      </c>
      <c r="J98">
        <v>0</v>
      </c>
      <c r="K98" t="s">
        <v>41</v>
      </c>
    </row>
    <row r="99" spans="1:11" x14ac:dyDescent="0.25">
      <c r="A99" s="374">
        <v>46209</v>
      </c>
      <c r="I99">
        <v>0</v>
      </c>
      <c r="J99">
        <v>0</v>
      </c>
      <c r="K99" t="s">
        <v>41</v>
      </c>
    </row>
    <row r="100" spans="1:11" x14ac:dyDescent="0.25">
      <c r="A100" s="374">
        <v>46209</v>
      </c>
      <c r="I100">
        <v>0</v>
      </c>
      <c r="J100">
        <v>0</v>
      </c>
      <c r="K100" t="s">
        <v>41</v>
      </c>
    </row>
    <row r="101" spans="1:11" x14ac:dyDescent="0.25">
      <c r="A101" s="374">
        <v>46210</v>
      </c>
      <c r="B101" t="s">
        <v>9</v>
      </c>
      <c r="C101" t="s">
        <v>177</v>
      </c>
      <c r="D101" t="s">
        <v>178</v>
      </c>
      <c r="E101">
        <v>4.4249999999999998</v>
      </c>
      <c r="F101">
        <v>17.499999999999982</v>
      </c>
      <c r="G101">
        <v>17.499999999999982</v>
      </c>
      <c r="H101">
        <v>0.69999999999999929</v>
      </c>
      <c r="I101">
        <v>0.49999999999998934</v>
      </c>
      <c r="J101">
        <v>1.499999999999968</v>
      </c>
      <c r="K101" t="s">
        <v>41</v>
      </c>
    </row>
    <row r="102" spans="1:11" x14ac:dyDescent="0.25">
      <c r="A102" s="374">
        <v>46210</v>
      </c>
      <c r="B102" t="s">
        <v>10</v>
      </c>
      <c r="C102" t="s">
        <v>178</v>
      </c>
      <c r="D102" t="s">
        <v>179</v>
      </c>
      <c r="E102">
        <v>4.5049999999999999</v>
      </c>
      <c r="F102">
        <v>8.0000000000000071</v>
      </c>
      <c r="G102">
        <v>25.499999999999989</v>
      </c>
      <c r="H102">
        <v>1.0199999999999996</v>
      </c>
      <c r="I102">
        <v>1.499999999999968</v>
      </c>
      <c r="J102">
        <v>0.99999999999997868</v>
      </c>
      <c r="K102" t="s">
        <v>41</v>
      </c>
    </row>
    <row r="103" spans="1:11" x14ac:dyDescent="0.25">
      <c r="A103" s="374">
        <v>46210</v>
      </c>
      <c r="B103" t="s">
        <v>12</v>
      </c>
      <c r="C103" t="s">
        <v>179</v>
      </c>
      <c r="D103" t="s">
        <v>180</v>
      </c>
      <c r="E103">
        <v>4.5575000000000001</v>
      </c>
      <c r="F103">
        <v>5.2500000000000213</v>
      </c>
      <c r="G103">
        <v>30.750000000000011</v>
      </c>
      <c r="H103">
        <v>1.2300000000000004</v>
      </c>
      <c r="I103">
        <v>1.499999999999968</v>
      </c>
      <c r="J103">
        <v>0.99999999999997868</v>
      </c>
      <c r="K103" t="s">
        <v>41</v>
      </c>
    </row>
    <row r="104" spans="1:11" x14ac:dyDescent="0.25">
      <c r="A104" s="374">
        <v>46210</v>
      </c>
      <c r="B104" t="s">
        <v>13</v>
      </c>
      <c r="C104" t="s">
        <v>180</v>
      </c>
      <c r="D104" t="s">
        <v>194</v>
      </c>
      <c r="E104">
        <v>4.59</v>
      </c>
      <c r="F104">
        <v>3.2499999999999751</v>
      </c>
      <c r="G104">
        <v>33.999999999999986</v>
      </c>
      <c r="H104">
        <v>1.3599999999999994</v>
      </c>
      <c r="I104">
        <v>1.9999999999999574</v>
      </c>
      <c r="J104">
        <v>0.99999999999997868</v>
      </c>
      <c r="K104" t="s">
        <v>41</v>
      </c>
    </row>
    <row r="105" spans="1:11" x14ac:dyDescent="0.25">
      <c r="A105" s="374">
        <v>46210</v>
      </c>
      <c r="B105" t="s">
        <v>28</v>
      </c>
      <c r="C105" t="s">
        <v>194</v>
      </c>
      <c r="D105" t="s">
        <v>195</v>
      </c>
      <c r="E105">
        <v>4.5949999999999998</v>
      </c>
      <c r="F105">
        <v>0.49999999999998934</v>
      </c>
      <c r="G105">
        <v>34.499999999999972</v>
      </c>
      <c r="H105">
        <v>1.3799999999999988</v>
      </c>
      <c r="I105">
        <v>1.9999999999999574</v>
      </c>
      <c r="J105">
        <v>0.99999999999997868</v>
      </c>
      <c r="K105" t="s">
        <v>41</v>
      </c>
    </row>
    <row r="106" spans="1:11" x14ac:dyDescent="0.25">
      <c r="A106" s="374">
        <v>46210</v>
      </c>
      <c r="B106" t="s">
        <v>15</v>
      </c>
      <c r="C106" t="s">
        <v>195</v>
      </c>
      <c r="D106" t="s">
        <v>148</v>
      </c>
      <c r="E106">
        <v>4.5824999999999996</v>
      </c>
      <c r="F106">
        <v>-1.2500000000000178</v>
      </c>
      <c r="G106">
        <v>33.249999999999957</v>
      </c>
      <c r="H106">
        <v>1.3299999999999983</v>
      </c>
      <c r="I106">
        <v>3.4999999999999254</v>
      </c>
      <c r="J106">
        <v>2.4999999999999467</v>
      </c>
      <c r="K106" t="s">
        <v>41</v>
      </c>
    </row>
    <row r="107" spans="1:11" x14ac:dyDescent="0.25">
      <c r="A107" s="374">
        <v>46210</v>
      </c>
      <c r="I107">
        <v>0</v>
      </c>
      <c r="J107">
        <v>0</v>
      </c>
      <c r="K107" t="s">
        <v>41</v>
      </c>
    </row>
    <row r="108" spans="1:11" x14ac:dyDescent="0.25">
      <c r="A108" s="374">
        <v>46210</v>
      </c>
      <c r="I108">
        <v>0</v>
      </c>
      <c r="J108">
        <v>0</v>
      </c>
      <c r="K108" t="s">
        <v>41</v>
      </c>
    </row>
    <row r="109" spans="1:11" x14ac:dyDescent="0.25">
      <c r="A109" s="374">
        <v>46210</v>
      </c>
      <c r="I109">
        <v>0</v>
      </c>
      <c r="J109">
        <v>0</v>
      </c>
      <c r="K109" t="s">
        <v>41</v>
      </c>
    </row>
    <row r="110" spans="1:11" x14ac:dyDescent="0.25">
      <c r="A110" s="374">
        <v>46210</v>
      </c>
      <c r="I110">
        <v>0</v>
      </c>
      <c r="J110">
        <v>0</v>
      </c>
      <c r="K110" t="s">
        <v>41</v>
      </c>
    </row>
    <row r="111" spans="1:11" x14ac:dyDescent="0.25">
      <c r="A111" s="374">
        <v>46210</v>
      </c>
      <c r="I111">
        <v>0</v>
      </c>
      <c r="J111">
        <v>0</v>
      </c>
      <c r="K111" t="s">
        <v>41</v>
      </c>
    </row>
    <row r="112" spans="1:11" x14ac:dyDescent="0.25">
      <c r="A112" s="374">
        <v>46210</v>
      </c>
      <c r="I112">
        <v>0</v>
      </c>
      <c r="J112">
        <v>0</v>
      </c>
      <c r="K112" t="s">
        <v>41</v>
      </c>
    </row>
    <row r="113" spans="1:11" x14ac:dyDescent="0.25">
      <c r="A113" s="374">
        <v>46211</v>
      </c>
      <c r="B113" t="s">
        <v>9</v>
      </c>
      <c r="C113" t="s">
        <v>177</v>
      </c>
      <c r="D113" t="s">
        <v>178</v>
      </c>
      <c r="E113">
        <v>4.43</v>
      </c>
      <c r="F113">
        <v>17.999999999999972</v>
      </c>
      <c r="G113">
        <v>17.999999999999972</v>
      </c>
      <c r="H113">
        <v>0.71999999999999886</v>
      </c>
      <c r="I113">
        <v>0.49999999999998934</v>
      </c>
      <c r="J113">
        <v>0.99999999999997868</v>
      </c>
      <c r="K113" t="s">
        <v>41</v>
      </c>
    </row>
    <row r="114" spans="1:11" x14ac:dyDescent="0.25">
      <c r="A114" s="374">
        <v>46211</v>
      </c>
      <c r="B114" t="s">
        <v>10</v>
      </c>
      <c r="C114" t="s">
        <v>178</v>
      </c>
      <c r="D114" t="s">
        <v>179</v>
      </c>
      <c r="E114">
        <v>4.5425000000000004</v>
      </c>
      <c r="F114">
        <v>11.250000000000071</v>
      </c>
      <c r="G114">
        <v>29.250000000000043</v>
      </c>
      <c r="H114">
        <v>1.1700000000000017</v>
      </c>
      <c r="I114">
        <v>3.7500000000000533</v>
      </c>
      <c r="J114">
        <v>4.2500000000000426</v>
      </c>
      <c r="K114" t="s">
        <v>41</v>
      </c>
    </row>
    <row r="115" spans="1:11" x14ac:dyDescent="0.25">
      <c r="A115" s="374">
        <v>46211</v>
      </c>
      <c r="B115" t="s">
        <v>12</v>
      </c>
      <c r="C115" t="s">
        <v>179</v>
      </c>
      <c r="D115" t="s">
        <v>180</v>
      </c>
      <c r="E115">
        <v>4.5975000000000001</v>
      </c>
      <c r="F115">
        <v>5.4999999999999716</v>
      </c>
      <c r="G115">
        <v>34.750000000000014</v>
      </c>
      <c r="H115">
        <v>1.3900000000000006</v>
      </c>
      <c r="I115">
        <v>4.0000000000000036</v>
      </c>
      <c r="J115">
        <v>4.0000000000000036</v>
      </c>
      <c r="K115" t="s">
        <v>41</v>
      </c>
    </row>
    <row r="116" spans="1:11" x14ac:dyDescent="0.25">
      <c r="A116" s="374">
        <v>46211</v>
      </c>
      <c r="B116" t="s">
        <v>13</v>
      </c>
      <c r="C116" t="s">
        <v>180</v>
      </c>
      <c r="D116" t="s">
        <v>194</v>
      </c>
      <c r="E116">
        <v>4.63</v>
      </c>
      <c r="F116">
        <v>3.2499999999999751</v>
      </c>
      <c r="G116">
        <v>37.999999999999986</v>
      </c>
      <c r="H116">
        <v>1.5199999999999994</v>
      </c>
      <c r="I116">
        <v>4.0000000000000036</v>
      </c>
      <c r="J116">
        <v>4.0000000000000036</v>
      </c>
      <c r="K116" t="s">
        <v>41</v>
      </c>
    </row>
    <row r="117" spans="1:11" x14ac:dyDescent="0.25">
      <c r="A117" s="374">
        <v>46211</v>
      </c>
      <c r="B117" t="s">
        <v>28</v>
      </c>
      <c r="C117" t="s">
        <v>194</v>
      </c>
      <c r="D117" t="s">
        <v>195</v>
      </c>
      <c r="E117">
        <v>4.6500000000000004</v>
      </c>
      <c r="F117">
        <v>2.0000000000000462</v>
      </c>
      <c r="G117">
        <v>40.000000000000036</v>
      </c>
      <c r="H117">
        <v>1.6000000000000014</v>
      </c>
      <c r="I117">
        <v>5.5000000000000604</v>
      </c>
      <c r="J117">
        <v>5.5000000000000604</v>
      </c>
      <c r="K117" t="s">
        <v>41</v>
      </c>
    </row>
    <row r="118" spans="1:11" x14ac:dyDescent="0.25">
      <c r="A118" s="374">
        <v>46211</v>
      </c>
      <c r="B118" t="s">
        <v>15</v>
      </c>
      <c r="C118" t="s">
        <v>195</v>
      </c>
      <c r="D118" t="s">
        <v>148</v>
      </c>
      <c r="E118">
        <v>4.6475</v>
      </c>
      <c r="F118">
        <v>-0.25000000000003908</v>
      </c>
      <c r="G118">
        <v>39.75</v>
      </c>
      <c r="H118">
        <v>1.59</v>
      </c>
      <c r="I118">
        <v>6.5000000000000391</v>
      </c>
      <c r="J118">
        <v>8.0000000000000071</v>
      </c>
      <c r="K118" t="s">
        <v>41</v>
      </c>
    </row>
    <row r="119" spans="1:11" x14ac:dyDescent="0.25">
      <c r="A119" s="374">
        <v>46211</v>
      </c>
      <c r="I119">
        <v>0</v>
      </c>
      <c r="J119">
        <v>0</v>
      </c>
      <c r="K119" t="s">
        <v>41</v>
      </c>
    </row>
    <row r="120" spans="1:11" x14ac:dyDescent="0.25">
      <c r="A120" s="374">
        <v>46211</v>
      </c>
      <c r="I120">
        <v>0</v>
      </c>
      <c r="J120">
        <v>0</v>
      </c>
      <c r="K120" t="s">
        <v>41</v>
      </c>
    </row>
    <row r="121" spans="1:11" x14ac:dyDescent="0.25">
      <c r="A121" s="374">
        <v>46211</v>
      </c>
      <c r="I121">
        <v>0</v>
      </c>
      <c r="J121">
        <v>0</v>
      </c>
      <c r="K121" t="s">
        <v>41</v>
      </c>
    </row>
    <row r="122" spans="1:11" x14ac:dyDescent="0.25">
      <c r="A122" s="374">
        <v>46211</v>
      </c>
      <c r="I122">
        <v>0</v>
      </c>
      <c r="J122">
        <v>0</v>
      </c>
      <c r="K122" t="s">
        <v>41</v>
      </c>
    </row>
    <row r="123" spans="1:11" x14ac:dyDescent="0.25">
      <c r="A123" s="374">
        <v>46211</v>
      </c>
      <c r="I123">
        <v>0</v>
      </c>
      <c r="J123">
        <v>0</v>
      </c>
      <c r="K123" t="s">
        <v>41</v>
      </c>
    </row>
    <row r="124" spans="1:11" x14ac:dyDescent="0.25">
      <c r="A124" s="374">
        <v>46211</v>
      </c>
      <c r="I124">
        <v>0</v>
      </c>
      <c r="J124">
        <v>0</v>
      </c>
      <c r="K124" t="s">
        <v>41</v>
      </c>
    </row>
    <row r="125" spans="1:11" x14ac:dyDescent="0.25">
      <c r="A125" s="374">
        <v>46212</v>
      </c>
      <c r="B125" t="s">
        <v>9</v>
      </c>
      <c r="C125" t="s">
        <v>177</v>
      </c>
      <c r="D125" t="s">
        <v>178</v>
      </c>
      <c r="E125">
        <v>4.5475000000000003</v>
      </c>
    </row>
    <row r="126" spans="1:11" x14ac:dyDescent="0.25">
      <c r="A126" s="374">
        <v>46212</v>
      </c>
      <c r="B126" t="s">
        <v>10</v>
      </c>
      <c r="C126" t="s">
        <v>178</v>
      </c>
      <c r="D126" t="s">
        <v>179</v>
      </c>
      <c r="E126">
        <v>4.5975000000000001</v>
      </c>
    </row>
    <row r="127" spans="1:11" x14ac:dyDescent="0.25">
      <c r="A127" s="374">
        <v>46212</v>
      </c>
      <c r="B127" t="s">
        <v>12</v>
      </c>
      <c r="C127" t="s">
        <v>179</v>
      </c>
      <c r="D127" t="s">
        <v>180</v>
      </c>
      <c r="E127">
        <v>4.625</v>
      </c>
    </row>
    <row r="128" spans="1:11" x14ac:dyDescent="0.25">
      <c r="A128" s="374">
        <v>46212</v>
      </c>
      <c r="B128" t="s">
        <v>13</v>
      </c>
      <c r="C128" t="s">
        <v>180</v>
      </c>
      <c r="D128" t="s">
        <v>194</v>
      </c>
      <c r="E128">
        <v>4.6449999999999996</v>
      </c>
    </row>
    <row r="129" spans="1:11" x14ac:dyDescent="0.25">
      <c r="A129" s="374">
        <v>46212</v>
      </c>
      <c r="B129" t="s">
        <v>28</v>
      </c>
      <c r="C129" t="s">
        <v>194</v>
      </c>
      <c r="D129" t="s">
        <v>195</v>
      </c>
      <c r="E129">
        <v>4.6550000000000002</v>
      </c>
    </row>
    <row r="130" spans="1:11" x14ac:dyDescent="0.25">
      <c r="A130" s="374">
        <v>46213</v>
      </c>
      <c r="B130" t="s">
        <v>9</v>
      </c>
      <c r="C130" t="s">
        <v>177</v>
      </c>
      <c r="D130" t="s">
        <v>178</v>
      </c>
      <c r="E130">
        <v>4.38</v>
      </c>
      <c r="F130">
        <v>12.999999999999989</v>
      </c>
      <c r="G130">
        <v>12.999999999999989</v>
      </c>
      <c r="H130">
        <v>0.51999999999999957</v>
      </c>
      <c r="I130">
        <v>-16.750000000000043</v>
      </c>
      <c r="J130">
        <v>-4.0000000000000036</v>
      </c>
      <c r="K130" t="s">
        <v>41</v>
      </c>
    </row>
    <row r="131" spans="1:11" x14ac:dyDescent="0.25">
      <c r="A131" s="374">
        <v>46213</v>
      </c>
      <c r="B131" t="s">
        <v>10</v>
      </c>
      <c r="C131" t="s">
        <v>178</v>
      </c>
      <c r="D131" t="s">
        <v>179</v>
      </c>
      <c r="E131">
        <v>4.4749999999999996</v>
      </c>
      <c r="F131">
        <v>9.4999999999999751</v>
      </c>
      <c r="G131">
        <v>22.499999999999964</v>
      </c>
      <c r="H131">
        <v>0.89999999999999858</v>
      </c>
      <c r="I131">
        <v>-12.25000000000005</v>
      </c>
      <c r="J131">
        <v>-2.5000000000000355</v>
      </c>
      <c r="K131" t="s">
        <v>41</v>
      </c>
    </row>
    <row r="132" spans="1:11" x14ac:dyDescent="0.25">
      <c r="A132" s="374">
        <v>46213</v>
      </c>
      <c r="B132" t="s">
        <v>12</v>
      </c>
      <c r="C132" t="s">
        <v>179</v>
      </c>
      <c r="D132" t="s">
        <v>180</v>
      </c>
      <c r="E132">
        <v>4.51</v>
      </c>
      <c r="F132">
        <v>3.5000000000000142</v>
      </c>
      <c r="G132">
        <v>25.999999999999979</v>
      </c>
      <c r="H132">
        <v>1.0399999999999991</v>
      </c>
      <c r="I132">
        <v>-11.500000000000021</v>
      </c>
      <c r="J132">
        <v>-4.750000000000032</v>
      </c>
      <c r="K132" t="s">
        <v>41</v>
      </c>
    </row>
    <row r="133" spans="1:11" x14ac:dyDescent="0.25">
      <c r="A133" s="374">
        <v>46213</v>
      </c>
      <c r="B133" t="s">
        <v>13</v>
      </c>
      <c r="C133" t="s">
        <v>180</v>
      </c>
      <c r="D133" t="s">
        <v>194</v>
      </c>
      <c r="E133">
        <v>4.53</v>
      </c>
      <c r="F133">
        <v>2.0000000000000462</v>
      </c>
      <c r="G133">
        <v>28.000000000000025</v>
      </c>
      <c r="H133">
        <v>1.120000000000001</v>
      </c>
      <c r="I133">
        <v>-11.499999999999932</v>
      </c>
      <c r="J133">
        <v>-5.9999999999999609</v>
      </c>
      <c r="K133" t="s">
        <v>41</v>
      </c>
    </row>
    <row r="134" spans="1:11" x14ac:dyDescent="0.25">
      <c r="A134" s="374">
        <v>46213</v>
      </c>
      <c r="B134" t="s">
        <v>28</v>
      </c>
      <c r="C134" t="s">
        <v>194</v>
      </c>
      <c r="D134" t="s">
        <v>195</v>
      </c>
      <c r="E134">
        <v>4.5350000000000001</v>
      </c>
      <c r="F134">
        <v>0.49999999999998934</v>
      </c>
      <c r="G134">
        <v>28.500000000000014</v>
      </c>
      <c r="H134">
        <v>1.1400000000000006</v>
      </c>
      <c r="I134">
        <v>-12.000000000000011</v>
      </c>
      <c r="J134">
        <v>-5.9999999999999609</v>
      </c>
      <c r="K134" t="s">
        <v>41</v>
      </c>
    </row>
    <row r="135" spans="1:11" x14ac:dyDescent="0.25">
      <c r="A135" s="374">
        <v>46213</v>
      </c>
      <c r="B135" t="s">
        <v>15</v>
      </c>
      <c r="C135" t="s">
        <v>195</v>
      </c>
      <c r="D135" t="s">
        <v>148</v>
      </c>
      <c r="E135">
        <v>4.5225</v>
      </c>
      <c r="F135">
        <v>-1.2500000000000178</v>
      </c>
      <c r="G135">
        <v>27.249999999999996</v>
      </c>
      <c r="H135">
        <v>1.0899999999999999</v>
      </c>
      <c r="I135">
        <v>452.25</v>
      </c>
      <c r="J135">
        <v>-4.4999999999999929</v>
      </c>
      <c r="K135" t="s">
        <v>41</v>
      </c>
    </row>
    <row r="136" spans="1:11" x14ac:dyDescent="0.25">
      <c r="A136" s="374">
        <v>46213</v>
      </c>
      <c r="I136" t="s">
        <v>41</v>
      </c>
      <c r="J136">
        <v>0</v>
      </c>
      <c r="K136" t="s">
        <v>41</v>
      </c>
    </row>
    <row r="137" spans="1:11" x14ac:dyDescent="0.25">
      <c r="A137" s="374">
        <v>46213</v>
      </c>
      <c r="I137" t="s">
        <v>41</v>
      </c>
      <c r="J137">
        <v>0</v>
      </c>
      <c r="K137" t="s">
        <v>41</v>
      </c>
    </row>
    <row r="138" spans="1:11" x14ac:dyDescent="0.25">
      <c r="A138" s="374">
        <v>46213</v>
      </c>
      <c r="I138" t="s">
        <v>41</v>
      </c>
      <c r="J138">
        <v>0</v>
      </c>
      <c r="K138" t="s">
        <v>41</v>
      </c>
    </row>
    <row r="139" spans="1:11" x14ac:dyDescent="0.25">
      <c r="A139" s="374">
        <v>46213</v>
      </c>
      <c r="I139" t="s">
        <v>41</v>
      </c>
      <c r="J139">
        <v>0</v>
      </c>
      <c r="K139" t="s">
        <v>41</v>
      </c>
    </row>
    <row r="140" spans="1:11" x14ac:dyDescent="0.25">
      <c r="A140" s="374">
        <v>46213</v>
      </c>
      <c r="I140" t="s">
        <v>41</v>
      </c>
      <c r="J140">
        <v>0</v>
      </c>
      <c r="K140" t="s">
        <v>41</v>
      </c>
    </row>
    <row r="141" spans="1:11" x14ac:dyDescent="0.25">
      <c r="A141" s="374">
        <v>46213</v>
      </c>
      <c r="I141" t="s">
        <v>41</v>
      </c>
      <c r="J141">
        <v>0</v>
      </c>
      <c r="K141" t="s">
        <v>41</v>
      </c>
    </row>
    <row r="142" spans="1:11" x14ac:dyDescent="0.25">
      <c r="A142" s="374">
        <v>46213</v>
      </c>
      <c r="B142" t="s">
        <v>9</v>
      </c>
      <c r="C142" t="s">
        <v>177</v>
      </c>
      <c r="D142" t="s">
        <v>178</v>
      </c>
      <c r="E142">
        <v>4.38</v>
      </c>
      <c r="F142">
        <v>12.999999999999989</v>
      </c>
      <c r="G142">
        <v>12.999999999999989</v>
      </c>
      <c r="H142">
        <v>0.51999999999999957</v>
      </c>
      <c r="I142">
        <v>-16.750000000000043</v>
      </c>
      <c r="J142">
        <v>-4.0000000000000036</v>
      </c>
      <c r="K142" t="s">
        <v>41</v>
      </c>
    </row>
    <row r="143" spans="1:11" x14ac:dyDescent="0.25">
      <c r="A143" s="374">
        <v>46213</v>
      </c>
      <c r="B143" t="s">
        <v>10</v>
      </c>
      <c r="C143" t="s">
        <v>178</v>
      </c>
      <c r="D143" t="s">
        <v>179</v>
      </c>
      <c r="E143">
        <v>4.4749999999999996</v>
      </c>
      <c r="F143">
        <v>9.4999999999999751</v>
      </c>
      <c r="G143">
        <v>22.499999999999964</v>
      </c>
      <c r="H143">
        <v>0.89999999999999858</v>
      </c>
      <c r="I143">
        <v>-12.25000000000005</v>
      </c>
      <c r="J143">
        <v>-2.5000000000000355</v>
      </c>
      <c r="K143" t="s">
        <v>41</v>
      </c>
    </row>
    <row r="144" spans="1:11" x14ac:dyDescent="0.25">
      <c r="A144" s="374">
        <v>46213</v>
      </c>
      <c r="B144" t="s">
        <v>12</v>
      </c>
      <c r="C144" t="s">
        <v>179</v>
      </c>
      <c r="D144" t="s">
        <v>180</v>
      </c>
      <c r="E144">
        <v>4.51</v>
      </c>
      <c r="F144">
        <v>3.5000000000000142</v>
      </c>
      <c r="G144">
        <v>25.999999999999979</v>
      </c>
      <c r="H144">
        <v>1.0399999999999991</v>
      </c>
      <c r="I144">
        <v>-11.500000000000021</v>
      </c>
      <c r="J144">
        <v>-4.750000000000032</v>
      </c>
      <c r="K144" t="s">
        <v>41</v>
      </c>
    </row>
    <row r="145" spans="1:11" x14ac:dyDescent="0.25">
      <c r="A145" s="374">
        <v>46213</v>
      </c>
      <c r="B145" t="s">
        <v>13</v>
      </c>
      <c r="C145" t="s">
        <v>180</v>
      </c>
      <c r="D145" t="s">
        <v>194</v>
      </c>
      <c r="E145">
        <v>4.53</v>
      </c>
      <c r="F145">
        <v>2.0000000000000462</v>
      </c>
      <c r="G145">
        <v>28.000000000000025</v>
      </c>
      <c r="H145">
        <v>1.120000000000001</v>
      </c>
      <c r="I145">
        <v>-11.499999999999932</v>
      </c>
      <c r="J145">
        <v>-5.9999999999999609</v>
      </c>
      <c r="K145" t="s">
        <v>41</v>
      </c>
    </row>
    <row r="146" spans="1:11" x14ac:dyDescent="0.25">
      <c r="A146" s="374">
        <v>46213</v>
      </c>
      <c r="B146" t="s">
        <v>28</v>
      </c>
      <c r="C146" t="s">
        <v>194</v>
      </c>
      <c r="D146" t="s">
        <v>195</v>
      </c>
      <c r="E146">
        <v>4.5350000000000001</v>
      </c>
      <c r="F146">
        <v>0.49999999999998934</v>
      </c>
      <c r="G146">
        <v>28.500000000000014</v>
      </c>
      <c r="H146">
        <v>1.1400000000000006</v>
      </c>
      <c r="I146">
        <v>-12.000000000000011</v>
      </c>
      <c r="J146">
        <v>-5.9999999999999609</v>
      </c>
      <c r="K146" t="s">
        <v>41</v>
      </c>
    </row>
    <row r="147" spans="1:11" x14ac:dyDescent="0.25">
      <c r="A147" s="374">
        <v>46213</v>
      </c>
      <c r="B147" t="s">
        <v>15</v>
      </c>
      <c r="C147" t="s">
        <v>195</v>
      </c>
      <c r="D147" t="s">
        <v>148</v>
      </c>
      <c r="E147">
        <v>4.5225</v>
      </c>
      <c r="F147">
        <v>-1.2500000000000178</v>
      </c>
      <c r="G147">
        <v>27.249999999999996</v>
      </c>
      <c r="H147">
        <v>1.0899999999999999</v>
      </c>
      <c r="I147" t="s">
        <v>41</v>
      </c>
      <c r="J147">
        <v>-4.4999999999999929</v>
      </c>
      <c r="K147" t="s">
        <v>41</v>
      </c>
    </row>
    <row r="148" spans="1:11" x14ac:dyDescent="0.25">
      <c r="A148" s="374">
        <v>46213</v>
      </c>
      <c r="I148" t="s">
        <v>41</v>
      </c>
      <c r="J148">
        <v>0</v>
      </c>
      <c r="K148" t="s">
        <v>41</v>
      </c>
    </row>
    <row r="149" spans="1:11" x14ac:dyDescent="0.25">
      <c r="A149" s="374">
        <v>46213</v>
      </c>
      <c r="I149" t="s">
        <v>41</v>
      </c>
      <c r="J149">
        <v>0</v>
      </c>
      <c r="K149" t="s">
        <v>41</v>
      </c>
    </row>
    <row r="150" spans="1:11" x14ac:dyDescent="0.25">
      <c r="A150" s="374">
        <v>46213</v>
      </c>
      <c r="I150" t="s">
        <v>41</v>
      </c>
      <c r="J150">
        <v>0</v>
      </c>
      <c r="K150" t="s">
        <v>41</v>
      </c>
    </row>
    <row r="151" spans="1:11" x14ac:dyDescent="0.25">
      <c r="A151" s="374">
        <v>46213</v>
      </c>
      <c r="I151" t="s">
        <v>41</v>
      </c>
      <c r="J151">
        <v>0</v>
      </c>
      <c r="K151" t="s">
        <v>41</v>
      </c>
    </row>
    <row r="152" spans="1:11" x14ac:dyDescent="0.25">
      <c r="A152" s="374">
        <v>46213</v>
      </c>
      <c r="I152" t="s">
        <v>41</v>
      </c>
      <c r="J152">
        <v>0</v>
      </c>
      <c r="K152" t="s">
        <v>41</v>
      </c>
    </row>
    <row r="153" spans="1:11" x14ac:dyDescent="0.25">
      <c r="A153" s="374">
        <v>46213</v>
      </c>
      <c r="I153" t="s">
        <v>41</v>
      </c>
      <c r="J153">
        <v>0</v>
      </c>
      <c r="K153" t="s">
        <v>41</v>
      </c>
    </row>
    <row r="154" spans="1:11" x14ac:dyDescent="0.25">
      <c r="A154" s="374">
        <v>46216</v>
      </c>
      <c r="B154" t="s">
        <v>9</v>
      </c>
      <c r="C154" t="s">
        <v>177</v>
      </c>
      <c r="D154" t="s">
        <v>178</v>
      </c>
      <c r="E154">
        <v>4.3849999999999998</v>
      </c>
      <c r="F154">
        <v>13.499999999999979</v>
      </c>
      <c r="G154">
        <v>13.499999999999979</v>
      </c>
      <c r="H154">
        <v>0.53999999999999915</v>
      </c>
      <c r="I154">
        <v>0.49999999999998934</v>
      </c>
      <c r="J154">
        <v>-3.5000000000000142</v>
      </c>
      <c r="K154" t="s">
        <v>41</v>
      </c>
    </row>
    <row r="155" spans="1:11" x14ac:dyDescent="0.25">
      <c r="A155" s="374">
        <v>46216</v>
      </c>
      <c r="B155" t="s">
        <v>10</v>
      </c>
      <c r="C155" t="s">
        <v>178</v>
      </c>
      <c r="D155" t="s">
        <v>179</v>
      </c>
      <c r="E155">
        <v>4.4800000000000004</v>
      </c>
      <c r="F155">
        <v>9.5000000000000639</v>
      </c>
      <c r="G155">
        <v>23.000000000000043</v>
      </c>
      <c r="H155">
        <v>0.92000000000000171</v>
      </c>
      <c r="I155">
        <v>0.50000000000007816</v>
      </c>
      <c r="J155">
        <v>-0.99999999999997868</v>
      </c>
      <c r="K155" t="s">
        <v>41</v>
      </c>
    </row>
    <row r="156" spans="1:11" x14ac:dyDescent="0.25">
      <c r="A156" s="374">
        <v>46216</v>
      </c>
      <c r="B156" t="s">
        <v>12</v>
      </c>
      <c r="C156" t="s">
        <v>179</v>
      </c>
      <c r="D156" t="s">
        <v>180</v>
      </c>
      <c r="E156">
        <v>4.5199999999999996</v>
      </c>
      <c r="F156">
        <v>3.9999999999999147</v>
      </c>
      <c r="G156">
        <v>26.999999999999957</v>
      </c>
      <c r="H156">
        <v>1.0799999999999983</v>
      </c>
      <c r="I156">
        <v>0.99999999999997868</v>
      </c>
      <c r="J156">
        <v>-2.2500000000000853</v>
      </c>
      <c r="K156" t="s">
        <v>41</v>
      </c>
    </row>
    <row r="157" spans="1:11" x14ac:dyDescent="0.25">
      <c r="A157" s="374">
        <v>46216</v>
      </c>
      <c r="B157" t="s">
        <v>13</v>
      </c>
      <c r="C157" t="s">
        <v>180</v>
      </c>
      <c r="D157" t="s">
        <v>194</v>
      </c>
      <c r="E157">
        <v>4.55</v>
      </c>
      <c r="F157">
        <v>3.0000000000000249</v>
      </c>
      <c r="G157">
        <v>29.999999999999982</v>
      </c>
      <c r="H157">
        <v>1.1999999999999993</v>
      </c>
      <c r="I157">
        <v>1.9999999999999574</v>
      </c>
      <c r="J157">
        <v>-2.0000000000000462</v>
      </c>
      <c r="K157" t="s">
        <v>41</v>
      </c>
    </row>
    <row r="158" spans="1:11" x14ac:dyDescent="0.25">
      <c r="A158" s="374">
        <v>46216</v>
      </c>
      <c r="B158" t="s">
        <v>28</v>
      </c>
      <c r="C158" t="s">
        <v>194</v>
      </c>
      <c r="D158" t="s">
        <v>195</v>
      </c>
      <c r="E158">
        <v>4.5549999999999997</v>
      </c>
      <c r="F158">
        <v>0.49999999999998934</v>
      </c>
      <c r="G158">
        <v>30.499999999999972</v>
      </c>
      <c r="H158">
        <v>1.2199999999999989</v>
      </c>
      <c r="I158">
        <v>1.9999999999999574</v>
      </c>
      <c r="J158">
        <v>-2.0000000000000462</v>
      </c>
      <c r="K158" t="s">
        <v>41</v>
      </c>
    </row>
    <row r="159" spans="1:11" x14ac:dyDescent="0.25">
      <c r="A159" s="374">
        <v>46216</v>
      </c>
      <c r="B159" t="s">
        <v>15</v>
      </c>
      <c r="C159" t="s">
        <v>195</v>
      </c>
      <c r="D159" t="s">
        <v>148</v>
      </c>
      <c r="E159">
        <v>4.5425000000000004</v>
      </c>
      <c r="F159">
        <v>-1.2499999999999289</v>
      </c>
      <c r="G159">
        <v>29.250000000000043</v>
      </c>
      <c r="H159">
        <v>1.1700000000000017</v>
      </c>
      <c r="I159">
        <v>2.0000000000000462</v>
      </c>
      <c r="J159">
        <v>-0.49999999999998934</v>
      </c>
      <c r="K159" t="s">
        <v>41</v>
      </c>
    </row>
    <row r="160" spans="1:11" x14ac:dyDescent="0.25">
      <c r="A160" s="374">
        <v>46216</v>
      </c>
      <c r="I160">
        <v>0</v>
      </c>
      <c r="J160">
        <v>0</v>
      </c>
      <c r="K160" t="s">
        <v>41</v>
      </c>
    </row>
    <row r="161" spans="1:11" x14ac:dyDescent="0.25">
      <c r="A161" s="374">
        <v>46216</v>
      </c>
      <c r="I161">
        <v>0</v>
      </c>
      <c r="J161">
        <v>0</v>
      </c>
      <c r="K161" t="s">
        <v>41</v>
      </c>
    </row>
    <row r="162" spans="1:11" x14ac:dyDescent="0.25">
      <c r="A162" s="374">
        <v>46216</v>
      </c>
      <c r="I162">
        <v>0</v>
      </c>
      <c r="J162">
        <v>0</v>
      </c>
      <c r="K162" t="s">
        <v>41</v>
      </c>
    </row>
    <row r="163" spans="1:11" x14ac:dyDescent="0.25">
      <c r="A163" s="374">
        <v>46216</v>
      </c>
      <c r="I163">
        <v>0</v>
      </c>
      <c r="J163">
        <v>0</v>
      </c>
      <c r="K163" t="s">
        <v>41</v>
      </c>
    </row>
    <row r="164" spans="1:11" x14ac:dyDescent="0.25">
      <c r="A164" s="374">
        <v>46216</v>
      </c>
      <c r="I164">
        <v>0</v>
      </c>
      <c r="J164">
        <v>0</v>
      </c>
      <c r="K164" t="s">
        <v>41</v>
      </c>
    </row>
    <row r="165" spans="1:11" x14ac:dyDescent="0.25">
      <c r="A165" s="374">
        <v>46216</v>
      </c>
      <c r="I165">
        <v>0</v>
      </c>
      <c r="J165">
        <v>0</v>
      </c>
      <c r="K165" t="s">
        <v>41</v>
      </c>
    </row>
    <row r="166" spans="1:11" x14ac:dyDescent="0.25">
      <c r="A166" s="374">
        <v>46217</v>
      </c>
      <c r="B166" t="s">
        <v>9</v>
      </c>
      <c r="C166" t="s">
        <v>177</v>
      </c>
      <c r="D166" t="s">
        <v>178</v>
      </c>
      <c r="E166">
        <v>4.38</v>
      </c>
      <c r="F166">
        <v>12.999999999999989</v>
      </c>
      <c r="G166">
        <v>12.999999999999989</v>
      </c>
      <c r="H166">
        <v>0.51999999999999957</v>
      </c>
      <c r="I166">
        <v>-0.49999999999998934</v>
      </c>
      <c r="J166">
        <v>-4.4999999999999929</v>
      </c>
      <c r="K166" t="s">
        <v>41</v>
      </c>
    </row>
    <row r="167" spans="1:11" x14ac:dyDescent="0.25">
      <c r="A167" s="374">
        <v>46217</v>
      </c>
      <c r="B167" t="s">
        <v>10</v>
      </c>
      <c r="C167" t="s">
        <v>178</v>
      </c>
      <c r="D167" t="s">
        <v>179</v>
      </c>
      <c r="E167">
        <v>4.49</v>
      </c>
      <c r="F167">
        <v>11.000000000000032</v>
      </c>
      <c r="G167">
        <v>24.000000000000021</v>
      </c>
      <c r="H167">
        <v>0.96000000000000085</v>
      </c>
      <c r="I167">
        <v>0.99999999999997868</v>
      </c>
      <c r="J167">
        <v>-1.499999999999968</v>
      </c>
      <c r="K167" t="s">
        <v>41</v>
      </c>
    </row>
    <row r="168" spans="1:11" x14ac:dyDescent="0.25">
      <c r="A168" s="374">
        <v>46217</v>
      </c>
      <c r="B168" t="s">
        <v>12</v>
      </c>
      <c r="C168" t="s">
        <v>179</v>
      </c>
      <c r="D168" t="s">
        <v>180</v>
      </c>
      <c r="E168">
        <v>4.5525000000000002</v>
      </c>
      <c r="F168">
        <v>6.25</v>
      </c>
      <c r="G168">
        <v>30.250000000000021</v>
      </c>
      <c r="H168">
        <v>1.2100000000000009</v>
      </c>
      <c r="I168">
        <v>3.2500000000000639</v>
      </c>
      <c r="J168">
        <v>-0.49999999999998934</v>
      </c>
      <c r="K168" t="s">
        <v>41</v>
      </c>
    </row>
    <row r="169" spans="1:11" x14ac:dyDescent="0.25">
      <c r="A169" s="374">
        <v>46217</v>
      </c>
      <c r="B169" t="s">
        <v>13</v>
      </c>
      <c r="C169" t="s">
        <v>180</v>
      </c>
      <c r="D169" t="s">
        <v>194</v>
      </c>
      <c r="E169">
        <v>4.58</v>
      </c>
      <c r="F169">
        <v>2.7499999999999858</v>
      </c>
      <c r="G169">
        <v>33.000000000000007</v>
      </c>
      <c r="H169">
        <v>1.3200000000000003</v>
      </c>
      <c r="I169">
        <v>3.0000000000000249</v>
      </c>
      <c r="J169">
        <v>-0.99999999999997868</v>
      </c>
      <c r="K169" t="s">
        <v>41</v>
      </c>
    </row>
    <row r="170" spans="1:11" x14ac:dyDescent="0.25">
      <c r="A170" s="374">
        <v>46217</v>
      </c>
      <c r="B170" t="s">
        <v>28</v>
      </c>
      <c r="C170" t="s">
        <v>194</v>
      </c>
      <c r="D170" t="s">
        <v>195</v>
      </c>
      <c r="E170">
        <v>4.6050000000000004</v>
      </c>
      <c r="F170">
        <v>2.5000000000000355</v>
      </c>
      <c r="G170">
        <v>35.500000000000043</v>
      </c>
      <c r="H170">
        <v>1.4200000000000017</v>
      </c>
      <c r="I170">
        <v>5.0000000000000711</v>
      </c>
      <c r="J170">
        <v>1.0000000000000675</v>
      </c>
      <c r="K170" t="s">
        <v>41</v>
      </c>
    </row>
    <row r="171" spans="1:11" x14ac:dyDescent="0.25">
      <c r="A171" s="374">
        <v>46217</v>
      </c>
      <c r="B171" t="s">
        <v>15</v>
      </c>
      <c r="C171" t="s">
        <v>195</v>
      </c>
      <c r="D171" t="s">
        <v>148</v>
      </c>
      <c r="E171">
        <v>4.6124999999999998</v>
      </c>
      <c r="F171">
        <v>0.7499999999999396</v>
      </c>
      <c r="G171">
        <v>36.249999999999986</v>
      </c>
      <c r="H171">
        <v>1.4499999999999995</v>
      </c>
      <c r="I171">
        <v>6.9999999999999396</v>
      </c>
      <c r="J171">
        <v>3.0000000000000249</v>
      </c>
      <c r="K171" t="s">
        <v>41</v>
      </c>
    </row>
    <row r="172" spans="1:11" x14ac:dyDescent="0.25">
      <c r="A172" s="374">
        <v>46217</v>
      </c>
      <c r="I172">
        <v>0</v>
      </c>
      <c r="J172">
        <v>0</v>
      </c>
      <c r="K172" t="s">
        <v>41</v>
      </c>
    </row>
    <row r="173" spans="1:11" x14ac:dyDescent="0.25">
      <c r="A173" s="374">
        <v>46217</v>
      </c>
      <c r="I173">
        <v>0</v>
      </c>
      <c r="J173">
        <v>0</v>
      </c>
      <c r="K173" t="s">
        <v>41</v>
      </c>
    </row>
    <row r="174" spans="1:11" x14ac:dyDescent="0.25">
      <c r="A174" s="374">
        <v>46217</v>
      </c>
      <c r="I174">
        <v>0</v>
      </c>
      <c r="J174">
        <v>0</v>
      </c>
      <c r="K174" t="s">
        <v>41</v>
      </c>
    </row>
    <row r="175" spans="1:11" x14ac:dyDescent="0.25">
      <c r="A175" s="374">
        <v>46217</v>
      </c>
      <c r="I175">
        <v>0</v>
      </c>
      <c r="J175">
        <v>0</v>
      </c>
      <c r="K175" t="s">
        <v>41</v>
      </c>
    </row>
    <row r="176" spans="1:11" x14ac:dyDescent="0.25">
      <c r="A176" s="374">
        <v>46217</v>
      </c>
      <c r="I176">
        <v>0</v>
      </c>
      <c r="J176">
        <v>0</v>
      </c>
      <c r="K176" t="s">
        <v>41</v>
      </c>
    </row>
    <row r="177" spans="1:11" x14ac:dyDescent="0.25">
      <c r="A177" s="374">
        <v>46217</v>
      </c>
      <c r="I177">
        <v>0</v>
      </c>
      <c r="J177">
        <v>0</v>
      </c>
      <c r="K177" t="s">
        <v>41</v>
      </c>
    </row>
    <row r="178" spans="1:11" x14ac:dyDescent="0.25">
      <c r="A178" s="374">
        <v>46218</v>
      </c>
      <c r="B178" t="s">
        <v>9</v>
      </c>
      <c r="C178" t="s">
        <v>177</v>
      </c>
      <c r="D178" t="s">
        <v>178</v>
      </c>
      <c r="E178">
        <v>4.3650000000000002</v>
      </c>
      <c r="F178">
        <v>11.500000000000021</v>
      </c>
      <c r="G178">
        <v>11.500000000000021</v>
      </c>
      <c r="H178">
        <v>0.46000000000000085</v>
      </c>
      <c r="I178">
        <v>-1.499999999999968</v>
      </c>
      <c r="J178">
        <v>-6.4999999999999503</v>
      </c>
      <c r="K178" t="s">
        <v>41</v>
      </c>
    </row>
    <row r="179" spans="1:11" x14ac:dyDescent="0.25">
      <c r="A179" s="374">
        <v>46218</v>
      </c>
      <c r="B179" t="s">
        <v>10</v>
      </c>
      <c r="C179" t="s">
        <v>178</v>
      </c>
      <c r="D179" t="s">
        <v>179</v>
      </c>
      <c r="E179">
        <v>4.4749999999999996</v>
      </c>
      <c r="F179">
        <v>10.999999999999943</v>
      </c>
      <c r="G179">
        <v>22.499999999999964</v>
      </c>
      <c r="H179">
        <v>0.89999999999999858</v>
      </c>
      <c r="I179">
        <v>-1.5000000000000568</v>
      </c>
      <c r="J179">
        <v>-6.7500000000000782</v>
      </c>
      <c r="K179" t="s">
        <v>41</v>
      </c>
    </row>
    <row r="180" spans="1:11" x14ac:dyDescent="0.25">
      <c r="A180" s="374">
        <v>46218</v>
      </c>
      <c r="B180" t="s">
        <v>12</v>
      </c>
      <c r="C180" t="s">
        <v>179</v>
      </c>
      <c r="D180" t="s">
        <v>180</v>
      </c>
      <c r="E180">
        <v>4.5149999999999997</v>
      </c>
      <c r="F180">
        <v>4.0000000000000036</v>
      </c>
      <c r="G180">
        <v>26.499999999999968</v>
      </c>
      <c r="H180">
        <v>1.0599999999999987</v>
      </c>
      <c r="I180">
        <v>-3.7500000000000533</v>
      </c>
      <c r="J180">
        <v>-8.2500000000000462</v>
      </c>
      <c r="K180" t="s">
        <v>41</v>
      </c>
    </row>
    <row r="181" spans="1:11" x14ac:dyDescent="0.25">
      <c r="A181" s="374">
        <v>46218</v>
      </c>
      <c r="B181" t="s">
        <v>13</v>
      </c>
      <c r="C181" t="s">
        <v>180</v>
      </c>
      <c r="D181" t="s">
        <v>194</v>
      </c>
      <c r="E181">
        <v>4.5350000000000001</v>
      </c>
      <c r="F181">
        <v>2.0000000000000462</v>
      </c>
      <c r="G181">
        <v>28.500000000000014</v>
      </c>
      <c r="H181">
        <v>1.1400000000000006</v>
      </c>
      <c r="I181">
        <v>-4.4999999999999929</v>
      </c>
      <c r="J181">
        <v>-9.4999999999999751</v>
      </c>
      <c r="K181" t="s">
        <v>41</v>
      </c>
    </row>
    <row r="182" spans="1:11" x14ac:dyDescent="0.25">
      <c r="A182" s="374">
        <v>46218</v>
      </c>
      <c r="B182" t="s">
        <v>28</v>
      </c>
      <c r="C182" t="s">
        <v>194</v>
      </c>
      <c r="D182" t="s">
        <v>195</v>
      </c>
      <c r="E182">
        <v>4.55</v>
      </c>
      <c r="F182">
        <v>1.499999999999968</v>
      </c>
      <c r="G182">
        <v>29.999999999999982</v>
      </c>
      <c r="H182">
        <v>1.1999999999999993</v>
      </c>
      <c r="I182">
        <v>-5.5000000000000604</v>
      </c>
      <c r="J182">
        <v>-10.000000000000053</v>
      </c>
      <c r="K182" t="s">
        <v>41</v>
      </c>
    </row>
    <row r="183" spans="1:11" x14ac:dyDescent="0.25">
      <c r="A183" s="374">
        <v>46218</v>
      </c>
      <c r="B183" t="s">
        <v>15</v>
      </c>
      <c r="C183" t="s">
        <v>195</v>
      </c>
      <c r="D183" t="s">
        <v>148</v>
      </c>
      <c r="E183">
        <v>4.5674999999999999</v>
      </c>
      <c r="F183">
        <v>1.7500000000000071</v>
      </c>
      <c r="G183">
        <v>31.749999999999989</v>
      </c>
      <c r="H183">
        <v>1.2699999999999996</v>
      </c>
      <c r="I183">
        <v>-4.4999999999999929</v>
      </c>
      <c r="J183">
        <v>-8.0000000000000071</v>
      </c>
      <c r="K183" t="s">
        <v>41</v>
      </c>
    </row>
    <row r="184" spans="1:11" x14ac:dyDescent="0.25">
      <c r="A184" s="374">
        <v>46218</v>
      </c>
      <c r="I184">
        <v>0</v>
      </c>
      <c r="J184">
        <v>0</v>
      </c>
      <c r="K184" t="s">
        <v>41</v>
      </c>
    </row>
    <row r="185" spans="1:11" x14ac:dyDescent="0.25">
      <c r="A185" s="374">
        <v>46218</v>
      </c>
      <c r="I185">
        <v>0</v>
      </c>
      <c r="J185">
        <v>0</v>
      </c>
      <c r="K185" t="s">
        <v>41</v>
      </c>
    </row>
    <row r="186" spans="1:11" x14ac:dyDescent="0.25">
      <c r="A186" s="374">
        <v>46218</v>
      </c>
      <c r="I186">
        <v>0</v>
      </c>
      <c r="J186">
        <v>0</v>
      </c>
      <c r="K186" t="s">
        <v>41</v>
      </c>
    </row>
    <row r="187" spans="1:11" x14ac:dyDescent="0.25">
      <c r="A187" s="374">
        <v>46218</v>
      </c>
      <c r="I187">
        <v>0</v>
      </c>
      <c r="J187">
        <v>0</v>
      </c>
      <c r="K187" t="s">
        <v>41</v>
      </c>
    </row>
    <row r="188" spans="1:11" x14ac:dyDescent="0.25">
      <c r="A188" s="374">
        <v>46218</v>
      </c>
      <c r="I188">
        <v>0</v>
      </c>
      <c r="J188">
        <v>0</v>
      </c>
      <c r="K188" t="s">
        <v>41</v>
      </c>
    </row>
    <row r="189" spans="1:11" x14ac:dyDescent="0.25">
      <c r="A189" s="374">
        <v>46218</v>
      </c>
      <c r="I189">
        <v>0</v>
      </c>
      <c r="J189">
        <v>0</v>
      </c>
      <c r="K189" t="s">
        <v>41</v>
      </c>
    </row>
    <row r="190" spans="1:11" x14ac:dyDescent="0.25">
      <c r="A190" s="374">
        <v>46219</v>
      </c>
      <c r="B190" t="s">
        <v>9</v>
      </c>
      <c r="C190" t="s">
        <v>177</v>
      </c>
      <c r="D190" t="s">
        <v>178</v>
      </c>
      <c r="E190">
        <v>4.3600000000000003</v>
      </c>
      <c r="F190">
        <v>11.000000000000032</v>
      </c>
      <c r="G190">
        <v>11.000000000000032</v>
      </c>
      <c r="H190">
        <v>0.44000000000000128</v>
      </c>
      <c r="I190">
        <v>-0.49999999999998934</v>
      </c>
      <c r="J190">
        <v>-18.75</v>
      </c>
      <c r="K190" t="s">
        <v>41</v>
      </c>
    </row>
    <row r="191" spans="1:11" x14ac:dyDescent="0.25">
      <c r="A191" s="374">
        <v>46219</v>
      </c>
      <c r="B191" t="s">
        <v>10</v>
      </c>
      <c r="C191" t="s">
        <v>178</v>
      </c>
      <c r="D191" t="s">
        <v>179</v>
      </c>
      <c r="E191">
        <v>4.47</v>
      </c>
      <c r="F191">
        <v>10.999999999999943</v>
      </c>
      <c r="G191">
        <v>21.999999999999975</v>
      </c>
      <c r="H191">
        <v>0.87999999999999901</v>
      </c>
      <c r="I191">
        <v>-0.49999999999998934</v>
      </c>
      <c r="J191">
        <v>-12.750000000000039</v>
      </c>
      <c r="K191" t="s">
        <v>41</v>
      </c>
    </row>
    <row r="192" spans="1:11" x14ac:dyDescent="0.25">
      <c r="A192" s="374">
        <v>46219</v>
      </c>
      <c r="B192" t="s">
        <v>12</v>
      </c>
      <c r="C192" t="s">
        <v>179</v>
      </c>
      <c r="D192" t="s">
        <v>180</v>
      </c>
      <c r="E192">
        <v>4.51</v>
      </c>
      <c r="F192">
        <v>4.0000000000000036</v>
      </c>
      <c r="G192">
        <v>25.999999999999979</v>
      </c>
      <c r="H192">
        <v>1.0399999999999991</v>
      </c>
      <c r="I192">
        <v>-0.49999999999998934</v>
      </c>
      <c r="J192">
        <v>-11.500000000000021</v>
      </c>
      <c r="K192" t="s">
        <v>41</v>
      </c>
    </row>
    <row r="193" spans="1:11" x14ac:dyDescent="0.25">
      <c r="A193" s="374">
        <v>46219</v>
      </c>
      <c r="B193" t="s">
        <v>13</v>
      </c>
      <c r="C193" t="s">
        <v>180</v>
      </c>
      <c r="D193" t="s">
        <v>194</v>
      </c>
      <c r="E193">
        <v>4.53</v>
      </c>
      <c r="F193">
        <v>2.0000000000000462</v>
      </c>
      <c r="G193">
        <v>28.000000000000025</v>
      </c>
      <c r="H193">
        <v>1.120000000000001</v>
      </c>
      <c r="I193">
        <v>-0.49999999999998934</v>
      </c>
      <c r="J193">
        <v>-11.499999999999932</v>
      </c>
      <c r="K193" t="s">
        <v>41</v>
      </c>
    </row>
    <row r="194" spans="1:11" x14ac:dyDescent="0.25">
      <c r="A194" s="374">
        <v>46219</v>
      </c>
      <c r="B194" t="s">
        <v>28</v>
      </c>
      <c r="C194" t="s">
        <v>194</v>
      </c>
      <c r="D194" t="s">
        <v>195</v>
      </c>
      <c r="E194">
        <v>4.5449999999999999</v>
      </c>
      <c r="F194">
        <v>1.499999999999968</v>
      </c>
      <c r="G194">
        <v>29.499999999999993</v>
      </c>
      <c r="H194">
        <v>1.1799999999999997</v>
      </c>
      <c r="I194">
        <v>-0.49999999999998934</v>
      </c>
      <c r="J194">
        <v>-11.000000000000032</v>
      </c>
      <c r="K194" t="s">
        <v>41</v>
      </c>
    </row>
    <row r="195" spans="1:11" x14ac:dyDescent="0.25">
      <c r="A195" s="374">
        <v>46219</v>
      </c>
      <c r="B195" t="s">
        <v>15</v>
      </c>
      <c r="C195" t="s">
        <v>195</v>
      </c>
      <c r="D195" t="s">
        <v>148</v>
      </c>
      <c r="E195">
        <v>4.5625</v>
      </c>
      <c r="F195">
        <v>1.7500000000000071</v>
      </c>
      <c r="G195">
        <v>31.25</v>
      </c>
      <c r="H195">
        <v>1.25</v>
      </c>
      <c r="I195">
        <v>-0.49999999999998934</v>
      </c>
      <c r="J195" t="s">
        <v>41</v>
      </c>
      <c r="K195" t="s">
        <v>41</v>
      </c>
    </row>
    <row r="196" spans="1:11" x14ac:dyDescent="0.25">
      <c r="A196" s="374">
        <v>46219</v>
      </c>
      <c r="I196">
        <v>0</v>
      </c>
      <c r="J196" t="s">
        <v>41</v>
      </c>
      <c r="K196" t="s">
        <v>41</v>
      </c>
    </row>
    <row r="197" spans="1:11" x14ac:dyDescent="0.25">
      <c r="A197" s="374">
        <v>46219</v>
      </c>
      <c r="I197">
        <v>0</v>
      </c>
      <c r="J197" t="s">
        <v>41</v>
      </c>
      <c r="K197" t="s">
        <v>41</v>
      </c>
    </row>
    <row r="198" spans="1:11" x14ac:dyDescent="0.25">
      <c r="A198" s="374">
        <v>46219</v>
      </c>
      <c r="I198">
        <v>0</v>
      </c>
      <c r="J198" t="s">
        <v>41</v>
      </c>
      <c r="K198" t="s">
        <v>41</v>
      </c>
    </row>
    <row r="199" spans="1:11" x14ac:dyDescent="0.25">
      <c r="A199" s="374">
        <v>46219</v>
      </c>
      <c r="I199">
        <v>0</v>
      </c>
      <c r="J199" t="s">
        <v>41</v>
      </c>
      <c r="K199" t="s">
        <v>41</v>
      </c>
    </row>
    <row r="200" spans="1:11" x14ac:dyDescent="0.25">
      <c r="A200" s="374">
        <v>46219</v>
      </c>
      <c r="I200">
        <v>0</v>
      </c>
      <c r="J200" t="s">
        <v>41</v>
      </c>
      <c r="K200" t="s">
        <v>41</v>
      </c>
    </row>
    <row r="201" spans="1:11" x14ac:dyDescent="0.25">
      <c r="A201" s="374">
        <v>46219</v>
      </c>
      <c r="I201">
        <v>0</v>
      </c>
      <c r="J201" t="s">
        <v>41</v>
      </c>
      <c r="K201" t="s">
        <v>41</v>
      </c>
    </row>
    <row r="202" spans="1:11" x14ac:dyDescent="0.25">
      <c r="A202" s="374">
        <v>46220</v>
      </c>
      <c r="B202" t="s">
        <v>9</v>
      </c>
      <c r="C202" t="s">
        <v>177</v>
      </c>
      <c r="D202" t="s">
        <v>178</v>
      </c>
      <c r="E202">
        <v>4.3550000000000004</v>
      </c>
      <c r="F202">
        <v>10.500000000000043</v>
      </c>
      <c r="G202">
        <v>10.500000000000043</v>
      </c>
      <c r="H202">
        <v>0.42000000000000171</v>
      </c>
      <c r="I202">
        <v>-0.49999999999998934</v>
      </c>
      <c r="J202">
        <v>-2.4999999999999467</v>
      </c>
      <c r="K202" t="s">
        <v>41</v>
      </c>
    </row>
    <row r="203" spans="1:11" x14ac:dyDescent="0.25">
      <c r="A203" s="374">
        <v>46220</v>
      </c>
      <c r="B203" t="s">
        <v>10</v>
      </c>
      <c r="C203" t="s">
        <v>178</v>
      </c>
      <c r="D203" t="s">
        <v>179</v>
      </c>
      <c r="E203">
        <v>4.47</v>
      </c>
      <c r="F203">
        <v>11.499999999999932</v>
      </c>
      <c r="G203">
        <v>21.999999999999975</v>
      </c>
      <c r="H203">
        <v>0.87999999999999901</v>
      </c>
      <c r="I203">
        <v>0</v>
      </c>
      <c r="J203">
        <v>-0.49999999999998934</v>
      </c>
      <c r="K203" t="s">
        <v>41</v>
      </c>
    </row>
    <row r="204" spans="1:11" x14ac:dyDescent="0.25">
      <c r="A204" s="374">
        <v>46220</v>
      </c>
      <c r="B204" t="s">
        <v>12</v>
      </c>
      <c r="C204" t="s">
        <v>179</v>
      </c>
      <c r="D204" t="s">
        <v>180</v>
      </c>
      <c r="E204">
        <v>4.5049999999999999</v>
      </c>
      <c r="F204">
        <v>3.5000000000000142</v>
      </c>
      <c r="G204">
        <v>25.499999999999989</v>
      </c>
      <c r="H204">
        <v>1.0199999999999996</v>
      </c>
      <c r="I204">
        <v>-0.49999999999998934</v>
      </c>
      <c r="J204">
        <v>-0.49999999999998934</v>
      </c>
      <c r="K204" t="s">
        <v>41</v>
      </c>
    </row>
    <row r="205" spans="1:11" x14ac:dyDescent="0.25">
      <c r="A205" s="374">
        <v>46220</v>
      </c>
      <c r="B205" t="s">
        <v>13</v>
      </c>
      <c r="C205" t="s">
        <v>180</v>
      </c>
      <c r="D205" t="s">
        <v>194</v>
      </c>
      <c r="E205">
        <v>4.5199999999999996</v>
      </c>
      <c r="F205">
        <v>1.499999999999968</v>
      </c>
      <c r="G205">
        <v>26.999999999999957</v>
      </c>
      <c r="H205">
        <v>1.0799999999999983</v>
      </c>
      <c r="I205">
        <v>-1.0000000000000675</v>
      </c>
      <c r="J205">
        <v>-1.0000000000000675</v>
      </c>
      <c r="K205" t="s">
        <v>41</v>
      </c>
    </row>
    <row r="206" spans="1:11" x14ac:dyDescent="0.25">
      <c r="A206" s="374">
        <v>46220</v>
      </c>
      <c r="B206" t="s">
        <v>28</v>
      </c>
      <c r="C206" t="s">
        <v>194</v>
      </c>
      <c r="D206" t="s">
        <v>195</v>
      </c>
      <c r="E206">
        <v>4.5250000000000004</v>
      </c>
      <c r="F206">
        <v>0.50000000000007816</v>
      </c>
      <c r="G206">
        <v>27.500000000000036</v>
      </c>
      <c r="H206">
        <v>1.1000000000000014</v>
      </c>
      <c r="I206">
        <v>-1.9999999999999574</v>
      </c>
      <c r="J206">
        <v>-0.99999999999997868</v>
      </c>
      <c r="K206" t="s">
        <v>41</v>
      </c>
    </row>
    <row r="207" spans="1:11" x14ac:dyDescent="0.25">
      <c r="A207" s="374">
        <v>46220</v>
      </c>
      <c r="B207" t="s">
        <v>15</v>
      </c>
      <c r="C207" t="s">
        <v>195</v>
      </c>
      <c r="D207" t="s">
        <v>148</v>
      </c>
      <c r="E207">
        <v>4.5225</v>
      </c>
      <c r="F207">
        <v>-0.25000000000003908</v>
      </c>
      <c r="G207">
        <v>27.249999999999996</v>
      </c>
      <c r="H207">
        <v>1.0899999999999999</v>
      </c>
      <c r="I207">
        <v>-4.0000000000000036</v>
      </c>
      <c r="J207">
        <v>0</v>
      </c>
      <c r="K207" t="s">
        <v>41</v>
      </c>
    </row>
    <row r="208" spans="1:11" x14ac:dyDescent="0.25">
      <c r="A208" s="374">
        <v>46220</v>
      </c>
      <c r="I208">
        <v>0</v>
      </c>
      <c r="J208">
        <v>0</v>
      </c>
      <c r="K208" t="s">
        <v>41</v>
      </c>
    </row>
    <row r="209" spans="1:11" x14ac:dyDescent="0.25">
      <c r="A209" s="374">
        <v>46220</v>
      </c>
      <c r="I209">
        <v>0</v>
      </c>
      <c r="J209">
        <v>0</v>
      </c>
      <c r="K209" t="s">
        <v>41</v>
      </c>
    </row>
    <row r="210" spans="1:11" x14ac:dyDescent="0.25">
      <c r="A210" s="374">
        <v>46220</v>
      </c>
      <c r="I210">
        <v>0</v>
      </c>
      <c r="J210">
        <v>0</v>
      </c>
      <c r="K210" t="s">
        <v>41</v>
      </c>
    </row>
    <row r="211" spans="1:11" x14ac:dyDescent="0.25">
      <c r="A211" s="374">
        <v>46220</v>
      </c>
      <c r="I211">
        <v>0</v>
      </c>
      <c r="J211">
        <v>0</v>
      </c>
      <c r="K211" t="s">
        <v>41</v>
      </c>
    </row>
    <row r="212" spans="1:11" x14ac:dyDescent="0.25">
      <c r="A212" s="374">
        <v>46220</v>
      </c>
      <c r="I212">
        <v>0</v>
      </c>
      <c r="J212">
        <v>0</v>
      </c>
      <c r="K212" t="s">
        <v>41</v>
      </c>
    </row>
    <row r="213" spans="1:11" x14ac:dyDescent="0.25">
      <c r="A213" s="374">
        <v>46220</v>
      </c>
      <c r="I213">
        <v>0</v>
      </c>
      <c r="J213">
        <v>0</v>
      </c>
      <c r="K213" t="s">
        <v>41</v>
      </c>
    </row>
    <row r="214" spans="1:11" x14ac:dyDescent="0.25">
      <c r="A214" s="374">
        <v>46223</v>
      </c>
      <c r="B214" t="s">
        <v>9</v>
      </c>
      <c r="C214" t="s">
        <v>177</v>
      </c>
      <c r="D214" t="s">
        <v>178</v>
      </c>
      <c r="E214">
        <v>4.3550000000000004</v>
      </c>
      <c r="F214">
        <v>10.500000000000043</v>
      </c>
      <c r="G214">
        <v>10.500000000000043</v>
      </c>
      <c r="H214">
        <v>0.42000000000000171</v>
      </c>
      <c r="I214">
        <v>0</v>
      </c>
      <c r="J214">
        <v>-2.9999999999999361</v>
      </c>
      <c r="K214" t="s">
        <v>41</v>
      </c>
    </row>
    <row r="215" spans="1:11" x14ac:dyDescent="0.25">
      <c r="A215" s="374">
        <v>46223</v>
      </c>
      <c r="B215" t="s">
        <v>10</v>
      </c>
      <c r="C215" t="s">
        <v>178</v>
      </c>
      <c r="D215" t="s">
        <v>179</v>
      </c>
      <c r="E215">
        <v>4.4649999999999999</v>
      </c>
      <c r="F215">
        <v>10.999999999999943</v>
      </c>
      <c r="G215">
        <v>21.499999999999986</v>
      </c>
      <c r="H215">
        <v>0.85999999999999943</v>
      </c>
      <c r="I215">
        <v>-0.49999999999998934</v>
      </c>
      <c r="J215">
        <v>-1.5000000000000568</v>
      </c>
      <c r="K215" t="s">
        <v>41</v>
      </c>
    </row>
    <row r="216" spans="1:11" x14ac:dyDescent="0.25">
      <c r="A216" s="374">
        <v>46223</v>
      </c>
      <c r="B216" t="s">
        <v>12</v>
      </c>
      <c r="C216" t="s">
        <v>179</v>
      </c>
      <c r="D216" t="s">
        <v>180</v>
      </c>
      <c r="E216">
        <v>4.5049999999999999</v>
      </c>
      <c r="F216">
        <v>4.0000000000000036</v>
      </c>
      <c r="G216">
        <v>25.499999999999989</v>
      </c>
      <c r="H216">
        <v>1.0199999999999996</v>
      </c>
      <c r="I216">
        <v>0</v>
      </c>
      <c r="J216">
        <v>-1.499999999999968</v>
      </c>
      <c r="K216" t="s">
        <v>41</v>
      </c>
    </row>
    <row r="217" spans="1:11" x14ac:dyDescent="0.25">
      <c r="A217" s="374">
        <v>46223</v>
      </c>
      <c r="B217" t="s">
        <v>13</v>
      </c>
      <c r="C217" t="s">
        <v>180</v>
      </c>
      <c r="D217" t="s">
        <v>194</v>
      </c>
      <c r="E217">
        <v>4.5250000000000004</v>
      </c>
      <c r="F217">
        <v>2.0000000000000462</v>
      </c>
      <c r="G217">
        <v>27.500000000000036</v>
      </c>
      <c r="H217">
        <v>1.1000000000000014</v>
      </c>
      <c r="I217">
        <v>0.50000000000007816</v>
      </c>
      <c r="J217">
        <v>-2.4999999999999467</v>
      </c>
      <c r="K217" t="s">
        <v>41</v>
      </c>
    </row>
    <row r="218" spans="1:11" x14ac:dyDescent="0.25">
      <c r="A218" s="374">
        <v>46223</v>
      </c>
      <c r="B218" t="s">
        <v>28</v>
      </c>
      <c r="C218" t="s">
        <v>194</v>
      </c>
      <c r="D218" t="s">
        <v>195</v>
      </c>
      <c r="E218">
        <v>4.54</v>
      </c>
      <c r="F218">
        <v>1.499999999999968</v>
      </c>
      <c r="G218">
        <v>29.000000000000004</v>
      </c>
      <c r="H218">
        <v>1.1600000000000001</v>
      </c>
      <c r="I218">
        <v>1.499999999999968</v>
      </c>
      <c r="J218">
        <v>-1.499999999999968</v>
      </c>
      <c r="K218" t="s">
        <v>41</v>
      </c>
    </row>
    <row r="219" spans="1:11" x14ac:dyDescent="0.25">
      <c r="A219" s="374">
        <v>46223</v>
      </c>
      <c r="B219" t="s">
        <v>15</v>
      </c>
      <c r="C219" t="s">
        <v>195</v>
      </c>
      <c r="D219" t="s">
        <v>148</v>
      </c>
      <c r="E219">
        <v>4.5475000000000003</v>
      </c>
      <c r="F219">
        <v>0.75000000000002842</v>
      </c>
      <c r="G219">
        <v>29.750000000000032</v>
      </c>
      <c r="H219">
        <v>1.1900000000000013</v>
      </c>
      <c r="I219">
        <v>2.5000000000000355</v>
      </c>
      <c r="J219">
        <v>0.49999999999998934</v>
      </c>
      <c r="K219" t="s">
        <v>41</v>
      </c>
    </row>
    <row r="220" spans="1:11" x14ac:dyDescent="0.25">
      <c r="A220" s="374">
        <v>46223</v>
      </c>
      <c r="I220">
        <v>0</v>
      </c>
      <c r="J220">
        <v>0</v>
      </c>
      <c r="K220" t="s">
        <v>41</v>
      </c>
    </row>
    <row r="221" spans="1:11" x14ac:dyDescent="0.25">
      <c r="A221" s="374">
        <v>46223</v>
      </c>
      <c r="I221">
        <v>0</v>
      </c>
      <c r="J221">
        <v>0</v>
      </c>
      <c r="K221" t="s">
        <v>41</v>
      </c>
    </row>
    <row r="222" spans="1:11" x14ac:dyDescent="0.25">
      <c r="A222" s="374">
        <v>46223</v>
      </c>
      <c r="I222">
        <v>0</v>
      </c>
      <c r="J222">
        <v>0</v>
      </c>
      <c r="K222" t="s">
        <v>41</v>
      </c>
    </row>
    <row r="223" spans="1:11" x14ac:dyDescent="0.25">
      <c r="A223" s="374">
        <v>46223</v>
      </c>
      <c r="I223">
        <v>0</v>
      </c>
      <c r="J223">
        <v>0</v>
      </c>
      <c r="K223" t="s">
        <v>41</v>
      </c>
    </row>
    <row r="224" spans="1:11" x14ac:dyDescent="0.25">
      <c r="A224" s="374">
        <v>46223</v>
      </c>
      <c r="I224">
        <v>0</v>
      </c>
      <c r="J224">
        <v>0</v>
      </c>
      <c r="K224" t="s">
        <v>41</v>
      </c>
    </row>
    <row r="225" spans="1:11" x14ac:dyDescent="0.25">
      <c r="A225" s="374">
        <v>46223</v>
      </c>
      <c r="I225">
        <v>0</v>
      </c>
      <c r="J225">
        <v>0</v>
      </c>
      <c r="K225" t="s">
        <v>41</v>
      </c>
    </row>
    <row r="226" spans="1:11" x14ac:dyDescent="0.25">
      <c r="A226" s="374">
        <v>46224</v>
      </c>
      <c r="B226" t="s">
        <v>9</v>
      </c>
      <c r="C226" t="s">
        <v>177</v>
      </c>
      <c r="D226" t="s">
        <v>178</v>
      </c>
      <c r="E226">
        <v>4.3600000000000003</v>
      </c>
      <c r="F226">
        <v>11.000000000000032</v>
      </c>
      <c r="G226">
        <v>11.000000000000032</v>
      </c>
      <c r="H226">
        <v>0.44000000000000128</v>
      </c>
      <c r="I226">
        <v>0.49999999999998934</v>
      </c>
      <c r="J226">
        <v>-1.9999999999999574</v>
      </c>
      <c r="K226" t="s">
        <v>41</v>
      </c>
    </row>
    <row r="227" spans="1:11" x14ac:dyDescent="0.25">
      <c r="A227" s="374">
        <v>46224</v>
      </c>
      <c r="B227" t="s">
        <v>10</v>
      </c>
      <c r="C227" t="s">
        <v>178</v>
      </c>
      <c r="D227" t="s">
        <v>179</v>
      </c>
      <c r="E227">
        <v>4.47</v>
      </c>
      <c r="F227">
        <v>10.999999999999943</v>
      </c>
      <c r="G227">
        <v>21.999999999999975</v>
      </c>
      <c r="H227">
        <v>0.87999999999999901</v>
      </c>
      <c r="I227">
        <v>0.49999999999998934</v>
      </c>
      <c r="J227">
        <v>-2.0000000000000462</v>
      </c>
      <c r="K227" t="s">
        <v>41</v>
      </c>
    </row>
    <row r="228" spans="1:11" x14ac:dyDescent="0.25">
      <c r="A228" s="374">
        <v>46224</v>
      </c>
      <c r="B228" t="s">
        <v>12</v>
      </c>
      <c r="C228" t="s">
        <v>179</v>
      </c>
      <c r="D228" t="s">
        <v>180</v>
      </c>
      <c r="E228">
        <v>4.51</v>
      </c>
      <c r="F228">
        <v>4.0000000000000036</v>
      </c>
      <c r="G228">
        <v>25.999999999999979</v>
      </c>
      <c r="H228">
        <v>1.0399999999999991</v>
      </c>
      <c r="I228">
        <v>0.49999999999998934</v>
      </c>
      <c r="J228">
        <v>-4.2500000000000426</v>
      </c>
      <c r="K228" t="s">
        <v>41</v>
      </c>
    </row>
    <row r="229" spans="1:11" x14ac:dyDescent="0.25">
      <c r="A229" s="374">
        <v>46224</v>
      </c>
      <c r="B229" t="s">
        <v>13</v>
      </c>
      <c r="C229" t="s">
        <v>180</v>
      </c>
      <c r="D229" t="s">
        <v>194</v>
      </c>
      <c r="E229">
        <v>4.54</v>
      </c>
      <c r="F229">
        <v>3.0000000000000249</v>
      </c>
      <c r="G229">
        <v>29.000000000000004</v>
      </c>
      <c r="H229">
        <v>1.1600000000000001</v>
      </c>
      <c r="I229">
        <v>1.499999999999968</v>
      </c>
      <c r="J229">
        <v>-4.0000000000000036</v>
      </c>
      <c r="K229" t="s">
        <v>41</v>
      </c>
    </row>
    <row r="230" spans="1:11" x14ac:dyDescent="0.25">
      <c r="A230" s="374">
        <v>46224</v>
      </c>
      <c r="B230" t="s">
        <v>28</v>
      </c>
      <c r="C230" t="s">
        <v>194</v>
      </c>
      <c r="D230" t="s">
        <v>195</v>
      </c>
      <c r="E230">
        <v>4.5549999999999997</v>
      </c>
      <c r="F230">
        <v>1.499999999999968</v>
      </c>
      <c r="G230">
        <v>30.499999999999972</v>
      </c>
      <c r="H230">
        <v>1.2199999999999989</v>
      </c>
      <c r="I230">
        <v>1.499999999999968</v>
      </c>
      <c r="J230">
        <v>-5.0000000000000711</v>
      </c>
      <c r="K230" t="s">
        <v>41</v>
      </c>
    </row>
    <row r="231" spans="1:11" x14ac:dyDescent="0.25">
      <c r="A231" s="374">
        <v>46224</v>
      </c>
      <c r="B231" t="s">
        <v>15</v>
      </c>
      <c r="C231" t="s">
        <v>195</v>
      </c>
      <c r="D231" t="s">
        <v>148</v>
      </c>
      <c r="E231">
        <v>4.5625</v>
      </c>
      <c r="F231">
        <v>0.75000000000002842</v>
      </c>
      <c r="G231">
        <v>31.25</v>
      </c>
      <c r="H231">
        <v>1.25</v>
      </c>
      <c r="I231">
        <v>1.499999999999968</v>
      </c>
      <c r="J231">
        <v>-4.9999999999999822</v>
      </c>
      <c r="K231" t="s">
        <v>41</v>
      </c>
    </row>
    <row r="232" spans="1:11" x14ac:dyDescent="0.25">
      <c r="A232" s="374">
        <v>46224</v>
      </c>
      <c r="I232">
        <v>0</v>
      </c>
      <c r="J232">
        <v>0</v>
      </c>
      <c r="K232" t="s">
        <v>41</v>
      </c>
    </row>
    <row r="233" spans="1:11" x14ac:dyDescent="0.25">
      <c r="A233" s="374">
        <v>46224</v>
      </c>
      <c r="I233">
        <v>0</v>
      </c>
      <c r="J233">
        <v>0</v>
      </c>
      <c r="K233" t="s">
        <v>41</v>
      </c>
    </row>
    <row r="234" spans="1:11" x14ac:dyDescent="0.25">
      <c r="A234" s="374">
        <v>46224</v>
      </c>
      <c r="I234">
        <v>0</v>
      </c>
      <c r="J234">
        <v>0</v>
      </c>
      <c r="K234" t="s">
        <v>41</v>
      </c>
    </row>
    <row r="235" spans="1:11" x14ac:dyDescent="0.25">
      <c r="A235" s="374">
        <v>46224</v>
      </c>
      <c r="I235">
        <v>0</v>
      </c>
      <c r="J235">
        <v>0</v>
      </c>
      <c r="K235" t="s">
        <v>41</v>
      </c>
    </row>
    <row r="236" spans="1:11" x14ac:dyDescent="0.25">
      <c r="A236" s="374">
        <v>46224</v>
      </c>
      <c r="I236">
        <v>0</v>
      </c>
      <c r="J236">
        <v>0</v>
      </c>
      <c r="K236" t="s">
        <v>41</v>
      </c>
    </row>
    <row r="237" spans="1:11" x14ac:dyDescent="0.25">
      <c r="A237" s="374">
        <v>46224</v>
      </c>
      <c r="I237">
        <v>0</v>
      </c>
      <c r="J237">
        <v>0</v>
      </c>
      <c r="K237" t="s">
        <v>41</v>
      </c>
    </row>
    <row r="238" spans="1:11" x14ac:dyDescent="0.25">
      <c r="A238" s="374">
        <v>46225</v>
      </c>
      <c r="B238" t="s">
        <v>9</v>
      </c>
      <c r="C238" t="s">
        <v>177</v>
      </c>
      <c r="D238" t="s">
        <v>178</v>
      </c>
      <c r="E238">
        <v>4.3650000000000002</v>
      </c>
      <c r="F238">
        <v>11.500000000000021</v>
      </c>
      <c r="G238">
        <v>11.500000000000021</v>
      </c>
      <c r="H238">
        <v>0.46000000000000085</v>
      </c>
      <c r="I238">
        <v>0.49999999999998934</v>
      </c>
      <c r="J238">
        <v>0</v>
      </c>
      <c r="K238" t="s">
        <v>41</v>
      </c>
    </row>
    <row r="239" spans="1:11" x14ac:dyDescent="0.25">
      <c r="A239" s="374">
        <v>46225</v>
      </c>
      <c r="B239" t="s">
        <v>10</v>
      </c>
      <c r="C239" t="s">
        <v>178</v>
      </c>
      <c r="D239" t="s">
        <v>179</v>
      </c>
      <c r="E239">
        <v>4.4800000000000004</v>
      </c>
      <c r="F239">
        <v>11.500000000000021</v>
      </c>
      <c r="G239">
        <v>23.000000000000043</v>
      </c>
      <c r="H239">
        <v>0.92000000000000171</v>
      </c>
      <c r="I239">
        <v>1.0000000000000675</v>
      </c>
      <c r="J239">
        <v>0.50000000000007816</v>
      </c>
      <c r="K239">
        <v>-5.7999999999999829</v>
      </c>
    </row>
    <row r="240" spans="1:11" x14ac:dyDescent="0.25">
      <c r="A240" s="374">
        <v>46225</v>
      </c>
      <c r="B240" t="s">
        <v>12</v>
      </c>
      <c r="C240" t="s">
        <v>179</v>
      </c>
      <c r="D240" t="s">
        <v>180</v>
      </c>
      <c r="E240">
        <v>4.5250000000000004</v>
      </c>
      <c r="F240">
        <v>4.4999999999999929</v>
      </c>
      <c r="G240">
        <v>27.500000000000036</v>
      </c>
      <c r="H240">
        <v>1.1000000000000014</v>
      </c>
      <c r="I240">
        <v>1.5000000000000568</v>
      </c>
      <c r="J240">
        <v>1.0000000000000675</v>
      </c>
      <c r="K240">
        <v>-7.7999999999999403</v>
      </c>
    </row>
    <row r="241" spans="1:11" x14ac:dyDescent="0.25">
      <c r="A241" s="374">
        <v>46225</v>
      </c>
      <c r="B241" t="s">
        <v>13</v>
      </c>
      <c r="C241" t="s">
        <v>180</v>
      </c>
      <c r="D241" t="s">
        <v>194</v>
      </c>
      <c r="E241">
        <v>4.55</v>
      </c>
      <c r="F241">
        <v>2.4999999999999467</v>
      </c>
      <c r="G241">
        <v>29.999999999999982</v>
      </c>
      <c r="H241">
        <v>1.1999999999999993</v>
      </c>
      <c r="I241">
        <v>0.99999999999997868</v>
      </c>
      <c r="J241">
        <v>1.499999999999968</v>
      </c>
      <c r="K241" t="s">
        <v>41</v>
      </c>
    </row>
    <row r="242" spans="1:11" x14ac:dyDescent="0.25">
      <c r="A242" s="374">
        <v>46225</v>
      </c>
      <c r="B242" t="s">
        <v>28</v>
      </c>
      <c r="C242" t="s">
        <v>194</v>
      </c>
      <c r="D242" t="s">
        <v>195</v>
      </c>
      <c r="E242">
        <v>4.57</v>
      </c>
      <c r="F242">
        <v>2.0000000000000462</v>
      </c>
      <c r="G242">
        <v>32.000000000000028</v>
      </c>
      <c r="H242">
        <v>1.2800000000000011</v>
      </c>
      <c r="I242">
        <v>1.5000000000000568</v>
      </c>
      <c r="J242">
        <v>2.0000000000000462</v>
      </c>
      <c r="K242" t="s">
        <v>41</v>
      </c>
    </row>
    <row r="243" spans="1:11" x14ac:dyDescent="0.25">
      <c r="A243" s="374">
        <v>46225</v>
      </c>
      <c r="B243" t="s">
        <v>15</v>
      </c>
      <c r="C243" t="s">
        <v>195</v>
      </c>
      <c r="D243" t="s">
        <v>148</v>
      </c>
      <c r="E243">
        <v>4.5824999999999996</v>
      </c>
      <c r="F243">
        <v>1.2499999999999289</v>
      </c>
      <c r="G243">
        <v>33.249999999999957</v>
      </c>
      <c r="H243">
        <v>1.3299999999999983</v>
      </c>
      <c r="I243">
        <v>1.9999999999999574</v>
      </c>
      <c r="J243">
        <v>1.499999999999968</v>
      </c>
      <c r="K243" t="s">
        <v>41</v>
      </c>
    </row>
    <row r="244" spans="1:11" x14ac:dyDescent="0.25">
      <c r="A244" s="374">
        <v>46225</v>
      </c>
      <c r="I244">
        <v>0</v>
      </c>
      <c r="J244">
        <v>0</v>
      </c>
      <c r="K244" t="s">
        <v>41</v>
      </c>
    </row>
    <row r="245" spans="1:11" x14ac:dyDescent="0.25">
      <c r="A245" s="374">
        <v>46225</v>
      </c>
      <c r="I245">
        <v>0</v>
      </c>
      <c r="J245">
        <v>0</v>
      </c>
      <c r="K245" t="s">
        <v>41</v>
      </c>
    </row>
    <row r="246" spans="1:11" x14ac:dyDescent="0.25">
      <c r="A246" s="374">
        <v>46225</v>
      </c>
      <c r="I246">
        <v>0</v>
      </c>
      <c r="J246">
        <v>0</v>
      </c>
      <c r="K246" t="s">
        <v>41</v>
      </c>
    </row>
    <row r="247" spans="1:11" x14ac:dyDescent="0.25">
      <c r="A247" s="374">
        <v>46225</v>
      </c>
      <c r="I247">
        <v>0</v>
      </c>
      <c r="J247">
        <v>0</v>
      </c>
      <c r="K247" t="s">
        <v>41</v>
      </c>
    </row>
    <row r="248" spans="1:11" x14ac:dyDescent="0.25">
      <c r="A248" s="374">
        <v>46225</v>
      </c>
      <c r="I248">
        <v>0</v>
      </c>
      <c r="J248">
        <v>0</v>
      </c>
      <c r="K248" t="s">
        <v>41</v>
      </c>
    </row>
    <row r="249" spans="1:11" x14ac:dyDescent="0.25">
      <c r="A249" s="374">
        <v>46225</v>
      </c>
      <c r="I249">
        <v>0</v>
      </c>
      <c r="J249">
        <v>0</v>
      </c>
      <c r="K249" t="s">
        <v>41</v>
      </c>
    </row>
    <row r="250" spans="1:11" x14ac:dyDescent="0.25">
      <c r="A250" s="374">
        <v>46226</v>
      </c>
      <c r="B250" t="s">
        <v>9</v>
      </c>
      <c r="C250" t="s">
        <v>177</v>
      </c>
      <c r="D250" t="s">
        <v>178</v>
      </c>
      <c r="E250">
        <v>4.375</v>
      </c>
      <c r="F250">
        <v>12.5</v>
      </c>
      <c r="G250">
        <v>12.5</v>
      </c>
      <c r="H250">
        <v>0.5</v>
      </c>
      <c r="I250">
        <v>0.99999999999997868</v>
      </c>
      <c r="J250">
        <v>1.499999999999968</v>
      </c>
      <c r="K250">
        <v>-4.4999999999999929</v>
      </c>
    </row>
    <row r="251" spans="1:11" x14ac:dyDescent="0.25">
      <c r="A251" s="374">
        <v>46226</v>
      </c>
      <c r="B251" t="s">
        <v>10</v>
      </c>
      <c r="C251" t="s">
        <v>178</v>
      </c>
      <c r="D251" t="s">
        <v>179</v>
      </c>
      <c r="E251">
        <v>4.5</v>
      </c>
      <c r="F251">
        <v>12.5</v>
      </c>
      <c r="G251">
        <v>25</v>
      </c>
      <c r="H251">
        <v>1</v>
      </c>
      <c r="I251">
        <v>1.9999999999999574</v>
      </c>
      <c r="J251">
        <v>3.0000000000000249</v>
      </c>
      <c r="K251">
        <v>-3.8000000000000256</v>
      </c>
    </row>
    <row r="252" spans="1:11" x14ac:dyDescent="0.25">
      <c r="A252" s="374">
        <v>46226</v>
      </c>
      <c r="B252" t="s">
        <v>12</v>
      </c>
      <c r="C252" t="s">
        <v>179</v>
      </c>
      <c r="D252" t="s">
        <v>180</v>
      </c>
      <c r="E252">
        <v>4.5525000000000002</v>
      </c>
      <c r="F252">
        <v>5.2500000000000213</v>
      </c>
      <c r="G252">
        <v>30.250000000000021</v>
      </c>
      <c r="H252">
        <v>1.2100000000000009</v>
      </c>
      <c r="I252">
        <v>2.7499999999999858</v>
      </c>
      <c r="J252">
        <v>4.2500000000000426</v>
      </c>
      <c r="K252">
        <v>-5.0499999999999545</v>
      </c>
    </row>
    <row r="253" spans="1:11" x14ac:dyDescent="0.25">
      <c r="A253" s="374">
        <v>46226</v>
      </c>
      <c r="B253" t="s">
        <v>13</v>
      </c>
      <c r="C253" t="s">
        <v>180</v>
      </c>
      <c r="D253" t="s">
        <v>194</v>
      </c>
      <c r="E253">
        <v>4.59</v>
      </c>
      <c r="F253">
        <v>3.7499999999999645</v>
      </c>
      <c r="G253">
        <v>33.999999999999986</v>
      </c>
      <c r="H253">
        <v>1.3599999999999994</v>
      </c>
      <c r="I253">
        <v>4.0000000000000036</v>
      </c>
      <c r="J253">
        <v>5.9999999999999609</v>
      </c>
      <c r="K253" t="s">
        <v>41</v>
      </c>
    </row>
    <row r="254" spans="1:11" x14ac:dyDescent="0.25">
      <c r="A254" s="374">
        <v>46226</v>
      </c>
      <c r="B254" t="s">
        <v>28</v>
      </c>
      <c r="C254" t="s">
        <v>194</v>
      </c>
      <c r="D254" t="s">
        <v>195</v>
      </c>
      <c r="E254">
        <v>4.625</v>
      </c>
      <c r="F254">
        <v>3.5000000000000142</v>
      </c>
      <c r="G254">
        <v>37.5</v>
      </c>
      <c r="H254">
        <v>1.5</v>
      </c>
      <c r="I254">
        <v>5.4999999999999716</v>
      </c>
      <c r="J254">
        <v>8.0000000000000071</v>
      </c>
      <c r="K254" t="s">
        <v>41</v>
      </c>
    </row>
    <row r="255" spans="1:11" x14ac:dyDescent="0.25">
      <c r="A255" s="374">
        <v>46226</v>
      </c>
      <c r="B255" t="s">
        <v>15</v>
      </c>
      <c r="C255" t="s">
        <v>195</v>
      </c>
      <c r="D255" t="s">
        <v>148</v>
      </c>
      <c r="E255">
        <v>4.6425000000000001</v>
      </c>
      <c r="F255">
        <v>1.7500000000000071</v>
      </c>
      <c r="G255">
        <v>39.250000000000007</v>
      </c>
      <c r="H255">
        <v>1.5700000000000003</v>
      </c>
      <c r="I255">
        <v>6.0000000000000497</v>
      </c>
      <c r="J255">
        <v>8.0000000000000071</v>
      </c>
      <c r="K255" t="s">
        <v>41</v>
      </c>
    </row>
    <row r="256" spans="1:11" x14ac:dyDescent="0.25">
      <c r="A256" s="374">
        <v>46226</v>
      </c>
      <c r="I256">
        <v>0</v>
      </c>
      <c r="J256">
        <v>0</v>
      </c>
      <c r="K256" t="s">
        <v>41</v>
      </c>
    </row>
    <row r="257" spans="1:11" x14ac:dyDescent="0.25">
      <c r="A257" s="374">
        <v>46226</v>
      </c>
      <c r="I257">
        <v>0</v>
      </c>
      <c r="J257">
        <v>0</v>
      </c>
      <c r="K257" t="s">
        <v>41</v>
      </c>
    </row>
    <row r="258" spans="1:11" x14ac:dyDescent="0.25">
      <c r="A258" s="374">
        <v>46226</v>
      </c>
      <c r="I258">
        <v>0</v>
      </c>
      <c r="J258">
        <v>0</v>
      </c>
      <c r="K258" t="s">
        <v>41</v>
      </c>
    </row>
    <row r="259" spans="1:11" x14ac:dyDescent="0.25">
      <c r="A259" s="374">
        <v>46226</v>
      </c>
      <c r="I259">
        <v>0</v>
      </c>
      <c r="J259">
        <v>0</v>
      </c>
      <c r="K259" t="s">
        <v>41</v>
      </c>
    </row>
    <row r="260" spans="1:11" x14ac:dyDescent="0.25">
      <c r="A260" s="374">
        <v>46226</v>
      </c>
      <c r="I260">
        <v>0</v>
      </c>
      <c r="J260">
        <v>0</v>
      </c>
      <c r="K260" t="s">
        <v>41</v>
      </c>
    </row>
    <row r="261" spans="1:11" x14ac:dyDescent="0.25">
      <c r="A261" s="374">
        <v>46226</v>
      </c>
      <c r="I261">
        <v>0</v>
      </c>
      <c r="J261">
        <v>0</v>
      </c>
      <c r="K261" t="s">
        <v>41</v>
      </c>
    </row>
    <row r="262" spans="1:11" x14ac:dyDescent="0.25">
      <c r="A262" s="374">
        <v>46227</v>
      </c>
      <c r="B262" t="s">
        <v>9</v>
      </c>
      <c r="C262" t="s">
        <v>177</v>
      </c>
      <c r="D262" t="s">
        <v>178</v>
      </c>
      <c r="E262">
        <v>4.375</v>
      </c>
      <c r="F262">
        <v>12.5</v>
      </c>
      <c r="G262">
        <v>12.5</v>
      </c>
      <c r="H262">
        <v>0.5</v>
      </c>
      <c r="I262">
        <v>0</v>
      </c>
      <c r="J262">
        <v>1.9999999999999574</v>
      </c>
      <c r="K262">
        <v>-4.0000000000000036</v>
      </c>
    </row>
    <row r="263" spans="1:11" x14ac:dyDescent="0.25">
      <c r="A263" s="374">
        <v>46227</v>
      </c>
      <c r="B263" t="s">
        <v>10</v>
      </c>
      <c r="C263" t="s">
        <v>178</v>
      </c>
      <c r="D263" t="s">
        <v>179</v>
      </c>
      <c r="E263">
        <v>4.5049999999999999</v>
      </c>
      <c r="F263">
        <v>12.999999999999989</v>
      </c>
      <c r="G263">
        <v>25.499999999999989</v>
      </c>
      <c r="H263">
        <v>1.0199999999999996</v>
      </c>
      <c r="I263">
        <v>0.49999999999998934</v>
      </c>
      <c r="J263">
        <v>3.5000000000000142</v>
      </c>
      <c r="K263">
        <v>-3.3000000000000362</v>
      </c>
    </row>
    <row r="264" spans="1:11" x14ac:dyDescent="0.25">
      <c r="A264" s="374">
        <v>46227</v>
      </c>
      <c r="B264" t="s">
        <v>12</v>
      </c>
      <c r="C264" t="s">
        <v>179</v>
      </c>
      <c r="D264" t="s">
        <v>180</v>
      </c>
      <c r="E264">
        <v>4.5625</v>
      </c>
      <c r="F264">
        <v>5.7500000000000107</v>
      </c>
      <c r="G264">
        <v>31.25</v>
      </c>
      <c r="H264">
        <v>1.25</v>
      </c>
      <c r="I264">
        <v>0.99999999999997868</v>
      </c>
      <c r="J264">
        <v>5.7500000000000107</v>
      </c>
      <c r="K264">
        <v>-4.0499999999999758</v>
      </c>
    </row>
    <row r="265" spans="1:11" x14ac:dyDescent="0.25">
      <c r="A265" s="374">
        <v>46227</v>
      </c>
      <c r="B265" t="s">
        <v>13</v>
      </c>
      <c r="C265" t="s">
        <v>180</v>
      </c>
      <c r="D265" t="s">
        <v>194</v>
      </c>
      <c r="E265">
        <v>4.5999999999999996</v>
      </c>
      <c r="F265">
        <v>3.7499999999999645</v>
      </c>
      <c r="G265">
        <v>34.999999999999964</v>
      </c>
      <c r="H265">
        <v>1.3999999999999986</v>
      </c>
      <c r="I265">
        <v>0.99999999999997868</v>
      </c>
      <c r="J265">
        <v>8.0000000000000071</v>
      </c>
      <c r="K265" t="s">
        <v>41</v>
      </c>
    </row>
    <row r="266" spans="1:11" x14ac:dyDescent="0.25">
      <c r="A266" s="374">
        <v>46227</v>
      </c>
      <c r="B266" t="s">
        <v>28</v>
      </c>
      <c r="C266" t="s">
        <v>194</v>
      </c>
      <c r="D266" t="s">
        <v>195</v>
      </c>
      <c r="E266">
        <v>4.6349999999999998</v>
      </c>
      <c r="F266">
        <v>3.5000000000000142</v>
      </c>
      <c r="G266">
        <v>38.499999999999979</v>
      </c>
      <c r="H266">
        <v>1.5399999999999991</v>
      </c>
      <c r="I266">
        <v>0.99999999999997868</v>
      </c>
      <c r="J266">
        <v>10.999999999999943</v>
      </c>
      <c r="K266" t="s">
        <v>41</v>
      </c>
    </row>
    <row r="267" spans="1:11" x14ac:dyDescent="0.25">
      <c r="A267" s="374">
        <v>46227</v>
      </c>
      <c r="B267" t="s">
        <v>15</v>
      </c>
      <c r="C267" t="s">
        <v>195</v>
      </c>
      <c r="D267" t="s">
        <v>148</v>
      </c>
      <c r="E267">
        <v>4.6550000000000002</v>
      </c>
      <c r="F267">
        <v>2.0000000000000462</v>
      </c>
      <c r="G267">
        <v>40.500000000000028</v>
      </c>
      <c r="H267">
        <v>1.6200000000000012</v>
      </c>
      <c r="I267">
        <v>1.2500000000000178</v>
      </c>
      <c r="J267">
        <v>13.250000000000028</v>
      </c>
      <c r="K267" t="s">
        <v>41</v>
      </c>
    </row>
    <row r="268" spans="1:11" x14ac:dyDescent="0.25">
      <c r="A268" s="374">
        <v>46227</v>
      </c>
      <c r="I268">
        <v>0</v>
      </c>
      <c r="J268">
        <v>0</v>
      </c>
      <c r="K268" t="s">
        <v>41</v>
      </c>
    </row>
    <row r="269" spans="1:11" x14ac:dyDescent="0.25">
      <c r="A269" s="374">
        <v>46227</v>
      </c>
      <c r="I269">
        <v>0</v>
      </c>
      <c r="J269">
        <v>0</v>
      </c>
      <c r="K269" t="s">
        <v>41</v>
      </c>
    </row>
    <row r="270" spans="1:11" x14ac:dyDescent="0.25">
      <c r="A270" s="374">
        <v>46227</v>
      </c>
      <c r="I270">
        <v>0</v>
      </c>
      <c r="J270">
        <v>0</v>
      </c>
      <c r="K270" t="s">
        <v>41</v>
      </c>
    </row>
    <row r="271" spans="1:11" x14ac:dyDescent="0.25">
      <c r="A271" s="374">
        <v>46227</v>
      </c>
      <c r="I271">
        <v>0</v>
      </c>
      <c r="J271">
        <v>0</v>
      </c>
      <c r="K271" t="s">
        <v>41</v>
      </c>
    </row>
    <row r="272" spans="1:11" x14ac:dyDescent="0.25">
      <c r="A272" s="374">
        <v>46227</v>
      </c>
      <c r="I272">
        <v>0</v>
      </c>
      <c r="J272">
        <v>0</v>
      </c>
      <c r="K272" t="s">
        <v>41</v>
      </c>
    </row>
    <row r="273" spans="1:11" x14ac:dyDescent="0.25">
      <c r="A273" s="374">
        <v>46227</v>
      </c>
      <c r="I273">
        <v>0</v>
      </c>
      <c r="J273">
        <v>0</v>
      </c>
      <c r="K273" t="s">
        <v>41</v>
      </c>
    </row>
    <row r="274" spans="1:11" x14ac:dyDescent="0.25">
      <c r="A274" s="374">
        <v>46230</v>
      </c>
      <c r="B274" t="s">
        <v>9</v>
      </c>
      <c r="C274" t="s">
        <v>177</v>
      </c>
      <c r="D274" t="s">
        <v>178</v>
      </c>
      <c r="E274">
        <v>4.37</v>
      </c>
      <c r="F274">
        <v>12.000000000000011</v>
      </c>
      <c r="G274">
        <v>12.000000000000011</v>
      </c>
      <c r="H274">
        <v>0.48000000000000043</v>
      </c>
      <c r="I274">
        <v>-0.49999999999998934</v>
      </c>
      <c r="J274">
        <v>1.499999999999968</v>
      </c>
      <c r="K274">
        <v>-4.4999999999999929</v>
      </c>
    </row>
    <row r="275" spans="1:11" x14ac:dyDescent="0.25">
      <c r="A275" s="374">
        <v>46230</v>
      </c>
      <c r="B275" t="s">
        <v>10</v>
      </c>
      <c r="C275" t="s">
        <v>178</v>
      </c>
      <c r="D275" t="s">
        <v>179</v>
      </c>
      <c r="E275">
        <v>4.49</v>
      </c>
      <c r="F275">
        <v>12.000000000000011</v>
      </c>
      <c r="G275">
        <v>24.000000000000021</v>
      </c>
      <c r="H275">
        <v>0.96000000000000085</v>
      </c>
      <c r="I275">
        <v>-1.499999999999968</v>
      </c>
      <c r="J275">
        <v>2.5000000000000355</v>
      </c>
      <c r="K275">
        <v>-4.8000000000000043</v>
      </c>
    </row>
    <row r="276" spans="1:11" x14ac:dyDescent="0.25">
      <c r="A276" s="374">
        <v>46230</v>
      </c>
      <c r="B276" t="s">
        <v>12</v>
      </c>
      <c r="C276" t="s">
        <v>179</v>
      </c>
      <c r="D276" t="s">
        <v>180</v>
      </c>
      <c r="E276">
        <v>4.5425000000000004</v>
      </c>
      <c r="F276">
        <v>5.2500000000000213</v>
      </c>
      <c r="G276">
        <v>29.250000000000043</v>
      </c>
      <c r="H276">
        <v>1.1700000000000017</v>
      </c>
      <c r="I276">
        <v>-1.9999999999999574</v>
      </c>
      <c r="J276">
        <v>3.7500000000000533</v>
      </c>
      <c r="K276">
        <v>-6.0499999999999332</v>
      </c>
    </row>
    <row r="277" spans="1:11" x14ac:dyDescent="0.25">
      <c r="A277" s="374">
        <v>46230</v>
      </c>
      <c r="B277" t="s">
        <v>13</v>
      </c>
      <c r="C277" t="s">
        <v>180</v>
      </c>
      <c r="D277" t="s">
        <v>194</v>
      </c>
      <c r="E277">
        <v>4.57</v>
      </c>
      <c r="F277">
        <v>2.7499999999999858</v>
      </c>
      <c r="G277">
        <v>32.000000000000028</v>
      </c>
      <c r="H277">
        <v>1.2800000000000011</v>
      </c>
      <c r="I277">
        <v>-2.9999999999999361</v>
      </c>
      <c r="J277">
        <v>4.4999999999999929</v>
      </c>
      <c r="K277" t="s">
        <v>41</v>
      </c>
    </row>
    <row r="278" spans="1:11" x14ac:dyDescent="0.25">
      <c r="A278" s="374">
        <v>46230</v>
      </c>
      <c r="B278" t="s">
        <v>28</v>
      </c>
      <c r="C278" t="s">
        <v>194</v>
      </c>
      <c r="D278" t="s">
        <v>195</v>
      </c>
      <c r="E278">
        <v>4.5949999999999998</v>
      </c>
      <c r="F278">
        <v>2.4999999999999467</v>
      </c>
      <c r="G278">
        <v>34.499999999999972</v>
      </c>
      <c r="H278">
        <v>1.3799999999999988</v>
      </c>
      <c r="I278">
        <v>-4.0000000000000036</v>
      </c>
      <c r="J278">
        <v>5.4999999999999716</v>
      </c>
      <c r="K278" t="s">
        <v>41</v>
      </c>
    </row>
    <row r="279" spans="1:11" x14ac:dyDescent="0.25">
      <c r="A279" s="374">
        <v>46230</v>
      </c>
      <c r="B279" t="s">
        <v>15</v>
      </c>
      <c r="C279" t="s">
        <v>195</v>
      </c>
      <c r="D279" t="s">
        <v>148</v>
      </c>
      <c r="E279">
        <v>4.6025</v>
      </c>
      <c r="F279">
        <v>0.75000000000002842</v>
      </c>
      <c r="G279">
        <v>35.25</v>
      </c>
      <c r="H279">
        <v>1.41</v>
      </c>
      <c r="I279">
        <v>-5.2500000000000213</v>
      </c>
      <c r="J279">
        <v>5.4999999999999716</v>
      </c>
      <c r="K279" t="s">
        <v>41</v>
      </c>
    </row>
    <row r="280" spans="1:11" x14ac:dyDescent="0.25">
      <c r="A280" s="374">
        <v>46230</v>
      </c>
      <c r="I280">
        <v>0</v>
      </c>
      <c r="J280">
        <v>0</v>
      </c>
      <c r="K280" t="s">
        <v>41</v>
      </c>
    </row>
    <row r="281" spans="1:11" x14ac:dyDescent="0.25">
      <c r="A281" s="374">
        <v>46230</v>
      </c>
      <c r="I281">
        <v>0</v>
      </c>
      <c r="J281">
        <v>0</v>
      </c>
      <c r="K281" t="s">
        <v>41</v>
      </c>
    </row>
    <row r="282" spans="1:11" x14ac:dyDescent="0.25">
      <c r="A282" s="374">
        <v>46230</v>
      </c>
      <c r="I282">
        <v>0</v>
      </c>
      <c r="J282">
        <v>0</v>
      </c>
      <c r="K282" t="s">
        <v>41</v>
      </c>
    </row>
    <row r="283" spans="1:11" x14ac:dyDescent="0.25">
      <c r="A283" s="374">
        <v>46230</v>
      </c>
      <c r="I283">
        <v>0</v>
      </c>
      <c r="J283">
        <v>0</v>
      </c>
      <c r="K283" t="s">
        <v>41</v>
      </c>
    </row>
    <row r="284" spans="1:11" x14ac:dyDescent="0.25">
      <c r="A284" s="374">
        <v>46230</v>
      </c>
      <c r="I284">
        <v>0</v>
      </c>
      <c r="J284">
        <v>0</v>
      </c>
      <c r="K284" t="s">
        <v>41</v>
      </c>
    </row>
    <row r="285" spans="1:11" x14ac:dyDescent="0.25">
      <c r="A285" s="374">
        <v>46230</v>
      </c>
      <c r="I285">
        <v>0</v>
      </c>
      <c r="J285">
        <v>0</v>
      </c>
      <c r="K285" t="s">
        <v>41</v>
      </c>
    </row>
    <row r="286" spans="1:11" x14ac:dyDescent="0.25">
      <c r="A286" s="374">
        <v>46231</v>
      </c>
      <c r="B286" t="s">
        <v>9</v>
      </c>
      <c r="C286" t="s">
        <v>177</v>
      </c>
      <c r="D286" t="s">
        <v>178</v>
      </c>
      <c r="E286">
        <v>4.3650000000000002</v>
      </c>
      <c r="F286">
        <v>11.500000000000021</v>
      </c>
      <c r="G286">
        <v>11.500000000000021</v>
      </c>
      <c r="H286">
        <v>0.46000000000000085</v>
      </c>
      <c r="I286">
        <v>-0.49999999999998934</v>
      </c>
      <c r="J286">
        <v>0.49999999999998934</v>
      </c>
      <c r="K286">
        <v>-4.4999999999999929</v>
      </c>
    </row>
    <row r="287" spans="1:11" x14ac:dyDescent="0.25">
      <c r="A287" s="374">
        <v>46231</v>
      </c>
      <c r="B287" t="s">
        <v>10</v>
      </c>
      <c r="C287" t="s">
        <v>178</v>
      </c>
      <c r="D287" t="s">
        <v>179</v>
      </c>
      <c r="E287">
        <v>4.4850000000000003</v>
      </c>
      <c r="F287">
        <v>12.000000000000011</v>
      </c>
      <c r="G287">
        <v>23.500000000000032</v>
      </c>
      <c r="H287">
        <v>0.94000000000000128</v>
      </c>
      <c r="I287">
        <v>-0.49999999999998934</v>
      </c>
      <c r="J287">
        <v>1.5000000000000568</v>
      </c>
      <c r="K287">
        <v>-5.2999999999999936</v>
      </c>
    </row>
    <row r="288" spans="1:11" x14ac:dyDescent="0.25">
      <c r="A288" s="374">
        <v>46231</v>
      </c>
      <c r="B288" t="s">
        <v>12</v>
      </c>
      <c r="C288" t="s">
        <v>179</v>
      </c>
      <c r="D288" t="s">
        <v>180</v>
      </c>
      <c r="E288">
        <v>4.5324999999999998</v>
      </c>
      <c r="F288">
        <v>4.7499999999999432</v>
      </c>
      <c r="G288">
        <v>28.249999999999975</v>
      </c>
      <c r="H288">
        <v>1.129999999999999</v>
      </c>
      <c r="I288">
        <v>-1.0000000000000675</v>
      </c>
      <c r="J288">
        <v>2.2499999999999964</v>
      </c>
      <c r="K288">
        <v>-7.0500000000000007</v>
      </c>
    </row>
    <row r="289" spans="1:11" x14ac:dyDescent="0.25">
      <c r="A289" s="374">
        <v>46231</v>
      </c>
      <c r="B289" t="s">
        <v>13</v>
      </c>
      <c r="C289" t="s">
        <v>180</v>
      </c>
      <c r="D289" t="s">
        <v>194</v>
      </c>
      <c r="E289">
        <v>4.5549999999999997</v>
      </c>
      <c r="F289">
        <v>2.2499999999999964</v>
      </c>
      <c r="G289">
        <v>30.499999999999972</v>
      </c>
      <c r="H289">
        <v>1.2199999999999989</v>
      </c>
      <c r="I289">
        <v>-1.5000000000000568</v>
      </c>
      <c r="J289">
        <v>1.499999999999968</v>
      </c>
      <c r="K289" t="s">
        <v>41</v>
      </c>
    </row>
    <row r="290" spans="1:11" x14ac:dyDescent="0.25">
      <c r="A290" s="374">
        <v>46231</v>
      </c>
      <c r="B290" t="s">
        <v>28</v>
      </c>
      <c r="C290" t="s">
        <v>194</v>
      </c>
      <c r="D290" t="s">
        <v>195</v>
      </c>
      <c r="E290">
        <v>4.5750000000000002</v>
      </c>
      <c r="F290">
        <v>2.0000000000000462</v>
      </c>
      <c r="G290">
        <v>32.500000000000014</v>
      </c>
      <c r="H290">
        <v>1.3000000000000005</v>
      </c>
      <c r="I290">
        <v>-1.9999999999999574</v>
      </c>
      <c r="J290">
        <v>2.0000000000000462</v>
      </c>
      <c r="K290" t="s">
        <v>41</v>
      </c>
    </row>
    <row r="291" spans="1:11" x14ac:dyDescent="0.25">
      <c r="A291" s="374">
        <v>46231</v>
      </c>
      <c r="B291" t="s">
        <v>15</v>
      </c>
      <c r="C291" t="s">
        <v>195</v>
      </c>
      <c r="D291" t="s">
        <v>148</v>
      </c>
      <c r="E291">
        <v>4.5875000000000004</v>
      </c>
      <c r="F291">
        <v>1.2500000000000178</v>
      </c>
      <c r="G291">
        <v>33.750000000000036</v>
      </c>
      <c r="H291">
        <v>1.3500000000000014</v>
      </c>
      <c r="I291">
        <v>-1.499999999999968</v>
      </c>
      <c r="J291">
        <v>2.5000000000000355</v>
      </c>
      <c r="K291" t="s">
        <v>41</v>
      </c>
    </row>
    <row r="292" spans="1:11" x14ac:dyDescent="0.25">
      <c r="A292" s="374">
        <v>46231</v>
      </c>
      <c r="I292">
        <v>0</v>
      </c>
      <c r="J292">
        <v>0</v>
      </c>
      <c r="K292" t="s">
        <v>41</v>
      </c>
    </row>
    <row r="293" spans="1:11" x14ac:dyDescent="0.25">
      <c r="A293" s="374">
        <v>46231</v>
      </c>
      <c r="I293">
        <v>0</v>
      </c>
      <c r="J293">
        <v>0</v>
      </c>
      <c r="K293" t="s">
        <v>41</v>
      </c>
    </row>
    <row r="294" spans="1:11" x14ac:dyDescent="0.25">
      <c r="A294" s="374">
        <v>46231</v>
      </c>
      <c r="I294">
        <v>0</v>
      </c>
      <c r="J294">
        <v>0</v>
      </c>
      <c r="K294" t="s">
        <v>41</v>
      </c>
    </row>
    <row r="295" spans="1:11" x14ac:dyDescent="0.25">
      <c r="A295" s="374">
        <v>46231</v>
      </c>
      <c r="I295">
        <v>0</v>
      </c>
      <c r="J295">
        <v>0</v>
      </c>
      <c r="K295" t="s">
        <v>41</v>
      </c>
    </row>
    <row r="296" spans="1:11" x14ac:dyDescent="0.25">
      <c r="A296" s="374">
        <v>46231</v>
      </c>
      <c r="I296">
        <v>0</v>
      </c>
      <c r="J296">
        <v>0</v>
      </c>
      <c r="K296" t="s">
        <v>41</v>
      </c>
    </row>
    <row r="297" spans="1:11" x14ac:dyDescent="0.25">
      <c r="A297" s="374">
        <v>46231</v>
      </c>
      <c r="I297">
        <v>0</v>
      </c>
      <c r="J297">
        <v>0</v>
      </c>
      <c r="K297" t="s">
        <v>41</v>
      </c>
    </row>
    <row r="298" spans="1:11" x14ac:dyDescent="0.25">
      <c r="A298" s="374">
        <v>46232</v>
      </c>
      <c r="B298" t="s">
        <v>9</v>
      </c>
      <c r="C298" t="s">
        <v>177</v>
      </c>
      <c r="D298" t="s">
        <v>178</v>
      </c>
      <c r="E298">
        <v>4.3600000000000003</v>
      </c>
      <c r="F298">
        <v>11.000000000000032</v>
      </c>
      <c r="G298">
        <v>11.000000000000032</v>
      </c>
      <c r="H298">
        <v>0.44000000000000128</v>
      </c>
      <c r="I298">
        <v>-0.49999999999998934</v>
      </c>
      <c r="J298">
        <v>-0.49999999999998934</v>
      </c>
      <c r="K298">
        <v>-5.4999999999999716</v>
      </c>
    </row>
    <row r="299" spans="1:11" x14ac:dyDescent="0.25">
      <c r="A299" s="374">
        <v>46232</v>
      </c>
      <c r="B299" t="s">
        <v>10</v>
      </c>
      <c r="C299" t="s">
        <v>178</v>
      </c>
      <c r="D299" t="s">
        <v>179</v>
      </c>
      <c r="E299">
        <v>4.5</v>
      </c>
      <c r="F299">
        <v>13.999999999999968</v>
      </c>
      <c r="G299">
        <v>25</v>
      </c>
      <c r="H299">
        <v>1</v>
      </c>
      <c r="I299">
        <v>1.499999999999968</v>
      </c>
      <c r="J299">
        <v>1.9999999999999574</v>
      </c>
      <c r="K299">
        <v>0.49999999999998934</v>
      </c>
    </row>
    <row r="300" spans="1:11" x14ac:dyDescent="0.25">
      <c r="A300" s="374">
        <v>46232</v>
      </c>
      <c r="B300" t="s">
        <v>12</v>
      </c>
      <c r="C300" t="s">
        <v>179</v>
      </c>
      <c r="D300" t="s">
        <v>180</v>
      </c>
      <c r="E300">
        <v>4.5525000000000002</v>
      </c>
      <c r="F300">
        <v>5.2500000000000213</v>
      </c>
      <c r="G300">
        <v>30.250000000000021</v>
      </c>
      <c r="H300">
        <v>1.2100000000000009</v>
      </c>
      <c r="I300">
        <v>2.0000000000000462</v>
      </c>
      <c r="J300">
        <v>2.7499999999999858</v>
      </c>
      <c r="K300">
        <v>0.99999999999997868</v>
      </c>
    </row>
    <row r="301" spans="1:11" x14ac:dyDescent="0.25">
      <c r="A301" s="374">
        <v>46232</v>
      </c>
      <c r="B301" t="s">
        <v>13</v>
      </c>
      <c r="C301" t="s">
        <v>180</v>
      </c>
      <c r="D301" t="s">
        <v>194</v>
      </c>
      <c r="E301">
        <v>4.59</v>
      </c>
      <c r="F301">
        <v>3.7499999999999645</v>
      </c>
      <c r="G301">
        <v>33.999999999999986</v>
      </c>
      <c r="H301">
        <v>1.3599999999999994</v>
      </c>
      <c r="I301">
        <v>3.5000000000000142</v>
      </c>
      <c r="J301">
        <v>4.0000000000000036</v>
      </c>
      <c r="K301">
        <v>3.0000000000000249</v>
      </c>
    </row>
    <row r="302" spans="1:11" x14ac:dyDescent="0.25">
      <c r="A302" s="374">
        <v>46232</v>
      </c>
      <c r="B302" t="s">
        <v>28</v>
      </c>
      <c r="C302" t="s">
        <v>194</v>
      </c>
      <c r="D302" t="s">
        <v>195</v>
      </c>
      <c r="E302">
        <v>4.6150000000000002</v>
      </c>
      <c r="F302">
        <v>2.5000000000000355</v>
      </c>
      <c r="G302">
        <v>36.500000000000021</v>
      </c>
      <c r="H302">
        <v>1.4600000000000009</v>
      </c>
      <c r="I302">
        <v>4.0000000000000036</v>
      </c>
      <c r="J302">
        <v>4.4999999999999929</v>
      </c>
      <c r="K302">
        <v>5.5000000000000604</v>
      </c>
    </row>
    <row r="303" spans="1:11" x14ac:dyDescent="0.25">
      <c r="A303" s="374">
        <v>46232</v>
      </c>
      <c r="B303" t="s">
        <v>15</v>
      </c>
      <c r="C303" t="s">
        <v>195</v>
      </c>
      <c r="D303" t="s">
        <v>148</v>
      </c>
      <c r="E303">
        <v>4.6224999999999996</v>
      </c>
      <c r="F303">
        <v>0.7499999999999396</v>
      </c>
      <c r="G303">
        <v>37.249999999999957</v>
      </c>
      <c r="H303">
        <v>1.4899999999999982</v>
      </c>
      <c r="I303">
        <v>3.4999999999999254</v>
      </c>
      <c r="J303">
        <v>4.0000000000000036</v>
      </c>
      <c r="K303">
        <v>9.4999999999999751</v>
      </c>
    </row>
    <row r="304" spans="1:11" x14ac:dyDescent="0.25">
      <c r="A304" s="374">
        <v>46232</v>
      </c>
      <c r="I304">
        <v>0</v>
      </c>
      <c r="J304">
        <v>0</v>
      </c>
      <c r="K304">
        <v>0</v>
      </c>
    </row>
    <row r="305" spans="1:11" x14ac:dyDescent="0.25">
      <c r="A305" s="374">
        <v>46232</v>
      </c>
      <c r="I305">
        <v>0</v>
      </c>
      <c r="J305">
        <v>0</v>
      </c>
      <c r="K305">
        <v>0</v>
      </c>
    </row>
    <row r="306" spans="1:11" x14ac:dyDescent="0.25">
      <c r="A306" s="374">
        <v>46232</v>
      </c>
      <c r="I306">
        <v>0</v>
      </c>
      <c r="J306">
        <v>0</v>
      </c>
      <c r="K306">
        <v>0</v>
      </c>
    </row>
    <row r="307" spans="1:11" x14ac:dyDescent="0.25">
      <c r="A307" s="374">
        <v>46232</v>
      </c>
      <c r="I307">
        <v>0</v>
      </c>
      <c r="J307">
        <v>0</v>
      </c>
      <c r="K307">
        <v>0</v>
      </c>
    </row>
    <row r="308" spans="1:11" x14ac:dyDescent="0.25">
      <c r="A308" s="374">
        <v>46232</v>
      </c>
      <c r="I308">
        <v>0</v>
      </c>
      <c r="J308">
        <v>0</v>
      </c>
      <c r="K308">
        <v>0</v>
      </c>
    </row>
    <row r="309" spans="1:11" x14ac:dyDescent="0.25">
      <c r="A309" s="374">
        <v>46232</v>
      </c>
      <c r="I309">
        <v>0</v>
      </c>
      <c r="J309">
        <v>0</v>
      </c>
      <c r="K309">
        <v>0</v>
      </c>
    </row>
    <row r="310" spans="1:11" x14ac:dyDescent="0.25">
      <c r="A310" s="374">
        <v>46233</v>
      </c>
      <c r="B310" t="s">
        <v>9</v>
      </c>
      <c r="C310" t="s">
        <v>177</v>
      </c>
      <c r="D310" t="s">
        <v>178</v>
      </c>
      <c r="E310">
        <v>4.3600000000000003</v>
      </c>
      <c r="F310">
        <v>11.000000000000032</v>
      </c>
      <c r="G310">
        <v>11.000000000000032</v>
      </c>
      <c r="H310">
        <v>0.44000000000000128</v>
      </c>
      <c r="I310">
        <v>0</v>
      </c>
      <c r="J310">
        <v>-1.499999999999968</v>
      </c>
      <c r="K310">
        <v>-4.9999999999999822</v>
      </c>
    </row>
    <row r="311" spans="1:11" x14ac:dyDescent="0.25">
      <c r="A311" s="374">
        <v>46233</v>
      </c>
      <c r="B311" t="s">
        <v>10</v>
      </c>
      <c r="C311" t="s">
        <v>178</v>
      </c>
      <c r="D311" t="s">
        <v>179</v>
      </c>
      <c r="E311">
        <v>4.5</v>
      </c>
      <c r="F311">
        <v>13.999999999999968</v>
      </c>
      <c r="G311">
        <v>25</v>
      </c>
      <c r="H311">
        <v>1</v>
      </c>
      <c r="I311">
        <v>0</v>
      </c>
      <c r="J311">
        <v>0</v>
      </c>
      <c r="K311">
        <v>0.49999999999998934</v>
      </c>
    </row>
    <row r="312" spans="1:11" x14ac:dyDescent="0.25">
      <c r="A312" s="374">
        <v>46233</v>
      </c>
      <c r="B312" t="s">
        <v>12</v>
      </c>
      <c r="C312" t="s">
        <v>179</v>
      </c>
      <c r="D312" t="s">
        <v>180</v>
      </c>
      <c r="E312">
        <v>4.5525000000000002</v>
      </c>
      <c r="F312">
        <v>5.2500000000000213</v>
      </c>
      <c r="G312">
        <v>30.250000000000021</v>
      </c>
      <c r="H312">
        <v>1.2100000000000009</v>
      </c>
      <c r="I312">
        <v>0</v>
      </c>
      <c r="J312">
        <v>0</v>
      </c>
      <c r="K312">
        <v>0.49999999999998934</v>
      </c>
    </row>
    <row r="313" spans="1:11" x14ac:dyDescent="0.25">
      <c r="A313" s="374">
        <v>46233</v>
      </c>
      <c r="B313" t="s">
        <v>13</v>
      </c>
      <c r="C313" t="s">
        <v>180</v>
      </c>
      <c r="D313" t="s">
        <v>194</v>
      </c>
      <c r="E313">
        <v>4.59</v>
      </c>
      <c r="F313">
        <v>3.7499999999999645</v>
      </c>
      <c r="G313">
        <v>33.999999999999986</v>
      </c>
      <c r="H313">
        <v>1.3599999999999994</v>
      </c>
      <c r="I313">
        <v>0</v>
      </c>
      <c r="J313">
        <v>0</v>
      </c>
      <c r="K313">
        <v>0.99999999999997868</v>
      </c>
    </row>
    <row r="314" spans="1:11" x14ac:dyDescent="0.25">
      <c r="A314" s="374">
        <v>46233</v>
      </c>
      <c r="B314" t="s">
        <v>28</v>
      </c>
      <c r="C314" t="s">
        <v>194</v>
      </c>
      <c r="D314" t="s">
        <v>195</v>
      </c>
      <c r="E314">
        <v>4.6150000000000002</v>
      </c>
      <c r="F314">
        <v>2.5000000000000355</v>
      </c>
      <c r="G314">
        <v>36.500000000000021</v>
      </c>
      <c r="H314">
        <v>1.4600000000000009</v>
      </c>
      <c r="I314">
        <v>0</v>
      </c>
      <c r="J314">
        <v>-0.99999999999997868</v>
      </c>
      <c r="K314">
        <v>3.0000000000000249</v>
      </c>
    </row>
    <row r="315" spans="1:11" x14ac:dyDescent="0.25">
      <c r="A315" s="374">
        <v>46233</v>
      </c>
      <c r="B315" t="s">
        <v>15</v>
      </c>
      <c r="C315" t="s">
        <v>195</v>
      </c>
      <c r="D315" t="s">
        <v>148</v>
      </c>
      <c r="E315">
        <v>4.6224999999999996</v>
      </c>
      <c r="F315">
        <v>0.7499999999999396</v>
      </c>
      <c r="G315">
        <v>37.249999999999957</v>
      </c>
      <c r="H315">
        <v>1.4899999999999982</v>
      </c>
      <c r="I315">
        <v>0</v>
      </c>
      <c r="J315">
        <v>-2.0000000000000462</v>
      </c>
      <c r="K315">
        <v>6.4999999999999503</v>
      </c>
    </row>
    <row r="316" spans="1:11" x14ac:dyDescent="0.25">
      <c r="A316" s="374">
        <v>46233</v>
      </c>
      <c r="I316">
        <v>0</v>
      </c>
      <c r="J316">
        <v>0</v>
      </c>
      <c r="K316">
        <v>0</v>
      </c>
    </row>
    <row r="317" spans="1:11" x14ac:dyDescent="0.25">
      <c r="A317" s="374">
        <v>46233</v>
      </c>
      <c r="I317">
        <v>0</v>
      </c>
      <c r="J317">
        <v>0</v>
      </c>
      <c r="K317">
        <v>0</v>
      </c>
    </row>
    <row r="318" spans="1:11" x14ac:dyDescent="0.25">
      <c r="A318" s="374">
        <v>46233</v>
      </c>
      <c r="I318">
        <v>0</v>
      </c>
      <c r="J318">
        <v>0</v>
      </c>
      <c r="K318">
        <v>0</v>
      </c>
    </row>
    <row r="319" spans="1:11" x14ac:dyDescent="0.25">
      <c r="A319" s="374">
        <v>46233</v>
      </c>
      <c r="I319">
        <v>0</v>
      </c>
      <c r="J319">
        <v>0</v>
      </c>
      <c r="K319">
        <v>0</v>
      </c>
    </row>
    <row r="320" spans="1:11" x14ac:dyDescent="0.25">
      <c r="A320" s="374">
        <v>46233</v>
      </c>
      <c r="I320">
        <v>0</v>
      </c>
      <c r="J320">
        <v>0</v>
      </c>
      <c r="K320">
        <v>0</v>
      </c>
    </row>
    <row r="321" spans="1:11" x14ac:dyDescent="0.25">
      <c r="A321" s="374">
        <v>46233</v>
      </c>
      <c r="I321">
        <v>0</v>
      </c>
      <c r="J321">
        <v>0</v>
      </c>
      <c r="K321">
        <v>0</v>
      </c>
    </row>
    <row r="322" spans="1:11" x14ac:dyDescent="0.25">
      <c r="A322" s="374">
        <v>46234</v>
      </c>
      <c r="B322" t="s">
        <v>9</v>
      </c>
      <c r="C322" t="s">
        <v>177</v>
      </c>
      <c r="D322" t="s">
        <v>178</v>
      </c>
      <c r="E322">
        <v>4.3550000000000004</v>
      </c>
      <c r="F322">
        <v>10.500000000000043</v>
      </c>
      <c r="G322">
        <v>10.500000000000043</v>
      </c>
      <c r="H322">
        <v>0.42000000000000171</v>
      </c>
      <c r="I322">
        <v>-0.49999999999998934</v>
      </c>
      <c r="J322">
        <v>-1.9999999999999574</v>
      </c>
      <c r="K322">
        <v>-5.4999999999999716</v>
      </c>
    </row>
    <row r="323" spans="1:11" x14ac:dyDescent="0.25">
      <c r="A323" s="374">
        <v>46234</v>
      </c>
      <c r="B323" t="s">
        <v>10</v>
      </c>
      <c r="C323" t="s">
        <v>178</v>
      </c>
      <c r="D323" t="s">
        <v>179</v>
      </c>
      <c r="E323">
        <v>4.49</v>
      </c>
      <c r="F323">
        <v>13.499999999999979</v>
      </c>
      <c r="G323">
        <v>24.000000000000021</v>
      </c>
      <c r="H323">
        <v>0.96000000000000085</v>
      </c>
      <c r="I323">
        <v>-0.99999999999997868</v>
      </c>
      <c r="J323">
        <v>-1.499999999999968</v>
      </c>
      <c r="K323">
        <v>-0.49999999999998934</v>
      </c>
    </row>
    <row r="324" spans="1:11" x14ac:dyDescent="0.25">
      <c r="A324" s="374">
        <v>46234</v>
      </c>
      <c r="B324" t="s">
        <v>12</v>
      </c>
      <c r="C324" t="s">
        <v>179</v>
      </c>
      <c r="D324" t="s">
        <v>180</v>
      </c>
      <c r="E324">
        <v>4.5575000000000001</v>
      </c>
      <c r="F324">
        <v>6.7499999999999893</v>
      </c>
      <c r="G324">
        <v>30.750000000000011</v>
      </c>
      <c r="H324">
        <v>1.2300000000000004</v>
      </c>
      <c r="I324">
        <v>0.49999999999998934</v>
      </c>
      <c r="J324">
        <v>-0.49999999999998934</v>
      </c>
      <c r="K324">
        <v>0.99999999999997868</v>
      </c>
    </row>
    <row r="325" spans="1:11" x14ac:dyDescent="0.25">
      <c r="A325" s="374">
        <v>46234</v>
      </c>
      <c r="B325" t="s">
        <v>13</v>
      </c>
      <c r="C325" t="s">
        <v>180</v>
      </c>
      <c r="D325" t="s">
        <v>194</v>
      </c>
      <c r="E325">
        <v>4.59</v>
      </c>
      <c r="F325">
        <v>3.2499999999999751</v>
      </c>
      <c r="G325">
        <v>33.999999999999986</v>
      </c>
      <c r="H325">
        <v>1.3599999999999994</v>
      </c>
      <c r="I325">
        <v>0</v>
      </c>
      <c r="J325">
        <v>-0.99999999999997868</v>
      </c>
      <c r="K325">
        <v>0.99999999999997868</v>
      </c>
    </row>
    <row r="326" spans="1:11" x14ac:dyDescent="0.25">
      <c r="A326" s="374">
        <v>46234</v>
      </c>
      <c r="B326" t="s">
        <v>28</v>
      </c>
      <c r="C326" t="s">
        <v>194</v>
      </c>
      <c r="D326" t="s">
        <v>195</v>
      </c>
      <c r="E326">
        <v>4.6100000000000003</v>
      </c>
      <c r="F326">
        <v>2.0000000000000462</v>
      </c>
      <c r="G326">
        <v>36.000000000000028</v>
      </c>
      <c r="H326">
        <v>1.4400000000000011</v>
      </c>
      <c r="I326">
        <v>-0.49999999999998934</v>
      </c>
      <c r="J326">
        <v>-2.4999999999999467</v>
      </c>
      <c r="K326">
        <v>2.5000000000000355</v>
      </c>
    </row>
    <row r="327" spans="1:11" x14ac:dyDescent="0.25">
      <c r="A327" s="374">
        <v>46234</v>
      </c>
      <c r="B327" t="s">
        <v>15</v>
      </c>
      <c r="C327" t="s">
        <v>195</v>
      </c>
      <c r="D327" t="s">
        <v>148</v>
      </c>
      <c r="E327">
        <v>4.6224999999999996</v>
      </c>
      <c r="F327">
        <v>1.2499999999999289</v>
      </c>
      <c r="G327">
        <v>37.249999999999957</v>
      </c>
      <c r="H327">
        <v>1.4899999999999982</v>
      </c>
      <c r="I327">
        <v>0</v>
      </c>
      <c r="J327">
        <v>-3.2500000000000639</v>
      </c>
      <c r="K327">
        <v>6.4999999999999503</v>
      </c>
    </row>
    <row r="328" spans="1:11" x14ac:dyDescent="0.25">
      <c r="A328" s="374">
        <v>46234</v>
      </c>
      <c r="I328">
        <v>0</v>
      </c>
      <c r="J328">
        <v>0</v>
      </c>
      <c r="K328">
        <v>0</v>
      </c>
    </row>
    <row r="329" spans="1:11" x14ac:dyDescent="0.25">
      <c r="A329" s="374">
        <v>46234</v>
      </c>
      <c r="I329">
        <v>0</v>
      </c>
      <c r="J329">
        <v>0</v>
      </c>
      <c r="K329">
        <v>0</v>
      </c>
    </row>
    <row r="330" spans="1:11" x14ac:dyDescent="0.25">
      <c r="A330" s="374">
        <v>46234</v>
      </c>
      <c r="I330">
        <v>0</v>
      </c>
      <c r="J330">
        <v>0</v>
      </c>
      <c r="K330">
        <v>0</v>
      </c>
    </row>
    <row r="331" spans="1:11" x14ac:dyDescent="0.25">
      <c r="A331" s="374">
        <v>46234</v>
      </c>
      <c r="I331">
        <v>0</v>
      </c>
      <c r="J331">
        <v>0</v>
      </c>
      <c r="K331">
        <v>0</v>
      </c>
    </row>
    <row r="332" spans="1:11" x14ac:dyDescent="0.25">
      <c r="A332" s="374">
        <v>46234</v>
      </c>
      <c r="I332">
        <v>0</v>
      </c>
      <c r="J332">
        <v>0</v>
      </c>
      <c r="K332">
        <v>0</v>
      </c>
    </row>
    <row r="333" spans="1:11" x14ac:dyDescent="0.25">
      <c r="A333" s="374">
        <v>46234</v>
      </c>
      <c r="I333">
        <v>0</v>
      </c>
      <c r="J333">
        <v>0</v>
      </c>
      <c r="K333">
        <v>0</v>
      </c>
    </row>
    <row r="334" spans="1:11" x14ac:dyDescent="0.25">
      <c r="A334" s="374">
        <v>46237</v>
      </c>
      <c r="B334" t="s">
        <v>9</v>
      </c>
      <c r="C334" t="s">
        <v>177</v>
      </c>
      <c r="D334" t="s">
        <v>178</v>
      </c>
      <c r="E334">
        <v>4.3499999999999996</v>
      </c>
      <c r="F334">
        <v>9.9999999999999645</v>
      </c>
      <c r="G334">
        <v>9.9999999999999645</v>
      </c>
      <c r="H334">
        <v>0.39999999999999858</v>
      </c>
      <c r="I334">
        <v>-0.50000000000007816</v>
      </c>
      <c r="J334">
        <v>-2.0000000000000462</v>
      </c>
      <c r="K334">
        <v>-7.0000000000000284</v>
      </c>
    </row>
    <row r="335" spans="1:11" x14ac:dyDescent="0.25">
      <c r="A335" s="374">
        <v>46237</v>
      </c>
      <c r="B335" t="s">
        <v>10</v>
      </c>
      <c r="C335" t="s">
        <v>178</v>
      </c>
      <c r="D335" t="s">
        <v>179</v>
      </c>
      <c r="E335">
        <v>4.4850000000000003</v>
      </c>
      <c r="F335">
        <v>13.500000000000068</v>
      </c>
      <c r="G335">
        <v>23.500000000000032</v>
      </c>
      <c r="H335">
        <v>0.94000000000000128</v>
      </c>
      <c r="I335">
        <v>-0.49999999999998934</v>
      </c>
      <c r="J335">
        <v>-0.49999999999998934</v>
      </c>
      <c r="K335">
        <v>-1.499999999999968</v>
      </c>
    </row>
    <row r="336" spans="1:11" x14ac:dyDescent="0.25">
      <c r="A336" s="374">
        <v>46237</v>
      </c>
      <c r="B336" t="s">
        <v>12</v>
      </c>
      <c r="C336" t="s">
        <v>179</v>
      </c>
      <c r="D336" t="s">
        <v>180</v>
      </c>
      <c r="E336">
        <v>4.5374999999999996</v>
      </c>
      <c r="F336">
        <v>5.2499999999999325</v>
      </c>
      <c r="G336">
        <v>28.749999999999964</v>
      </c>
      <c r="H336">
        <v>1.1499999999999986</v>
      </c>
      <c r="I336">
        <v>-2.0000000000000462</v>
      </c>
      <c r="J336">
        <v>-0.50000000000007816</v>
      </c>
      <c r="K336">
        <v>-2.0000000000000462</v>
      </c>
    </row>
    <row r="337" spans="1:11" x14ac:dyDescent="0.25">
      <c r="A337" s="374">
        <v>46237</v>
      </c>
      <c r="B337" t="s">
        <v>13</v>
      </c>
      <c r="C337" t="s">
        <v>180</v>
      </c>
      <c r="D337" t="s">
        <v>194</v>
      </c>
      <c r="E337">
        <v>4.58</v>
      </c>
      <c r="F337">
        <v>4.2500000000000426</v>
      </c>
      <c r="G337">
        <v>33.000000000000007</v>
      </c>
      <c r="H337">
        <v>1.3200000000000003</v>
      </c>
      <c r="I337">
        <v>-0.99999999999997868</v>
      </c>
      <c r="J337">
        <v>0.99999999999997868</v>
      </c>
      <c r="K337">
        <v>-0.99999999999997868</v>
      </c>
    </row>
    <row r="338" spans="1:11" x14ac:dyDescent="0.25">
      <c r="A338" s="374">
        <v>46237</v>
      </c>
      <c r="B338" t="s">
        <v>28</v>
      </c>
      <c r="C338" t="s">
        <v>194</v>
      </c>
      <c r="D338" t="s">
        <v>195</v>
      </c>
      <c r="E338">
        <v>4.6100000000000003</v>
      </c>
      <c r="F338">
        <v>3.0000000000000249</v>
      </c>
      <c r="G338">
        <v>36.000000000000028</v>
      </c>
      <c r="H338">
        <v>1.4400000000000011</v>
      </c>
      <c r="I338">
        <v>0</v>
      </c>
      <c r="J338">
        <v>1.5000000000000568</v>
      </c>
      <c r="K338">
        <v>1.5000000000000568</v>
      </c>
    </row>
    <row r="339" spans="1:11" x14ac:dyDescent="0.25">
      <c r="A339" s="374">
        <v>46237</v>
      </c>
      <c r="B339" t="s">
        <v>15</v>
      </c>
      <c r="C339" t="s">
        <v>195</v>
      </c>
      <c r="D339" t="s">
        <v>148</v>
      </c>
      <c r="E339">
        <v>4.6124999999999998</v>
      </c>
      <c r="F339">
        <v>0.24999999999995026</v>
      </c>
      <c r="G339">
        <v>36.249999999999986</v>
      </c>
      <c r="H339">
        <v>1.4499999999999995</v>
      </c>
      <c r="I339">
        <v>-0.99999999999997868</v>
      </c>
      <c r="J339">
        <v>0.99999999999997868</v>
      </c>
      <c r="K339">
        <v>4.4999999999999929</v>
      </c>
    </row>
    <row r="340" spans="1:11" x14ac:dyDescent="0.25">
      <c r="A340" s="374">
        <v>46237</v>
      </c>
      <c r="I340">
        <v>0</v>
      </c>
      <c r="J340">
        <v>0</v>
      </c>
      <c r="K340">
        <v>0</v>
      </c>
    </row>
    <row r="341" spans="1:11" x14ac:dyDescent="0.25">
      <c r="A341" s="374">
        <v>46237</v>
      </c>
      <c r="I341">
        <v>0</v>
      </c>
      <c r="J341">
        <v>0</v>
      </c>
      <c r="K341">
        <v>0</v>
      </c>
    </row>
    <row r="342" spans="1:11" x14ac:dyDescent="0.25">
      <c r="A342" s="374">
        <v>46237</v>
      </c>
      <c r="I342">
        <v>0</v>
      </c>
      <c r="J342">
        <v>0</v>
      </c>
      <c r="K342">
        <v>0</v>
      </c>
    </row>
    <row r="343" spans="1:11" x14ac:dyDescent="0.25">
      <c r="A343" s="374">
        <v>46237</v>
      </c>
      <c r="I343">
        <v>0</v>
      </c>
      <c r="J343">
        <v>0</v>
      </c>
      <c r="K343">
        <v>0</v>
      </c>
    </row>
    <row r="344" spans="1:11" x14ac:dyDescent="0.25">
      <c r="A344" s="374">
        <v>46237</v>
      </c>
      <c r="I344">
        <v>0</v>
      </c>
      <c r="J344">
        <v>0</v>
      </c>
      <c r="K344">
        <v>0</v>
      </c>
    </row>
    <row r="345" spans="1:11" x14ac:dyDescent="0.25">
      <c r="A345" s="374">
        <v>46237</v>
      </c>
      <c r="I345">
        <v>0</v>
      </c>
      <c r="J345">
        <v>0</v>
      </c>
      <c r="K345">
        <v>0</v>
      </c>
    </row>
    <row r="346" spans="1:11" x14ac:dyDescent="0.25">
      <c r="A346" s="374">
        <v>46238</v>
      </c>
      <c r="B346" t="s">
        <v>9</v>
      </c>
      <c r="C346" t="s">
        <v>177</v>
      </c>
      <c r="D346" t="s">
        <v>178</v>
      </c>
      <c r="E346">
        <v>4.335</v>
      </c>
      <c r="F346">
        <v>8.4999999999999964</v>
      </c>
      <c r="G346">
        <v>8.4999999999999964</v>
      </c>
      <c r="H346">
        <v>0.33999999999999986</v>
      </c>
      <c r="I346">
        <v>-1.499999999999968</v>
      </c>
      <c r="J346">
        <v>-3.0000000000000249</v>
      </c>
      <c r="K346">
        <v>-8.4999999999999964</v>
      </c>
    </row>
    <row r="347" spans="1:11" x14ac:dyDescent="0.25">
      <c r="A347" s="374">
        <v>46238</v>
      </c>
      <c r="B347" t="s">
        <v>10</v>
      </c>
      <c r="C347" t="s">
        <v>178</v>
      </c>
      <c r="D347" t="s">
        <v>179</v>
      </c>
      <c r="E347">
        <v>4.4649999999999999</v>
      </c>
      <c r="F347">
        <v>12.999999999999989</v>
      </c>
      <c r="G347">
        <v>21.499999999999986</v>
      </c>
      <c r="H347">
        <v>0.85999999999999943</v>
      </c>
      <c r="I347">
        <v>-2.0000000000000462</v>
      </c>
      <c r="J347">
        <v>-2.0000000000000462</v>
      </c>
      <c r="K347">
        <v>-3.5000000000000142</v>
      </c>
    </row>
    <row r="348" spans="1:11" x14ac:dyDescent="0.25">
      <c r="A348" s="374">
        <v>46238</v>
      </c>
      <c r="B348" t="s">
        <v>12</v>
      </c>
      <c r="C348" t="s">
        <v>179</v>
      </c>
      <c r="D348" t="s">
        <v>180</v>
      </c>
      <c r="E348">
        <v>4.51</v>
      </c>
      <c r="F348">
        <v>4.4999999999999929</v>
      </c>
      <c r="G348">
        <v>25.999999999999979</v>
      </c>
      <c r="H348">
        <v>1.0399999999999991</v>
      </c>
      <c r="I348">
        <v>-2.7499999999999858</v>
      </c>
      <c r="J348">
        <v>-2.2499999999999964</v>
      </c>
      <c r="K348">
        <v>-4.750000000000032</v>
      </c>
    </row>
    <row r="349" spans="1:11" x14ac:dyDescent="0.25">
      <c r="A349" s="374">
        <v>46238</v>
      </c>
      <c r="B349" t="s">
        <v>13</v>
      </c>
      <c r="C349" t="s">
        <v>180</v>
      </c>
      <c r="D349" t="s">
        <v>194</v>
      </c>
      <c r="E349">
        <v>4.55</v>
      </c>
      <c r="F349">
        <v>4.0000000000000036</v>
      </c>
      <c r="G349">
        <v>29.999999999999982</v>
      </c>
      <c r="H349">
        <v>1.1999999999999993</v>
      </c>
      <c r="I349">
        <v>-3.0000000000000249</v>
      </c>
      <c r="J349">
        <v>-0.49999999999998934</v>
      </c>
      <c r="K349">
        <v>-4.0000000000000036</v>
      </c>
    </row>
    <row r="350" spans="1:11" x14ac:dyDescent="0.25">
      <c r="A350" s="374">
        <v>46238</v>
      </c>
      <c r="B350" t="s">
        <v>28</v>
      </c>
      <c r="C350" t="s">
        <v>194</v>
      </c>
      <c r="D350" t="s">
        <v>195</v>
      </c>
      <c r="E350">
        <v>4.5750000000000002</v>
      </c>
      <c r="F350">
        <v>2.5000000000000355</v>
      </c>
      <c r="G350">
        <v>32.500000000000014</v>
      </c>
      <c r="H350">
        <v>1.3000000000000005</v>
      </c>
      <c r="I350">
        <v>-3.5000000000000142</v>
      </c>
      <c r="J350">
        <v>0</v>
      </c>
      <c r="K350">
        <v>-1.9999999999999574</v>
      </c>
    </row>
    <row r="351" spans="1:11" x14ac:dyDescent="0.25">
      <c r="A351" s="374">
        <v>46238</v>
      </c>
      <c r="B351" t="s">
        <v>15</v>
      </c>
      <c r="C351" t="s">
        <v>195</v>
      </c>
      <c r="D351" t="s">
        <v>148</v>
      </c>
      <c r="E351">
        <v>4.5824999999999996</v>
      </c>
      <c r="F351">
        <v>0.7499999999999396</v>
      </c>
      <c r="G351">
        <v>33.249999999999957</v>
      </c>
      <c r="H351">
        <v>1.3299999999999983</v>
      </c>
      <c r="I351">
        <v>-3.0000000000000249</v>
      </c>
      <c r="J351">
        <v>-0.50000000000007816</v>
      </c>
      <c r="K351">
        <v>1.499999999999968</v>
      </c>
    </row>
    <row r="352" spans="1:11" x14ac:dyDescent="0.25">
      <c r="A352" s="374">
        <v>46238</v>
      </c>
      <c r="I352">
        <v>0</v>
      </c>
      <c r="J352">
        <v>0</v>
      </c>
      <c r="K352">
        <v>0</v>
      </c>
    </row>
    <row r="353" spans="1:11" x14ac:dyDescent="0.25">
      <c r="A353" s="374">
        <v>46238</v>
      </c>
      <c r="I353">
        <v>0</v>
      </c>
      <c r="J353">
        <v>0</v>
      </c>
      <c r="K353">
        <v>0</v>
      </c>
    </row>
    <row r="354" spans="1:11" x14ac:dyDescent="0.25">
      <c r="A354" s="374">
        <v>46238</v>
      </c>
      <c r="I354">
        <v>0</v>
      </c>
      <c r="J354">
        <v>0</v>
      </c>
      <c r="K354">
        <v>0</v>
      </c>
    </row>
    <row r="355" spans="1:11" x14ac:dyDescent="0.25">
      <c r="A355" s="374">
        <v>46238</v>
      </c>
      <c r="I355">
        <v>0</v>
      </c>
      <c r="J355">
        <v>0</v>
      </c>
      <c r="K355">
        <v>0</v>
      </c>
    </row>
    <row r="356" spans="1:11" x14ac:dyDescent="0.25">
      <c r="A356" s="374">
        <v>46238</v>
      </c>
      <c r="I356">
        <v>0</v>
      </c>
      <c r="J356">
        <v>0</v>
      </c>
      <c r="K356">
        <v>0</v>
      </c>
    </row>
    <row r="357" spans="1:11" x14ac:dyDescent="0.25">
      <c r="A357" s="374">
        <v>46238</v>
      </c>
      <c r="I357">
        <v>0</v>
      </c>
      <c r="J357">
        <v>0</v>
      </c>
      <c r="K357">
        <v>0</v>
      </c>
    </row>
    <row r="358" spans="1:11" x14ac:dyDescent="0.25">
      <c r="A358" s="374">
        <v>46239</v>
      </c>
      <c r="B358" t="s">
        <v>9</v>
      </c>
      <c r="C358" t="s">
        <v>177</v>
      </c>
      <c r="D358" t="s">
        <v>178</v>
      </c>
      <c r="E358">
        <v>4.3250000000000002</v>
      </c>
      <c r="F358">
        <v>7.5000000000000178</v>
      </c>
      <c r="G358">
        <v>7.5000000000000178</v>
      </c>
      <c r="H358">
        <v>0.30000000000000071</v>
      </c>
      <c r="I358">
        <v>-0.99999999999997868</v>
      </c>
      <c r="J358">
        <v>-3.5000000000000142</v>
      </c>
      <c r="K358">
        <v>-9.4999999999999751</v>
      </c>
    </row>
    <row r="359" spans="1:11" x14ac:dyDescent="0.25">
      <c r="A359" s="374">
        <v>46239</v>
      </c>
      <c r="B359" t="s">
        <v>10</v>
      </c>
      <c r="C359" t="s">
        <v>178</v>
      </c>
      <c r="D359" t="s">
        <v>179</v>
      </c>
      <c r="E359">
        <v>4.4550000000000001</v>
      </c>
      <c r="F359">
        <v>12.999999999999989</v>
      </c>
      <c r="G359">
        <v>20.500000000000007</v>
      </c>
      <c r="H359">
        <v>0.82000000000000028</v>
      </c>
      <c r="I359">
        <v>-0.99999999999997868</v>
      </c>
      <c r="J359">
        <v>-4.4999999999999929</v>
      </c>
      <c r="K359">
        <v>-4.4999999999999929</v>
      </c>
    </row>
    <row r="360" spans="1:11" x14ac:dyDescent="0.25">
      <c r="A360" s="374">
        <v>46239</v>
      </c>
      <c r="B360" t="s">
        <v>12</v>
      </c>
      <c r="C360" t="s">
        <v>179</v>
      </c>
      <c r="D360" t="s">
        <v>180</v>
      </c>
      <c r="E360">
        <v>4.5049999999999999</v>
      </c>
      <c r="F360">
        <v>4.9999999999999822</v>
      </c>
      <c r="G360">
        <v>25.499999999999989</v>
      </c>
      <c r="H360">
        <v>1.0199999999999996</v>
      </c>
      <c r="I360">
        <v>-0.49999999999998934</v>
      </c>
      <c r="J360">
        <v>-4.750000000000032</v>
      </c>
      <c r="K360">
        <v>-5.2500000000000213</v>
      </c>
    </row>
    <row r="361" spans="1:11" x14ac:dyDescent="0.25">
      <c r="A361" s="374">
        <v>46239</v>
      </c>
      <c r="B361" t="s">
        <v>13</v>
      </c>
      <c r="C361" t="s">
        <v>180</v>
      </c>
      <c r="D361" t="s">
        <v>194</v>
      </c>
      <c r="E361">
        <v>4.54</v>
      </c>
      <c r="F361">
        <v>3.5000000000000142</v>
      </c>
      <c r="G361">
        <v>29.000000000000004</v>
      </c>
      <c r="H361">
        <v>1.1600000000000001</v>
      </c>
      <c r="I361">
        <v>-0.99999999999997868</v>
      </c>
      <c r="J361">
        <v>-4.9999999999999822</v>
      </c>
      <c r="K361">
        <v>-4.9999999999999822</v>
      </c>
    </row>
    <row r="362" spans="1:11" x14ac:dyDescent="0.25">
      <c r="A362" s="374">
        <v>46239</v>
      </c>
      <c r="B362" t="s">
        <v>28</v>
      </c>
      <c r="C362" t="s">
        <v>194</v>
      </c>
      <c r="D362" t="s">
        <v>195</v>
      </c>
      <c r="E362">
        <v>4.5650000000000004</v>
      </c>
      <c r="F362">
        <v>2.5000000000000355</v>
      </c>
      <c r="G362">
        <v>31.500000000000039</v>
      </c>
      <c r="H362">
        <v>1.2600000000000016</v>
      </c>
      <c r="I362">
        <v>-0.99999999999997868</v>
      </c>
      <c r="J362">
        <v>-4.9999999999999822</v>
      </c>
      <c r="K362">
        <v>-2.9999999999999361</v>
      </c>
    </row>
    <row r="363" spans="1:11" x14ac:dyDescent="0.25">
      <c r="A363" s="374">
        <v>46239</v>
      </c>
      <c r="B363" t="s">
        <v>15</v>
      </c>
      <c r="C363" t="s">
        <v>195</v>
      </c>
      <c r="D363" t="s">
        <v>148</v>
      </c>
      <c r="E363">
        <v>4.5724999999999998</v>
      </c>
      <c r="F363">
        <v>0.7499999999999396</v>
      </c>
      <c r="G363">
        <v>32.249999999999979</v>
      </c>
      <c r="H363">
        <v>1.2899999999999991</v>
      </c>
      <c r="I363">
        <v>-0.99999999999997868</v>
      </c>
      <c r="J363">
        <v>-4.9999999999999822</v>
      </c>
      <c r="K363">
        <v>0.49999999999998934</v>
      </c>
    </row>
    <row r="364" spans="1:11" x14ac:dyDescent="0.25">
      <c r="A364" s="374">
        <v>46239</v>
      </c>
      <c r="I364">
        <v>0</v>
      </c>
      <c r="J364">
        <v>0</v>
      </c>
      <c r="K364">
        <v>0</v>
      </c>
    </row>
    <row r="365" spans="1:11" x14ac:dyDescent="0.25">
      <c r="A365" s="374">
        <v>46239</v>
      </c>
      <c r="I365">
        <v>0</v>
      </c>
      <c r="J365">
        <v>0</v>
      </c>
      <c r="K365">
        <v>0</v>
      </c>
    </row>
    <row r="366" spans="1:11" x14ac:dyDescent="0.25">
      <c r="A366" s="374">
        <v>46239</v>
      </c>
      <c r="I366">
        <v>0</v>
      </c>
      <c r="J366">
        <v>0</v>
      </c>
      <c r="K366">
        <v>0</v>
      </c>
    </row>
    <row r="367" spans="1:11" x14ac:dyDescent="0.25">
      <c r="A367" s="374">
        <v>46239</v>
      </c>
      <c r="I367">
        <v>0</v>
      </c>
      <c r="J367">
        <v>0</v>
      </c>
      <c r="K367">
        <v>0</v>
      </c>
    </row>
    <row r="368" spans="1:11" x14ac:dyDescent="0.25">
      <c r="A368" s="374">
        <v>46239</v>
      </c>
      <c r="I368">
        <v>0</v>
      </c>
      <c r="J368">
        <v>0</v>
      </c>
      <c r="K368">
        <v>0</v>
      </c>
    </row>
    <row r="369" spans="1:11" x14ac:dyDescent="0.25">
      <c r="A369" s="374">
        <v>46239</v>
      </c>
      <c r="I369">
        <v>0</v>
      </c>
      <c r="J369">
        <v>0</v>
      </c>
      <c r="K369">
        <v>0</v>
      </c>
    </row>
    <row r="370" spans="1:11" x14ac:dyDescent="0.25">
      <c r="A370" s="374">
        <v>46240</v>
      </c>
      <c r="B370" t="s">
        <v>9</v>
      </c>
      <c r="C370" t="s">
        <v>177</v>
      </c>
      <c r="D370" t="s">
        <v>178</v>
      </c>
      <c r="E370">
        <v>4.32</v>
      </c>
      <c r="F370">
        <v>7.0000000000000284</v>
      </c>
      <c r="G370">
        <v>7.0000000000000284</v>
      </c>
      <c r="H370">
        <v>0.28000000000000114</v>
      </c>
      <c r="I370">
        <v>-0.49999999999998934</v>
      </c>
      <c r="J370">
        <v>-4.0000000000000036</v>
      </c>
      <c r="K370">
        <v>-9.9999999999999645</v>
      </c>
    </row>
    <row r="371" spans="1:11" x14ac:dyDescent="0.25">
      <c r="A371" s="374">
        <v>46240</v>
      </c>
      <c r="B371" t="s">
        <v>10</v>
      </c>
      <c r="C371" t="s">
        <v>178</v>
      </c>
      <c r="D371" t="s">
        <v>179</v>
      </c>
      <c r="E371">
        <v>4.4550000000000001</v>
      </c>
      <c r="F371">
        <v>13.499999999999979</v>
      </c>
      <c r="G371">
        <v>20.500000000000007</v>
      </c>
      <c r="H371">
        <v>0.82000000000000028</v>
      </c>
      <c r="I371">
        <v>0</v>
      </c>
      <c r="J371">
        <v>-4.4999999999999929</v>
      </c>
      <c r="K371">
        <v>-3.5000000000000142</v>
      </c>
    </row>
    <row r="372" spans="1:11" x14ac:dyDescent="0.25">
      <c r="A372" s="374">
        <v>46240</v>
      </c>
      <c r="B372" t="s">
        <v>12</v>
      </c>
      <c r="C372" t="s">
        <v>179</v>
      </c>
      <c r="D372" t="s">
        <v>180</v>
      </c>
      <c r="E372">
        <v>4.5049999999999999</v>
      </c>
      <c r="F372">
        <v>4.9999999999999822</v>
      </c>
      <c r="G372">
        <v>25.499999999999989</v>
      </c>
      <c r="H372">
        <v>1.0199999999999996</v>
      </c>
      <c r="I372">
        <v>0</v>
      </c>
      <c r="J372">
        <v>-4.750000000000032</v>
      </c>
      <c r="K372">
        <v>-3.7500000000000533</v>
      </c>
    </row>
    <row r="373" spans="1:11" x14ac:dyDescent="0.25">
      <c r="A373" s="374">
        <v>46240</v>
      </c>
      <c r="B373" t="s">
        <v>13</v>
      </c>
      <c r="C373" t="s">
        <v>180</v>
      </c>
      <c r="D373" t="s">
        <v>194</v>
      </c>
      <c r="E373">
        <v>4.5449999999999999</v>
      </c>
      <c r="F373">
        <v>4.0000000000000036</v>
      </c>
      <c r="G373">
        <v>29.499999999999993</v>
      </c>
      <c r="H373">
        <v>1.1799999999999997</v>
      </c>
      <c r="I373">
        <v>0.49999999999998934</v>
      </c>
      <c r="J373">
        <v>-4.4999999999999929</v>
      </c>
      <c r="K373">
        <v>-2.5000000000000355</v>
      </c>
    </row>
    <row r="374" spans="1:11" x14ac:dyDescent="0.25">
      <c r="A374" s="374">
        <v>46240</v>
      </c>
      <c r="B374" t="s">
        <v>28</v>
      </c>
      <c r="C374" t="s">
        <v>194</v>
      </c>
      <c r="D374" t="s">
        <v>195</v>
      </c>
      <c r="E374">
        <v>4.57</v>
      </c>
      <c r="F374">
        <v>2.5000000000000355</v>
      </c>
      <c r="G374">
        <v>32.000000000000028</v>
      </c>
      <c r="H374">
        <v>1.2800000000000011</v>
      </c>
      <c r="I374">
        <v>0.49999999999998934</v>
      </c>
      <c r="J374">
        <v>-4.4999999999999929</v>
      </c>
      <c r="K374">
        <v>-0.49999999999998934</v>
      </c>
    </row>
    <row r="375" spans="1:11" x14ac:dyDescent="0.25">
      <c r="A375" s="374">
        <v>46240</v>
      </c>
      <c r="B375" t="s">
        <v>15</v>
      </c>
      <c r="C375" t="s">
        <v>195</v>
      </c>
      <c r="D375" t="s">
        <v>148</v>
      </c>
      <c r="E375">
        <v>4.5674999999999999</v>
      </c>
      <c r="F375">
        <v>-0.25000000000003908</v>
      </c>
      <c r="G375">
        <v>31.749999999999989</v>
      </c>
      <c r="H375">
        <v>1.2699999999999996</v>
      </c>
      <c r="I375">
        <v>-0.49999999999998934</v>
      </c>
      <c r="J375">
        <v>-5.4999999999999716</v>
      </c>
      <c r="K375">
        <v>1.9999999999999574</v>
      </c>
    </row>
    <row r="376" spans="1:11" x14ac:dyDescent="0.25">
      <c r="A376" s="374">
        <v>46240</v>
      </c>
      <c r="I376">
        <v>0</v>
      </c>
      <c r="J376">
        <v>0</v>
      </c>
      <c r="K376">
        <v>0</v>
      </c>
    </row>
    <row r="377" spans="1:11" x14ac:dyDescent="0.25">
      <c r="A377" s="374">
        <v>46240</v>
      </c>
      <c r="I377">
        <v>0</v>
      </c>
      <c r="J377">
        <v>0</v>
      </c>
      <c r="K377">
        <v>0</v>
      </c>
    </row>
    <row r="378" spans="1:11" x14ac:dyDescent="0.25">
      <c r="A378" s="374">
        <v>46240</v>
      </c>
      <c r="I378">
        <v>0</v>
      </c>
      <c r="J378">
        <v>0</v>
      </c>
      <c r="K378">
        <v>0</v>
      </c>
    </row>
    <row r="379" spans="1:11" x14ac:dyDescent="0.25">
      <c r="A379" s="374">
        <v>46240</v>
      </c>
      <c r="I379">
        <v>0</v>
      </c>
      <c r="J379">
        <v>0</v>
      </c>
      <c r="K379">
        <v>0</v>
      </c>
    </row>
    <row r="380" spans="1:11" x14ac:dyDescent="0.25">
      <c r="A380" s="374">
        <v>46240</v>
      </c>
      <c r="I380">
        <v>0</v>
      </c>
      <c r="J380">
        <v>0</v>
      </c>
      <c r="K380">
        <v>0</v>
      </c>
    </row>
    <row r="381" spans="1:11" x14ac:dyDescent="0.25">
      <c r="A381" s="374">
        <v>46240</v>
      </c>
      <c r="I381">
        <v>0</v>
      </c>
      <c r="J381">
        <v>0</v>
      </c>
      <c r="K381">
        <v>0</v>
      </c>
    </row>
    <row r="382" spans="1:11" x14ac:dyDescent="0.25">
      <c r="A382" s="374">
        <v>46241</v>
      </c>
      <c r="B382" t="s">
        <v>9</v>
      </c>
      <c r="C382" t="s">
        <v>177</v>
      </c>
      <c r="D382" t="s">
        <v>178</v>
      </c>
      <c r="E382">
        <v>4.3099999999999996</v>
      </c>
      <c r="F382">
        <v>5.9999999999999609</v>
      </c>
      <c r="G382">
        <v>5.9999999999999609</v>
      </c>
      <c r="H382">
        <v>0.23999999999999844</v>
      </c>
      <c r="I382">
        <v>-1.0000000000000675</v>
      </c>
      <c r="J382">
        <v>-4.5000000000000817</v>
      </c>
      <c r="K382">
        <v>-11.500000000000021</v>
      </c>
    </row>
    <row r="383" spans="1:11" x14ac:dyDescent="0.25">
      <c r="A383" s="374">
        <v>46241</v>
      </c>
      <c r="B383" t="s">
        <v>10</v>
      </c>
      <c r="C383" t="s">
        <v>178</v>
      </c>
      <c r="D383" t="s">
        <v>179</v>
      </c>
      <c r="E383">
        <v>4.4349999999999996</v>
      </c>
      <c r="F383">
        <v>12.5</v>
      </c>
      <c r="G383">
        <v>18.499999999999961</v>
      </c>
      <c r="H383">
        <v>0.73999999999999844</v>
      </c>
      <c r="I383">
        <v>-2.0000000000000462</v>
      </c>
      <c r="J383">
        <v>-5.5000000000000604</v>
      </c>
      <c r="K383">
        <v>-7.0000000000000284</v>
      </c>
    </row>
    <row r="384" spans="1:11" x14ac:dyDescent="0.25">
      <c r="A384" s="374">
        <v>46241</v>
      </c>
      <c r="B384" t="s">
        <v>12</v>
      </c>
      <c r="C384" t="s">
        <v>179</v>
      </c>
      <c r="D384" t="s">
        <v>180</v>
      </c>
      <c r="E384">
        <v>4.4850000000000003</v>
      </c>
      <c r="F384">
        <v>5.0000000000000711</v>
      </c>
      <c r="G384">
        <v>23.500000000000032</v>
      </c>
      <c r="H384">
        <v>0.94000000000000128</v>
      </c>
      <c r="I384">
        <v>-1.9999999999999574</v>
      </c>
      <c r="J384">
        <v>-7.2499999999999787</v>
      </c>
      <c r="K384">
        <v>-7.2499999999999787</v>
      </c>
    </row>
    <row r="385" spans="1:11" x14ac:dyDescent="0.25">
      <c r="A385" s="374">
        <v>46241</v>
      </c>
      <c r="B385" t="s">
        <v>13</v>
      </c>
      <c r="C385" t="s">
        <v>180</v>
      </c>
      <c r="D385" t="s">
        <v>194</v>
      </c>
      <c r="E385">
        <v>4.53</v>
      </c>
      <c r="F385">
        <v>4.4999999999999929</v>
      </c>
      <c r="G385">
        <v>28.000000000000025</v>
      </c>
      <c r="H385">
        <v>1.120000000000001</v>
      </c>
      <c r="I385">
        <v>-1.499999999999968</v>
      </c>
      <c r="J385">
        <v>-5.9999999999999609</v>
      </c>
      <c r="K385">
        <v>-5.9999999999999609</v>
      </c>
    </row>
    <row r="386" spans="1:11" x14ac:dyDescent="0.25">
      <c r="A386" s="374">
        <v>46241</v>
      </c>
      <c r="B386" t="s">
        <v>28</v>
      </c>
      <c r="C386" t="s">
        <v>194</v>
      </c>
      <c r="D386" t="s">
        <v>195</v>
      </c>
      <c r="E386">
        <v>4.54</v>
      </c>
      <c r="F386">
        <v>0.99999999999997868</v>
      </c>
      <c r="G386">
        <v>29.000000000000004</v>
      </c>
      <c r="H386">
        <v>1.1600000000000001</v>
      </c>
      <c r="I386">
        <v>-3.0000000000000249</v>
      </c>
      <c r="J386">
        <v>-7.0000000000000284</v>
      </c>
      <c r="K386">
        <v>-5.4999999999999716</v>
      </c>
    </row>
    <row r="387" spans="1:11" x14ac:dyDescent="0.25">
      <c r="A387" s="374">
        <v>46241</v>
      </c>
      <c r="B387" t="s">
        <v>15</v>
      </c>
      <c r="C387" t="s">
        <v>195</v>
      </c>
      <c r="D387" t="s">
        <v>148</v>
      </c>
      <c r="E387">
        <v>4.5374999999999996</v>
      </c>
      <c r="F387">
        <v>-0.25000000000003908</v>
      </c>
      <c r="G387">
        <v>28.749999999999964</v>
      </c>
      <c r="H387">
        <v>1.1499999999999986</v>
      </c>
      <c r="I387">
        <v>-3.0000000000000249</v>
      </c>
      <c r="J387">
        <v>-8.4999999999999964</v>
      </c>
      <c r="K387">
        <v>-4.4999999999999929</v>
      </c>
    </row>
    <row r="388" spans="1:11" x14ac:dyDescent="0.25">
      <c r="A388" s="374">
        <v>46241</v>
      </c>
      <c r="I388">
        <v>0</v>
      </c>
      <c r="J388">
        <v>0</v>
      </c>
      <c r="K388">
        <v>0</v>
      </c>
    </row>
    <row r="389" spans="1:11" x14ac:dyDescent="0.25">
      <c r="A389" s="374">
        <v>46241</v>
      </c>
      <c r="I389">
        <v>0</v>
      </c>
      <c r="J389">
        <v>0</v>
      </c>
      <c r="K389">
        <v>0</v>
      </c>
    </row>
    <row r="390" spans="1:11" x14ac:dyDescent="0.25">
      <c r="A390" s="374">
        <v>46241</v>
      </c>
      <c r="I390">
        <v>0</v>
      </c>
      <c r="J390">
        <v>0</v>
      </c>
      <c r="K390">
        <v>0</v>
      </c>
    </row>
    <row r="391" spans="1:11" x14ac:dyDescent="0.25">
      <c r="A391" s="374">
        <v>46241</v>
      </c>
      <c r="I391">
        <v>0</v>
      </c>
      <c r="J391">
        <v>0</v>
      </c>
      <c r="K391">
        <v>0</v>
      </c>
    </row>
    <row r="392" spans="1:11" x14ac:dyDescent="0.25">
      <c r="A392" s="374">
        <v>46241</v>
      </c>
      <c r="I392">
        <v>0</v>
      </c>
      <c r="J392">
        <v>0</v>
      </c>
      <c r="K392">
        <v>0</v>
      </c>
    </row>
    <row r="393" spans="1:11" x14ac:dyDescent="0.25">
      <c r="A393" s="374">
        <v>46241</v>
      </c>
      <c r="I393">
        <v>0</v>
      </c>
      <c r="J393">
        <v>0</v>
      </c>
      <c r="K393">
        <v>0</v>
      </c>
    </row>
    <row r="394" spans="1:11" x14ac:dyDescent="0.25">
      <c r="A394" s="374">
        <v>46244</v>
      </c>
      <c r="B394" t="s">
        <v>9</v>
      </c>
      <c r="C394" t="s">
        <v>177</v>
      </c>
      <c r="D394" t="s">
        <v>178</v>
      </c>
      <c r="E394">
        <v>4.2850000000000001</v>
      </c>
      <c r="F394">
        <v>3.5000000000000142</v>
      </c>
      <c r="G394">
        <v>3.5000000000000142</v>
      </c>
      <c r="H394">
        <v>0.14000000000000057</v>
      </c>
      <c r="I394">
        <v>-2.4999999999999467</v>
      </c>
      <c r="J394">
        <v>-6.4999999999999503</v>
      </c>
      <c r="K394">
        <v>-9.4999999999999751</v>
      </c>
    </row>
    <row r="395" spans="1:11" x14ac:dyDescent="0.25">
      <c r="A395" s="374">
        <v>46244</v>
      </c>
      <c r="B395" t="s">
        <v>10</v>
      </c>
      <c r="C395" t="s">
        <v>178</v>
      </c>
      <c r="D395" t="s">
        <v>179</v>
      </c>
      <c r="E395">
        <v>4.41</v>
      </c>
      <c r="F395">
        <v>12.5</v>
      </c>
      <c r="G395">
        <v>16.000000000000014</v>
      </c>
      <c r="H395">
        <v>0.64000000000000057</v>
      </c>
      <c r="I395">
        <v>-2.4999999999999467</v>
      </c>
      <c r="J395">
        <v>-7.5000000000000178</v>
      </c>
      <c r="K395">
        <v>-6.4999999999999503</v>
      </c>
    </row>
    <row r="396" spans="1:11" x14ac:dyDescent="0.25">
      <c r="A396" s="374">
        <v>46244</v>
      </c>
      <c r="B396" t="s">
        <v>12</v>
      </c>
      <c r="C396" t="s">
        <v>179</v>
      </c>
      <c r="D396" t="s">
        <v>180</v>
      </c>
      <c r="E396">
        <v>4.46</v>
      </c>
      <c r="F396">
        <v>4.9999999999999822</v>
      </c>
      <c r="G396">
        <v>20.999999999999996</v>
      </c>
      <c r="H396">
        <v>0.83999999999999986</v>
      </c>
      <c r="I396">
        <v>-2.5000000000000355</v>
      </c>
      <c r="J396">
        <v>-7.749999999999968</v>
      </c>
      <c r="K396">
        <v>-4.9999999999999822</v>
      </c>
    </row>
    <row r="397" spans="1:11" x14ac:dyDescent="0.25">
      <c r="A397" s="374">
        <v>46244</v>
      </c>
      <c r="B397" t="s">
        <v>13</v>
      </c>
      <c r="C397" t="s">
        <v>180</v>
      </c>
      <c r="D397" t="s">
        <v>194</v>
      </c>
      <c r="E397">
        <v>4.5</v>
      </c>
      <c r="F397">
        <v>4.0000000000000036</v>
      </c>
      <c r="G397">
        <v>25</v>
      </c>
      <c r="H397">
        <v>1</v>
      </c>
      <c r="I397">
        <v>-3.0000000000000249</v>
      </c>
      <c r="J397">
        <v>-8.0000000000000071</v>
      </c>
      <c r="K397">
        <v>-3.0000000000000249</v>
      </c>
    </row>
    <row r="398" spans="1:11" x14ac:dyDescent="0.25">
      <c r="A398" s="374">
        <v>46244</v>
      </c>
      <c r="B398" t="s">
        <v>28</v>
      </c>
      <c r="C398" t="s">
        <v>194</v>
      </c>
      <c r="D398" t="s">
        <v>195</v>
      </c>
      <c r="E398">
        <v>4.51</v>
      </c>
      <c r="F398">
        <v>0.99999999999997868</v>
      </c>
      <c r="G398">
        <v>25.999999999999979</v>
      </c>
      <c r="H398">
        <v>1.0399999999999991</v>
      </c>
      <c r="I398">
        <v>-3.0000000000000249</v>
      </c>
      <c r="J398">
        <v>-10.000000000000053</v>
      </c>
      <c r="K398">
        <v>-2.5000000000000355</v>
      </c>
    </row>
    <row r="399" spans="1:11" x14ac:dyDescent="0.25">
      <c r="A399" s="374">
        <v>46244</v>
      </c>
      <c r="B399" t="s">
        <v>15</v>
      </c>
      <c r="C399" t="s">
        <v>195</v>
      </c>
      <c r="D399" t="s">
        <v>148</v>
      </c>
      <c r="E399">
        <v>4.5075000000000003</v>
      </c>
      <c r="F399">
        <v>-0.24999999999995026</v>
      </c>
      <c r="G399">
        <v>25.750000000000028</v>
      </c>
      <c r="H399">
        <v>1.0300000000000011</v>
      </c>
      <c r="I399">
        <v>-2.9999999999999361</v>
      </c>
      <c r="J399">
        <v>-10.499999999999954</v>
      </c>
      <c r="K399">
        <v>-1.499999999999968</v>
      </c>
    </row>
    <row r="400" spans="1:11" x14ac:dyDescent="0.25">
      <c r="A400" s="374">
        <v>46244</v>
      </c>
      <c r="I400">
        <v>0</v>
      </c>
      <c r="J400">
        <v>0</v>
      </c>
      <c r="K400">
        <v>0</v>
      </c>
    </row>
    <row r="401" spans="1:11" x14ac:dyDescent="0.25">
      <c r="A401" s="374">
        <v>46244</v>
      </c>
      <c r="I401">
        <v>0</v>
      </c>
      <c r="J401">
        <v>0</v>
      </c>
      <c r="K401">
        <v>0</v>
      </c>
    </row>
    <row r="402" spans="1:11" x14ac:dyDescent="0.25">
      <c r="A402" s="374">
        <v>46244</v>
      </c>
      <c r="I402">
        <v>0</v>
      </c>
      <c r="J402">
        <v>0</v>
      </c>
      <c r="K402">
        <v>0</v>
      </c>
    </row>
    <row r="403" spans="1:11" x14ac:dyDescent="0.25">
      <c r="A403" s="374">
        <v>46244</v>
      </c>
      <c r="I403">
        <v>0</v>
      </c>
      <c r="J403">
        <v>0</v>
      </c>
      <c r="K403">
        <v>0</v>
      </c>
    </row>
    <row r="404" spans="1:11" x14ac:dyDescent="0.25">
      <c r="A404" s="374">
        <v>46244</v>
      </c>
      <c r="I404">
        <v>0</v>
      </c>
      <c r="J404">
        <v>0</v>
      </c>
      <c r="K404">
        <v>0</v>
      </c>
    </row>
    <row r="405" spans="1:11" x14ac:dyDescent="0.25">
      <c r="A405" s="374">
        <v>46244</v>
      </c>
      <c r="I405">
        <v>0</v>
      </c>
      <c r="J405">
        <v>0</v>
      </c>
      <c r="K405">
        <v>0</v>
      </c>
    </row>
    <row r="406" spans="1:11" x14ac:dyDescent="0.25">
      <c r="A406" s="374">
        <v>46245</v>
      </c>
      <c r="B406" t="s">
        <v>9</v>
      </c>
      <c r="C406" t="s">
        <v>177</v>
      </c>
      <c r="D406" t="s">
        <v>178</v>
      </c>
      <c r="E406">
        <v>4.2850000000000001</v>
      </c>
      <c r="F406">
        <v>3.5000000000000142</v>
      </c>
      <c r="G406">
        <v>3.5000000000000142</v>
      </c>
      <c r="H406">
        <v>0.14000000000000057</v>
      </c>
      <c r="I406">
        <v>0</v>
      </c>
      <c r="J406">
        <v>-4.9999999999999822</v>
      </c>
      <c r="K406">
        <v>-14.499999999999957</v>
      </c>
    </row>
    <row r="407" spans="1:11" x14ac:dyDescent="0.25">
      <c r="A407" s="374">
        <v>46245</v>
      </c>
      <c r="B407" t="s">
        <v>10</v>
      </c>
      <c r="C407" t="s">
        <v>178</v>
      </c>
      <c r="D407" t="s">
        <v>179</v>
      </c>
      <c r="E407">
        <v>4.415</v>
      </c>
      <c r="F407">
        <v>12.999999999999989</v>
      </c>
      <c r="G407">
        <v>16.500000000000004</v>
      </c>
      <c r="H407">
        <v>0.66000000000000014</v>
      </c>
      <c r="I407">
        <v>0.49999999999998934</v>
      </c>
      <c r="J407">
        <v>-4.9999999999999822</v>
      </c>
      <c r="K407">
        <v>-12.750000000000039</v>
      </c>
    </row>
    <row r="408" spans="1:11" x14ac:dyDescent="0.25">
      <c r="A408" s="374">
        <v>46245</v>
      </c>
      <c r="B408" t="s">
        <v>12</v>
      </c>
      <c r="C408" t="s">
        <v>179</v>
      </c>
      <c r="D408" t="s">
        <v>180</v>
      </c>
      <c r="E408">
        <v>4.46</v>
      </c>
      <c r="F408">
        <v>4.4999999999999929</v>
      </c>
      <c r="G408">
        <v>20.999999999999996</v>
      </c>
      <c r="H408">
        <v>0.83999999999999986</v>
      </c>
      <c r="I408">
        <v>0</v>
      </c>
      <c r="J408">
        <v>-4.9999999999999822</v>
      </c>
      <c r="K408">
        <v>-13.750000000000018</v>
      </c>
    </row>
    <row r="409" spans="1:11" x14ac:dyDescent="0.25">
      <c r="A409" s="374">
        <v>46245</v>
      </c>
      <c r="B409" t="s">
        <v>13</v>
      </c>
      <c r="C409" t="s">
        <v>180</v>
      </c>
      <c r="D409" t="s">
        <v>194</v>
      </c>
      <c r="E409">
        <v>4.5</v>
      </c>
      <c r="F409">
        <v>4.0000000000000036</v>
      </c>
      <c r="G409">
        <v>25</v>
      </c>
      <c r="H409">
        <v>1</v>
      </c>
      <c r="I409">
        <v>0</v>
      </c>
      <c r="J409">
        <v>-4.9999999999999822</v>
      </c>
      <c r="K409">
        <v>-12.999999999999989</v>
      </c>
    </row>
    <row r="410" spans="1:11" x14ac:dyDescent="0.25">
      <c r="A410" s="374">
        <v>46245</v>
      </c>
      <c r="B410" t="s">
        <v>28</v>
      </c>
      <c r="C410" t="s">
        <v>194</v>
      </c>
      <c r="D410" t="s">
        <v>195</v>
      </c>
      <c r="E410">
        <v>4.5049999999999999</v>
      </c>
      <c r="F410">
        <v>0.49999999999998934</v>
      </c>
      <c r="G410">
        <v>25.499999999999989</v>
      </c>
      <c r="H410">
        <v>1.0199999999999996</v>
      </c>
      <c r="I410">
        <v>-0.49999999999998934</v>
      </c>
      <c r="J410">
        <v>-7.0000000000000284</v>
      </c>
      <c r="K410">
        <v>-14.500000000000046</v>
      </c>
    </row>
    <row r="411" spans="1:11" x14ac:dyDescent="0.25">
      <c r="A411" s="374">
        <v>46245</v>
      </c>
      <c r="B411" t="s">
        <v>15</v>
      </c>
      <c r="C411" t="s">
        <v>195</v>
      </c>
      <c r="D411" t="s">
        <v>148</v>
      </c>
      <c r="E411">
        <v>4.5025000000000004</v>
      </c>
      <c r="F411">
        <v>-0.24999999999995026</v>
      </c>
      <c r="G411">
        <v>25.250000000000039</v>
      </c>
      <c r="H411">
        <v>1.0100000000000016</v>
      </c>
      <c r="I411">
        <v>-0.49999999999998934</v>
      </c>
      <c r="J411">
        <v>-7.9999999999999183</v>
      </c>
      <c r="K411">
        <v>-14.499999999999957</v>
      </c>
    </row>
    <row r="412" spans="1:11" x14ac:dyDescent="0.25">
      <c r="A412" s="374">
        <v>46245</v>
      </c>
      <c r="I412">
        <v>0</v>
      </c>
      <c r="J412">
        <v>0</v>
      </c>
      <c r="K412">
        <v>0</v>
      </c>
    </row>
    <row r="413" spans="1:11" x14ac:dyDescent="0.25">
      <c r="A413" s="374">
        <v>46245</v>
      </c>
      <c r="I413">
        <v>0</v>
      </c>
      <c r="J413">
        <v>0</v>
      </c>
      <c r="K413">
        <v>0</v>
      </c>
    </row>
    <row r="414" spans="1:11" x14ac:dyDescent="0.25">
      <c r="A414" s="374">
        <v>46245</v>
      </c>
      <c r="I414">
        <v>0</v>
      </c>
      <c r="J414">
        <v>0</v>
      </c>
      <c r="K414">
        <v>0</v>
      </c>
    </row>
    <row r="415" spans="1:11" x14ac:dyDescent="0.25">
      <c r="A415" s="374">
        <v>46245</v>
      </c>
      <c r="I415">
        <v>0</v>
      </c>
      <c r="J415">
        <v>0</v>
      </c>
      <c r="K415">
        <v>0</v>
      </c>
    </row>
    <row r="416" spans="1:11" x14ac:dyDescent="0.25">
      <c r="A416" s="374">
        <v>46245</v>
      </c>
      <c r="I416">
        <v>0</v>
      </c>
      <c r="J416">
        <v>0</v>
      </c>
      <c r="K416">
        <v>0</v>
      </c>
    </row>
    <row r="417" spans="1:11" x14ac:dyDescent="0.25">
      <c r="A417" s="374">
        <v>46245</v>
      </c>
      <c r="I417">
        <v>0</v>
      </c>
      <c r="J417">
        <v>0</v>
      </c>
      <c r="K417">
        <v>0</v>
      </c>
    </row>
    <row r="418" spans="1:11" x14ac:dyDescent="0.25">
      <c r="A418" s="374">
        <v>46246</v>
      </c>
      <c r="B418" t="s">
        <v>9</v>
      </c>
      <c r="C418" t="s">
        <v>177</v>
      </c>
      <c r="D418" t="s">
        <v>178</v>
      </c>
      <c r="E418">
        <v>4.2850000000000001</v>
      </c>
      <c r="F418">
        <v>3.5000000000000142</v>
      </c>
      <c r="G418">
        <v>3.5000000000000142</v>
      </c>
      <c r="H418">
        <v>0.14000000000000057</v>
      </c>
      <c r="I418">
        <v>0</v>
      </c>
      <c r="J418">
        <v>-4.0000000000000036</v>
      </c>
      <c r="K418">
        <v>-9.4999999999999751</v>
      </c>
    </row>
    <row r="419" spans="1:11" x14ac:dyDescent="0.25">
      <c r="A419" s="374">
        <v>46246</v>
      </c>
      <c r="B419" t="s">
        <v>10</v>
      </c>
      <c r="C419" t="s">
        <v>178</v>
      </c>
      <c r="D419" t="s">
        <v>179</v>
      </c>
      <c r="E419">
        <v>4.415</v>
      </c>
      <c r="F419">
        <v>12.999999999999989</v>
      </c>
      <c r="G419">
        <v>16.500000000000004</v>
      </c>
      <c r="H419">
        <v>0.66000000000000014</v>
      </c>
      <c r="I419">
        <v>0</v>
      </c>
      <c r="J419">
        <v>-4.0000000000000036</v>
      </c>
      <c r="K419">
        <v>-5.9999999999999609</v>
      </c>
    </row>
    <row r="420" spans="1:11" x14ac:dyDescent="0.25">
      <c r="A420" s="374">
        <v>46246</v>
      </c>
      <c r="B420" t="s">
        <v>12</v>
      </c>
      <c r="C420" t="s">
        <v>179</v>
      </c>
      <c r="D420" t="s">
        <v>180</v>
      </c>
      <c r="E420">
        <v>4.4649999999999999</v>
      </c>
      <c r="F420">
        <v>4.9999999999999822</v>
      </c>
      <c r="G420">
        <v>21.499999999999986</v>
      </c>
      <c r="H420">
        <v>0.85999999999999943</v>
      </c>
      <c r="I420">
        <v>0.49999999999998934</v>
      </c>
      <c r="J420">
        <v>-4.0000000000000036</v>
      </c>
      <c r="K420">
        <v>-4.4999999999999929</v>
      </c>
    </row>
    <row r="421" spans="1:11" x14ac:dyDescent="0.25">
      <c r="A421" s="374">
        <v>46246</v>
      </c>
      <c r="B421" t="s">
        <v>13</v>
      </c>
      <c r="C421" t="s">
        <v>180</v>
      </c>
      <c r="D421" t="s">
        <v>194</v>
      </c>
      <c r="E421">
        <v>4.5049999999999999</v>
      </c>
      <c r="F421">
        <v>4.0000000000000036</v>
      </c>
      <c r="G421">
        <v>25.499999999999989</v>
      </c>
      <c r="H421">
        <v>1.0199999999999996</v>
      </c>
      <c r="I421">
        <v>0.49999999999998934</v>
      </c>
      <c r="J421">
        <v>-3.5000000000000142</v>
      </c>
      <c r="K421">
        <v>-2.5000000000000355</v>
      </c>
    </row>
    <row r="422" spans="1:11" x14ac:dyDescent="0.25">
      <c r="A422" s="374">
        <v>46246</v>
      </c>
      <c r="B422" t="s">
        <v>28</v>
      </c>
      <c r="C422" t="s">
        <v>194</v>
      </c>
      <c r="D422" t="s">
        <v>195</v>
      </c>
      <c r="E422">
        <v>4.51</v>
      </c>
      <c r="F422">
        <v>0.49999999999998934</v>
      </c>
      <c r="G422">
        <v>25.999999999999979</v>
      </c>
      <c r="H422">
        <v>1.0399999999999991</v>
      </c>
      <c r="I422">
        <v>0.49999999999998934</v>
      </c>
      <c r="J422">
        <v>-5.5000000000000604</v>
      </c>
      <c r="K422">
        <v>-2.5000000000000355</v>
      </c>
    </row>
    <row r="423" spans="1:11" x14ac:dyDescent="0.25">
      <c r="A423" s="374">
        <v>46246</v>
      </c>
      <c r="B423" t="s">
        <v>15</v>
      </c>
      <c r="C423" t="s">
        <v>195</v>
      </c>
      <c r="D423" t="s">
        <v>148</v>
      </c>
      <c r="E423">
        <v>4.5075000000000003</v>
      </c>
      <c r="F423">
        <v>-0.24999999999995026</v>
      </c>
      <c r="G423">
        <v>25.750000000000028</v>
      </c>
      <c r="H423">
        <v>1.0300000000000011</v>
      </c>
      <c r="I423">
        <v>0.49999999999998934</v>
      </c>
      <c r="J423">
        <v>-6.4999999999999503</v>
      </c>
      <c r="K423">
        <v>-1.499999999999968</v>
      </c>
    </row>
    <row r="424" spans="1:11" x14ac:dyDescent="0.25">
      <c r="A424" s="374">
        <v>46246</v>
      </c>
      <c r="I424">
        <v>0</v>
      </c>
      <c r="J424">
        <v>0</v>
      </c>
      <c r="K424">
        <v>0</v>
      </c>
    </row>
    <row r="425" spans="1:11" x14ac:dyDescent="0.25">
      <c r="A425" s="374">
        <v>46246</v>
      </c>
      <c r="I425">
        <v>0</v>
      </c>
      <c r="J425">
        <v>0</v>
      </c>
      <c r="K425">
        <v>0</v>
      </c>
    </row>
    <row r="426" spans="1:11" x14ac:dyDescent="0.25">
      <c r="A426" s="374">
        <v>46246</v>
      </c>
      <c r="I426">
        <v>0</v>
      </c>
      <c r="J426">
        <v>0</v>
      </c>
      <c r="K426">
        <v>0</v>
      </c>
    </row>
    <row r="427" spans="1:11" x14ac:dyDescent="0.25">
      <c r="A427" s="374">
        <v>46246</v>
      </c>
      <c r="I427">
        <v>0</v>
      </c>
      <c r="J427">
        <v>0</v>
      </c>
      <c r="K427">
        <v>0</v>
      </c>
    </row>
    <row r="428" spans="1:11" x14ac:dyDescent="0.25">
      <c r="A428" s="374">
        <v>46246</v>
      </c>
      <c r="I428">
        <v>0</v>
      </c>
      <c r="J428">
        <v>0</v>
      </c>
      <c r="K428">
        <v>0</v>
      </c>
    </row>
    <row r="429" spans="1:11" x14ac:dyDescent="0.25">
      <c r="A429" s="374">
        <v>46246</v>
      </c>
      <c r="I429">
        <v>0</v>
      </c>
      <c r="J429">
        <v>0</v>
      </c>
      <c r="K429">
        <v>0</v>
      </c>
    </row>
    <row r="430" spans="1:11" x14ac:dyDescent="0.25">
      <c r="A430" s="374">
        <v>46247</v>
      </c>
      <c r="B430" t="s">
        <v>9</v>
      </c>
      <c r="C430" t="s">
        <v>177</v>
      </c>
      <c r="D430" t="s">
        <v>178</v>
      </c>
      <c r="E430">
        <v>4.26</v>
      </c>
      <c r="F430">
        <v>0.99999999999997868</v>
      </c>
      <c r="G430">
        <v>0.99999999999997868</v>
      </c>
      <c r="H430">
        <v>3.9999999999999147E-2</v>
      </c>
      <c r="I430">
        <v>-2.5000000000000355</v>
      </c>
      <c r="J430">
        <v>-6.0000000000000497</v>
      </c>
      <c r="K430">
        <v>-12.5</v>
      </c>
    </row>
    <row r="431" spans="1:11" x14ac:dyDescent="0.25">
      <c r="A431" s="374">
        <v>46247</v>
      </c>
      <c r="B431" t="s">
        <v>10</v>
      </c>
      <c r="C431" t="s">
        <v>178</v>
      </c>
      <c r="D431" t="s">
        <v>179</v>
      </c>
      <c r="E431">
        <v>4.4050000000000002</v>
      </c>
      <c r="F431">
        <v>14.500000000000046</v>
      </c>
      <c r="G431">
        <v>15.500000000000025</v>
      </c>
      <c r="H431">
        <v>0.62000000000000099</v>
      </c>
      <c r="I431">
        <v>-0.99999999999997868</v>
      </c>
      <c r="J431">
        <v>-4.9999999999999822</v>
      </c>
      <c r="K431">
        <v>-7.5000000000000178</v>
      </c>
    </row>
    <row r="432" spans="1:11" x14ac:dyDescent="0.25">
      <c r="A432" s="374">
        <v>46247</v>
      </c>
      <c r="B432" t="s">
        <v>12</v>
      </c>
      <c r="C432" t="s">
        <v>179</v>
      </c>
      <c r="D432" t="s">
        <v>180</v>
      </c>
      <c r="E432">
        <v>4.45</v>
      </c>
      <c r="F432">
        <v>4.4999999999999929</v>
      </c>
      <c r="G432">
        <v>20.000000000000018</v>
      </c>
      <c r="H432">
        <v>0.80000000000000071</v>
      </c>
      <c r="I432">
        <v>-1.499999999999968</v>
      </c>
      <c r="J432">
        <v>-5.4999999999999716</v>
      </c>
      <c r="K432">
        <v>-6.9999999999999396</v>
      </c>
    </row>
    <row r="433" spans="1:12" x14ac:dyDescent="0.25">
      <c r="A433" s="374">
        <v>46247</v>
      </c>
      <c r="B433" t="s">
        <v>13</v>
      </c>
      <c r="C433" t="s">
        <v>180</v>
      </c>
      <c r="D433" t="s">
        <v>194</v>
      </c>
      <c r="E433">
        <v>4.49</v>
      </c>
      <c r="F433">
        <v>4.0000000000000036</v>
      </c>
      <c r="G433">
        <v>24.000000000000021</v>
      </c>
      <c r="H433">
        <v>0.96000000000000085</v>
      </c>
      <c r="I433">
        <v>-1.499999999999968</v>
      </c>
      <c r="J433">
        <v>-5.4999999999999716</v>
      </c>
      <c r="K433">
        <v>-5.9999999999999609</v>
      </c>
    </row>
    <row r="434" spans="1:12" x14ac:dyDescent="0.25">
      <c r="A434" s="374">
        <v>46247</v>
      </c>
      <c r="B434" t="s">
        <v>28</v>
      </c>
      <c r="C434" t="s">
        <v>194</v>
      </c>
      <c r="D434" t="s">
        <v>195</v>
      </c>
      <c r="E434">
        <v>4.4950000000000001</v>
      </c>
      <c r="F434">
        <v>0.49999999999998934</v>
      </c>
      <c r="G434">
        <v>24.500000000000011</v>
      </c>
      <c r="H434">
        <v>0.98000000000000043</v>
      </c>
      <c r="I434">
        <v>-1.499999999999968</v>
      </c>
      <c r="J434">
        <v>-7.5000000000000178</v>
      </c>
      <c r="K434">
        <v>-5.9999999999999609</v>
      </c>
    </row>
    <row r="435" spans="1:12" x14ac:dyDescent="0.25">
      <c r="A435" s="374">
        <v>46247</v>
      </c>
      <c r="B435" t="s">
        <v>15</v>
      </c>
      <c r="C435" t="s">
        <v>195</v>
      </c>
      <c r="D435" t="s">
        <v>148</v>
      </c>
      <c r="E435">
        <v>4.4924999999999997</v>
      </c>
      <c r="F435">
        <v>-0.25000000000003908</v>
      </c>
      <c r="G435">
        <v>24.249999999999972</v>
      </c>
      <c r="H435">
        <v>0.96999999999999886</v>
      </c>
      <c r="I435">
        <v>-1.5000000000000568</v>
      </c>
      <c r="J435">
        <v>-7.5000000000000178</v>
      </c>
      <c r="K435">
        <v>-5.0000000000000711</v>
      </c>
    </row>
    <row r="436" spans="1:12" x14ac:dyDescent="0.25">
      <c r="A436" s="374">
        <v>46247</v>
      </c>
      <c r="I436">
        <v>0</v>
      </c>
      <c r="J436">
        <v>0</v>
      </c>
      <c r="K436">
        <v>0</v>
      </c>
    </row>
    <row r="437" spans="1:12" x14ac:dyDescent="0.25">
      <c r="A437" s="374">
        <v>46247</v>
      </c>
      <c r="I437">
        <v>0</v>
      </c>
      <c r="J437">
        <v>0</v>
      </c>
      <c r="K437">
        <v>0</v>
      </c>
    </row>
    <row r="438" spans="1:12" x14ac:dyDescent="0.25">
      <c r="A438" s="374">
        <v>46247</v>
      </c>
      <c r="I438">
        <v>0</v>
      </c>
      <c r="J438">
        <v>0</v>
      </c>
      <c r="K438">
        <v>0</v>
      </c>
    </row>
    <row r="439" spans="1:12" x14ac:dyDescent="0.25">
      <c r="A439" s="374">
        <v>46247</v>
      </c>
      <c r="I439">
        <v>0</v>
      </c>
      <c r="J439">
        <v>0</v>
      </c>
      <c r="K439">
        <v>0</v>
      </c>
    </row>
    <row r="440" spans="1:12" x14ac:dyDescent="0.25">
      <c r="A440" s="374">
        <v>46247</v>
      </c>
      <c r="I440">
        <v>0</v>
      </c>
      <c r="J440">
        <v>0</v>
      </c>
      <c r="K440">
        <v>0</v>
      </c>
    </row>
    <row r="441" spans="1:12" x14ac:dyDescent="0.25">
      <c r="A441" s="374">
        <v>46247</v>
      </c>
      <c r="I441">
        <v>0</v>
      </c>
      <c r="J441">
        <v>0</v>
      </c>
      <c r="K441">
        <v>0</v>
      </c>
    </row>
    <row r="442" spans="1:12" x14ac:dyDescent="0.25">
      <c r="A442" s="374">
        <v>46248</v>
      </c>
      <c r="B442" t="s">
        <v>10</v>
      </c>
      <c r="C442" t="s">
        <v>178</v>
      </c>
      <c r="D442" t="s">
        <v>179</v>
      </c>
      <c r="E442">
        <v>4.4050000000000002</v>
      </c>
      <c r="F442">
        <v>15.500000000000025</v>
      </c>
      <c r="G442">
        <v>15.500000000000025</v>
      </c>
      <c r="H442">
        <v>0.62000000000000099</v>
      </c>
      <c r="I442">
        <v>0</v>
      </c>
      <c r="J442">
        <v>-3</v>
      </c>
      <c r="K442">
        <v>-8.5</v>
      </c>
      <c r="L442" t="s">
        <v>214</v>
      </c>
    </row>
    <row r="443" spans="1:12" x14ac:dyDescent="0.25">
      <c r="A443" s="374">
        <v>46248</v>
      </c>
      <c r="B443" t="s">
        <v>12</v>
      </c>
      <c r="C443" t="s">
        <v>179</v>
      </c>
      <c r="D443" t="s">
        <v>180</v>
      </c>
      <c r="E443">
        <v>4.4550000000000001</v>
      </c>
      <c r="F443">
        <v>4.9999999999999822</v>
      </c>
      <c r="G443">
        <v>20.500000000000007</v>
      </c>
      <c r="H443">
        <v>0.82000000000000028</v>
      </c>
      <c r="I443">
        <v>0.5</v>
      </c>
      <c r="J443">
        <v>-3</v>
      </c>
      <c r="K443">
        <v>-9.75</v>
      </c>
    </row>
    <row r="444" spans="1:12" x14ac:dyDescent="0.25">
      <c r="A444" s="374">
        <v>46248</v>
      </c>
      <c r="B444" t="s">
        <v>13</v>
      </c>
      <c r="C444" t="s">
        <v>180</v>
      </c>
      <c r="D444" t="s">
        <v>194</v>
      </c>
      <c r="E444">
        <v>4.5</v>
      </c>
      <c r="F444">
        <v>4.4999999999999929</v>
      </c>
      <c r="G444">
        <v>25</v>
      </c>
      <c r="H444">
        <v>1</v>
      </c>
      <c r="I444">
        <v>1</v>
      </c>
      <c r="J444">
        <v>-3</v>
      </c>
      <c r="K444">
        <v>-8</v>
      </c>
    </row>
    <row r="445" spans="1:12" x14ac:dyDescent="0.25">
      <c r="A445" s="374">
        <v>46248</v>
      </c>
      <c r="B445" t="s">
        <v>28</v>
      </c>
      <c r="C445" t="s">
        <v>194</v>
      </c>
      <c r="D445" t="s">
        <v>195</v>
      </c>
      <c r="E445">
        <v>4.5049999999999999</v>
      </c>
      <c r="F445">
        <v>0.49999999999998934</v>
      </c>
      <c r="G445">
        <v>25.499999999999989</v>
      </c>
      <c r="H445">
        <v>1.0199999999999996</v>
      </c>
      <c r="I445">
        <v>1</v>
      </c>
      <c r="J445">
        <v>-3.5</v>
      </c>
      <c r="K445">
        <v>-10</v>
      </c>
    </row>
    <row r="446" spans="1:12" x14ac:dyDescent="0.25">
      <c r="A446" s="374">
        <v>46248</v>
      </c>
      <c r="B446" t="s">
        <v>15</v>
      </c>
      <c r="C446" t="s">
        <v>195</v>
      </c>
      <c r="D446" t="s">
        <v>148</v>
      </c>
      <c r="E446">
        <v>4.5025000000000004</v>
      </c>
      <c r="F446">
        <v>-0.24999999999995026</v>
      </c>
      <c r="G446">
        <v>25.250000000000039</v>
      </c>
      <c r="H446">
        <v>1.0100000000000016</v>
      </c>
      <c r="I446">
        <v>1</v>
      </c>
      <c r="J446">
        <v>-3.5</v>
      </c>
      <c r="K446">
        <v>-11</v>
      </c>
    </row>
    <row r="447" spans="1:12" x14ac:dyDescent="0.25">
      <c r="A447" s="374">
        <v>46248</v>
      </c>
      <c r="B447" t="s">
        <v>17</v>
      </c>
      <c r="C447" t="s">
        <v>148</v>
      </c>
      <c r="D447" t="s">
        <v>196</v>
      </c>
      <c r="I447">
        <v>0</v>
      </c>
      <c r="J447">
        <v>0</v>
      </c>
      <c r="K447">
        <v>0</v>
      </c>
    </row>
    <row r="448" spans="1:12" x14ac:dyDescent="0.25">
      <c r="A448" s="374">
        <v>46248</v>
      </c>
      <c r="I448">
        <v>0</v>
      </c>
      <c r="J448">
        <v>0</v>
      </c>
      <c r="K448">
        <v>0</v>
      </c>
    </row>
    <row r="449" spans="1:11" x14ac:dyDescent="0.25">
      <c r="A449" s="374">
        <v>46248</v>
      </c>
      <c r="I449">
        <v>0</v>
      </c>
      <c r="J449">
        <v>0</v>
      </c>
      <c r="K449">
        <v>0</v>
      </c>
    </row>
    <row r="450" spans="1:11" x14ac:dyDescent="0.25">
      <c r="A450" s="374">
        <v>46248</v>
      </c>
      <c r="I450">
        <v>0</v>
      </c>
      <c r="J450">
        <v>0</v>
      </c>
      <c r="K450">
        <v>0</v>
      </c>
    </row>
    <row r="451" spans="1:11" x14ac:dyDescent="0.25">
      <c r="A451" s="374">
        <v>46248</v>
      </c>
      <c r="I451">
        <v>0</v>
      </c>
      <c r="J451">
        <v>0</v>
      </c>
      <c r="K451">
        <v>0</v>
      </c>
    </row>
    <row r="452" spans="1:11" x14ac:dyDescent="0.25">
      <c r="A452" s="374">
        <v>46248</v>
      </c>
      <c r="I452">
        <v>0</v>
      </c>
      <c r="J452">
        <v>0</v>
      </c>
      <c r="K452">
        <v>0</v>
      </c>
    </row>
    <row r="453" spans="1:11" x14ac:dyDescent="0.25">
      <c r="A453" s="374">
        <v>46248</v>
      </c>
      <c r="I453">
        <v>0</v>
      </c>
      <c r="J453">
        <v>0</v>
      </c>
      <c r="K453">
        <v>0</v>
      </c>
    </row>
    <row r="454" spans="1:11" x14ac:dyDescent="0.25">
      <c r="A454" s="374">
        <v>46251</v>
      </c>
      <c r="B454" t="s">
        <v>10</v>
      </c>
      <c r="C454" t="s">
        <v>178</v>
      </c>
      <c r="D454" t="s">
        <v>179</v>
      </c>
      <c r="E454">
        <v>4.3949999999999996</v>
      </c>
      <c r="F454">
        <v>14.499999999999957</v>
      </c>
      <c r="G454">
        <v>14.499999999999957</v>
      </c>
      <c r="H454">
        <v>0.57999999999999829</v>
      </c>
      <c r="I454">
        <v>-1.0000000000000675</v>
      </c>
      <c r="J454">
        <v>-1.5000000000000568</v>
      </c>
      <c r="K454">
        <v>-7.5000000000000178</v>
      </c>
    </row>
    <row r="455" spans="1:11" x14ac:dyDescent="0.25">
      <c r="A455" s="374">
        <v>46251</v>
      </c>
      <c r="B455" t="s">
        <v>12</v>
      </c>
      <c r="C455" t="s">
        <v>179</v>
      </c>
      <c r="D455" t="s">
        <v>180</v>
      </c>
      <c r="E455">
        <v>4.4450000000000003</v>
      </c>
      <c r="F455">
        <v>5.0000000000000711</v>
      </c>
      <c r="G455">
        <v>19.500000000000028</v>
      </c>
      <c r="H455">
        <v>0.78000000000000114</v>
      </c>
      <c r="I455">
        <v>-0.99999999999997868</v>
      </c>
      <c r="J455">
        <v>-1.499999999999968</v>
      </c>
      <c r="K455">
        <v>-5.9999999999999609</v>
      </c>
    </row>
    <row r="456" spans="1:11" x14ac:dyDescent="0.25">
      <c r="A456" s="374">
        <v>46251</v>
      </c>
      <c r="B456" t="s">
        <v>13</v>
      </c>
      <c r="C456" t="s">
        <v>180</v>
      </c>
      <c r="D456" t="s">
        <v>194</v>
      </c>
      <c r="E456">
        <v>4.4850000000000003</v>
      </c>
      <c r="F456">
        <v>4.0000000000000036</v>
      </c>
      <c r="G456">
        <v>23.500000000000032</v>
      </c>
      <c r="H456">
        <v>0.94000000000000128</v>
      </c>
      <c r="I456">
        <v>-1.499999999999968</v>
      </c>
      <c r="J456">
        <v>-1.499999999999968</v>
      </c>
      <c r="K456">
        <v>-3.4999999999999254</v>
      </c>
    </row>
    <row r="457" spans="1:11" x14ac:dyDescent="0.25">
      <c r="A457" s="374">
        <v>46251</v>
      </c>
      <c r="B457" t="s">
        <v>28</v>
      </c>
      <c r="C457" t="s">
        <v>194</v>
      </c>
      <c r="D457" t="s">
        <v>195</v>
      </c>
      <c r="E457">
        <v>4.51</v>
      </c>
      <c r="F457">
        <v>2.4999999999999467</v>
      </c>
      <c r="G457">
        <v>25.999999999999979</v>
      </c>
      <c r="H457">
        <v>1.0399999999999991</v>
      </c>
      <c r="I457">
        <v>0.49999999999998934</v>
      </c>
      <c r="J457">
        <v>0</v>
      </c>
      <c r="K457">
        <v>-1.5000000000000568</v>
      </c>
    </row>
    <row r="458" spans="1:11" x14ac:dyDescent="0.25">
      <c r="A458" s="374">
        <v>46251</v>
      </c>
      <c r="B458" t="s">
        <v>15</v>
      </c>
      <c r="C458" t="s">
        <v>195</v>
      </c>
      <c r="D458" t="s">
        <v>148</v>
      </c>
      <c r="E458">
        <v>4.5075000000000003</v>
      </c>
      <c r="F458">
        <v>-0.24999999999995026</v>
      </c>
      <c r="G458">
        <v>25.750000000000028</v>
      </c>
      <c r="H458">
        <v>1.0300000000000011</v>
      </c>
      <c r="I458">
        <v>0.49999999999998934</v>
      </c>
      <c r="J458">
        <v>0</v>
      </c>
      <c r="K458">
        <v>-1.499999999999968</v>
      </c>
    </row>
    <row r="459" spans="1:11" x14ac:dyDescent="0.25">
      <c r="A459" s="374">
        <v>46251</v>
      </c>
      <c r="B459" t="s">
        <v>17</v>
      </c>
      <c r="C459" t="s">
        <v>148</v>
      </c>
      <c r="D459" t="s">
        <v>196</v>
      </c>
      <c r="E459">
        <v>4.4725000000000001</v>
      </c>
      <c r="F459">
        <v>-3.5000000000000142</v>
      </c>
      <c r="G459">
        <v>22.250000000000014</v>
      </c>
      <c r="H459">
        <v>0.89000000000000057</v>
      </c>
      <c r="I459">
        <v>447.25</v>
      </c>
      <c r="J459" t="s">
        <v>41</v>
      </c>
      <c r="K459" t="s">
        <v>41</v>
      </c>
    </row>
    <row r="460" spans="1:11" x14ac:dyDescent="0.25">
      <c r="A460" s="374">
        <v>46251</v>
      </c>
      <c r="I460">
        <v>0</v>
      </c>
      <c r="J460">
        <v>0</v>
      </c>
      <c r="K460">
        <v>0</v>
      </c>
    </row>
    <row r="461" spans="1:11" x14ac:dyDescent="0.25">
      <c r="A461" s="374">
        <v>46251</v>
      </c>
      <c r="I461">
        <v>0</v>
      </c>
      <c r="J461">
        <v>0</v>
      </c>
      <c r="K461">
        <v>0</v>
      </c>
    </row>
    <row r="462" spans="1:11" x14ac:dyDescent="0.25">
      <c r="A462" s="374">
        <v>46251</v>
      </c>
      <c r="I462">
        <v>0</v>
      </c>
      <c r="J462">
        <v>0</v>
      </c>
      <c r="K462">
        <v>0</v>
      </c>
    </row>
    <row r="463" spans="1:11" x14ac:dyDescent="0.25">
      <c r="A463" s="374">
        <v>46251</v>
      </c>
      <c r="I463">
        <v>0</v>
      </c>
      <c r="J463">
        <v>0</v>
      </c>
      <c r="K463">
        <v>0</v>
      </c>
    </row>
    <row r="464" spans="1:11" x14ac:dyDescent="0.25">
      <c r="A464" s="374">
        <v>46251</v>
      </c>
      <c r="I464">
        <v>0</v>
      </c>
      <c r="J464">
        <v>0</v>
      </c>
      <c r="K464">
        <v>0</v>
      </c>
    </row>
    <row r="465" spans="1:11" x14ac:dyDescent="0.25">
      <c r="A465" s="374">
        <v>46251</v>
      </c>
      <c r="I465">
        <v>0</v>
      </c>
      <c r="J465">
        <v>0</v>
      </c>
      <c r="K465">
        <v>0</v>
      </c>
    </row>
    <row r="466" spans="1:11" x14ac:dyDescent="0.25">
      <c r="A466" s="374">
        <v>46252</v>
      </c>
      <c r="B466" t="s">
        <v>10</v>
      </c>
      <c r="C466" t="s">
        <v>178</v>
      </c>
      <c r="D466" t="s">
        <v>179</v>
      </c>
      <c r="E466">
        <v>4.4000000000000004</v>
      </c>
      <c r="F466">
        <v>15.000000000000036</v>
      </c>
      <c r="G466">
        <v>15.000000000000036</v>
      </c>
      <c r="H466">
        <v>0.60000000000000142</v>
      </c>
      <c r="I466">
        <v>0.50000000000007816</v>
      </c>
      <c r="J466">
        <v>-1.499999999999968</v>
      </c>
      <c r="K466">
        <v>-7.4999999999999289</v>
      </c>
    </row>
    <row r="467" spans="1:11" x14ac:dyDescent="0.25">
      <c r="A467" s="374">
        <v>46252</v>
      </c>
      <c r="B467" t="s">
        <v>12</v>
      </c>
      <c r="C467" t="s">
        <v>179</v>
      </c>
      <c r="D467" t="s">
        <v>180</v>
      </c>
      <c r="E467">
        <v>4.46</v>
      </c>
      <c r="F467">
        <v>5.9999999999999609</v>
      </c>
      <c r="G467">
        <v>20.999999999999996</v>
      </c>
      <c r="H467">
        <v>0.83999999999999986</v>
      </c>
      <c r="I467">
        <v>1.499999999999968</v>
      </c>
      <c r="J467">
        <v>0</v>
      </c>
      <c r="K467">
        <v>-5.4999999999999716</v>
      </c>
    </row>
    <row r="468" spans="1:11" x14ac:dyDescent="0.25">
      <c r="A468" s="374">
        <v>46252</v>
      </c>
      <c r="B468" t="s">
        <v>13</v>
      </c>
      <c r="C468" t="s">
        <v>180</v>
      </c>
      <c r="D468" t="s">
        <v>194</v>
      </c>
      <c r="E468">
        <v>4.51</v>
      </c>
      <c r="F468">
        <v>4.9999999999999822</v>
      </c>
      <c r="G468">
        <v>25.999999999999979</v>
      </c>
      <c r="H468">
        <v>1.0399999999999991</v>
      </c>
      <c r="I468">
        <v>2.4999999999999467</v>
      </c>
      <c r="J468">
        <v>0.99999999999997868</v>
      </c>
      <c r="K468">
        <v>-2.5000000000000355</v>
      </c>
    </row>
    <row r="469" spans="1:11" x14ac:dyDescent="0.25">
      <c r="A469" s="374">
        <v>46252</v>
      </c>
      <c r="B469" t="s">
        <v>28</v>
      </c>
      <c r="C469" t="s">
        <v>194</v>
      </c>
      <c r="D469" t="s">
        <v>195</v>
      </c>
      <c r="E469">
        <v>4.5449999999999999</v>
      </c>
      <c r="F469">
        <v>3.5000000000000142</v>
      </c>
      <c r="G469">
        <v>29.499999999999993</v>
      </c>
      <c r="H469">
        <v>1.1799999999999997</v>
      </c>
      <c r="I469">
        <v>3.5000000000000142</v>
      </c>
      <c r="J469">
        <v>4.0000000000000036</v>
      </c>
      <c r="K469">
        <v>-0.49999999999998934</v>
      </c>
    </row>
    <row r="470" spans="1:11" x14ac:dyDescent="0.25">
      <c r="A470" s="374">
        <v>46252</v>
      </c>
      <c r="B470" t="s">
        <v>15</v>
      </c>
      <c r="C470" t="s">
        <v>195</v>
      </c>
      <c r="D470" t="s">
        <v>148</v>
      </c>
      <c r="E470">
        <v>4.5475000000000003</v>
      </c>
      <c r="F470">
        <v>0.25000000000003908</v>
      </c>
      <c r="G470">
        <v>29.750000000000032</v>
      </c>
      <c r="H470">
        <v>1.1900000000000013</v>
      </c>
      <c r="I470">
        <v>4.0000000000000036</v>
      </c>
      <c r="J470">
        <v>4.4999999999999929</v>
      </c>
      <c r="K470">
        <v>-1.9999999999999574</v>
      </c>
    </row>
    <row r="471" spans="1:11" x14ac:dyDescent="0.25">
      <c r="A471" s="374">
        <v>46252</v>
      </c>
      <c r="B471" t="s">
        <v>17</v>
      </c>
      <c r="C471" t="s">
        <v>148</v>
      </c>
      <c r="D471" t="s">
        <v>196</v>
      </c>
      <c r="E471">
        <v>4.5225</v>
      </c>
      <c r="F471">
        <v>-2.5000000000000355</v>
      </c>
      <c r="G471">
        <v>27.249999999999996</v>
      </c>
      <c r="H471">
        <v>1.0899999999999999</v>
      </c>
      <c r="I471">
        <v>4.9999999999999822</v>
      </c>
      <c r="J471" t="s">
        <v>41</v>
      </c>
      <c r="K471" t="s">
        <v>41</v>
      </c>
    </row>
    <row r="472" spans="1:11" x14ac:dyDescent="0.25">
      <c r="A472" s="374">
        <v>46252</v>
      </c>
      <c r="I472">
        <v>0</v>
      </c>
      <c r="J472">
        <v>0</v>
      </c>
      <c r="K472">
        <v>0</v>
      </c>
    </row>
    <row r="473" spans="1:11" x14ac:dyDescent="0.25">
      <c r="A473" s="374">
        <v>46252</v>
      </c>
      <c r="I473">
        <v>0</v>
      </c>
      <c r="J473">
        <v>0</v>
      </c>
      <c r="K473">
        <v>0</v>
      </c>
    </row>
    <row r="474" spans="1:11" x14ac:dyDescent="0.25">
      <c r="A474" s="374">
        <v>46252</v>
      </c>
      <c r="I474">
        <v>0</v>
      </c>
      <c r="J474">
        <v>0</v>
      </c>
      <c r="K474">
        <v>0</v>
      </c>
    </row>
    <row r="475" spans="1:11" x14ac:dyDescent="0.25">
      <c r="A475" s="374">
        <v>46252</v>
      </c>
      <c r="I475">
        <v>0</v>
      </c>
      <c r="J475">
        <v>0</v>
      </c>
      <c r="K475">
        <v>0</v>
      </c>
    </row>
    <row r="476" spans="1:11" x14ac:dyDescent="0.25">
      <c r="A476" s="374">
        <v>46252</v>
      </c>
      <c r="I476">
        <v>0</v>
      </c>
      <c r="J476">
        <v>0</v>
      </c>
      <c r="K476">
        <v>0</v>
      </c>
    </row>
    <row r="477" spans="1:11" x14ac:dyDescent="0.25">
      <c r="A477" s="374">
        <v>46252</v>
      </c>
      <c r="I477">
        <v>0</v>
      </c>
      <c r="J477">
        <v>0</v>
      </c>
      <c r="K477">
        <v>0</v>
      </c>
    </row>
    <row r="478" spans="1:11" x14ac:dyDescent="0.25">
      <c r="A478" s="374">
        <v>46253</v>
      </c>
      <c r="B478" t="s">
        <v>10</v>
      </c>
      <c r="C478" t="s">
        <v>178</v>
      </c>
      <c r="D478" t="s">
        <v>179</v>
      </c>
      <c r="E478">
        <v>4.3949999999999996</v>
      </c>
      <c r="F478">
        <v>14.499999999999957</v>
      </c>
      <c r="G478">
        <v>14.499999999999957</v>
      </c>
      <c r="H478">
        <v>0.57999999999999829</v>
      </c>
      <c r="I478">
        <v>-0.50000000000007816</v>
      </c>
      <c r="J478">
        <v>-2.0000000000000462</v>
      </c>
      <c r="K478">
        <v>-7.5000000000000178</v>
      </c>
    </row>
    <row r="479" spans="1:11" x14ac:dyDescent="0.25">
      <c r="A479" s="374">
        <v>46253</v>
      </c>
      <c r="B479" t="s">
        <v>12</v>
      </c>
      <c r="C479" t="s">
        <v>179</v>
      </c>
      <c r="D479" t="s">
        <v>180</v>
      </c>
      <c r="E479">
        <v>4.4450000000000003</v>
      </c>
      <c r="F479">
        <v>5.0000000000000711</v>
      </c>
      <c r="G479">
        <v>19.500000000000028</v>
      </c>
      <c r="H479">
        <v>0.78000000000000114</v>
      </c>
      <c r="I479">
        <v>-1.499999999999968</v>
      </c>
      <c r="J479">
        <v>-1.9999999999999574</v>
      </c>
      <c r="K479">
        <v>-5.9999999999999609</v>
      </c>
    </row>
    <row r="480" spans="1:11" x14ac:dyDescent="0.25">
      <c r="A480" s="374">
        <v>46253</v>
      </c>
      <c r="B480" t="s">
        <v>13</v>
      </c>
      <c r="C480" t="s">
        <v>180</v>
      </c>
      <c r="D480" t="s">
        <v>194</v>
      </c>
      <c r="E480">
        <v>4.4950000000000001</v>
      </c>
      <c r="F480">
        <v>4.9999999999999822</v>
      </c>
      <c r="G480">
        <v>24.500000000000011</v>
      </c>
      <c r="H480">
        <v>0.98000000000000043</v>
      </c>
      <c r="I480">
        <v>-1.499999999999968</v>
      </c>
      <c r="J480">
        <v>-0.99999999999997868</v>
      </c>
      <c r="K480">
        <v>-2.4999999999999467</v>
      </c>
    </row>
    <row r="481" spans="1:11" x14ac:dyDescent="0.25">
      <c r="A481" s="374">
        <v>46253</v>
      </c>
      <c r="B481" t="s">
        <v>28</v>
      </c>
      <c r="C481" t="s">
        <v>194</v>
      </c>
      <c r="D481" t="s">
        <v>195</v>
      </c>
      <c r="E481">
        <v>4.5250000000000004</v>
      </c>
      <c r="F481">
        <v>3.0000000000000249</v>
      </c>
      <c r="G481">
        <v>27.500000000000036</v>
      </c>
      <c r="H481">
        <v>1.1000000000000014</v>
      </c>
      <c r="I481">
        <v>-1.9999999999999574</v>
      </c>
      <c r="J481">
        <v>1.5000000000000568</v>
      </c>
      <c r="K481">
        <v>0</v>
      </c>
    </row>
    <row r="482" spans="1:11" x14ac:dyDescent="0.25">
      <c r="A482" s="374">
        <v>46253</v>
      </c>
      <c r="B482" t="s">
        <v>15</v>
      </c>
      <c r="C482" t="s">
        <v>195</v>
      </c>
      <c r="D482" t="s">
        <v>148</v>
      </c>
      <c r="E482">
        <v>4.5274999999999999</v>
      </c>
      <c r="F482">
        <v>0.24999999999995026</v>
      </c>
      <c r="G482">
        <v>27.749999999999986</v>
      </c>
      <c r="H482">
        <v>1.1099999999999994</v>
      </c>
      <c r="I482">
        <v>-2.0000000000000462</v>
      </c>
      <c r="J482">
        <v>1.9999999999999574</v>
      </c>
      <c r="K482">
        <v>0.49999999999998934</v>
      </c>
    </row>
    <row r="483" spans="1:11" x14ac:dyDescent="0.25">
      <c r="A483" s="374">
        <v>46253</v>
      </c>
      <c r="B483" t="s">
        <v>17</v>
      </c>
      <c r="C483" t="s">
        <v>148</v>
      </c>
      <c r="D483" t="s">
        <v>196</v>
      </c>
      <c r="E483">
        <v>4.5599999999999996</v>
      </c>
      <c r="F483">
        <v>3.2499999999999751</v>
      </c>
      <c r="G483">
        <v>30.999999999999961</v>
      </c>
      <c r="H483">
        <v>1.2399999999999984</v>
      </c>
      <c r="I483">
        <v>3.7499999999999645</v>
      </c>
      <c r="J483" t="s">
        <v>41</v>
      </c>
      <c r="K483" t="s">
        <v>41</v>
      </c>
    </row>
    <row r="484" spans="1:11" x14ac:dyDescent="0.25">
      <c r="A484" s="374">
        <v>46253</v>
      </c>
      <c r="I484">
        <v>0</v>
      </c>
      <c r="J484">
        <v>0</v>
      </c>
      <c r="K484">
        <v>0</v>
      </c>
    </row>
    <row r="485" spans="1:11" x14ac:dyDescent="0.25">
      <c r="A485" s="374">
        <v>46253</v>
      </c>
      <c r="I485">
        <v>0</v>
      </c>
      <c r="J485">
        <v>0</v>
      </c>
      <c r="K485">
        <v>0</v>
      </c>
    </row>
    <row r="486" spans="1:11" x14ac:dyDescent="0.25">
      <c r="A486" s="374">
        <v>46253</v>
      </c>
      <c r="I486">
        <v>0</v>
      </c>
      <c r="J486">
        <v>0</v>
      </c>
      <c r="K486">
        <v>0</v>
      </c>
    </row>
    <row r="487" spans="1:11" x14ac:dyDescent="0.25">
      <c r="A487" s="374">
        <v>46253</v>
      </c>
      <c r="I487">
        <v>0</v>
      </c>
      <c r="J487">
        <v>0</v>
      </c>
      <c r="K487">
        <v>0</v>
      </c>
    </row>
    <row r="488" spans="1:11" x14ac:dyDescent="0.25">
      <c r="A488" s="374">
        <v>46253</v>
      </c>
      <c r="I488">
        <v>0</v>
      </c>
      <c r="J488">
        <v>0</v>
      </c>
      <c r="K488">
        <v>0</v>
      </c>
    </row>
    <row r="489" spans="1:11" x14ac:dyDescent="0.25">
      <c r="A489" s="374">
        <v>46253</v>
      </c>
      <c r="I489">
        <v>0</v>
      </c>
      <c r="J489">
        <v>0</v>
      </c>
      <c r="K489">
        <v>0</v>
      </c>
    </row>
  </sheetData>
  <hyperlinks>
    <hyperlink ref="I1" r:id="rId1" display="https://www.worldsport.ge/ge/page/186696_realma-pogbas-damatebistvis-fexburteli-unda-gayidos?fbclid=IwAR1Q8_AuVjfuFyEqRQbAPIWQl1LwCJxT8yrAB4_5wAq_JUjGwmGboJ4jIZo" xr:uid="{CE1D153C-8131-4C21-A200-A27D5F68AF51}"/>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0DA85-C411-4E51-BA60-863A2FA5DF46}">
  <sheetPr codeName="Sheet14"/>
  <dimension ref="A1:W484"/>
  <sheetViews>
    <sheetView workbookViewId="0">
      <pane ySplit="1" topLeftCell="A446" activePane="bottomLeft" state="frozen"/>
      <selection pane="bottomLeft" activeCell="A473" sqref="A473:K484"/>
    </sheetView>
  </sheetViews>
  <sheetFormatPr defaultRowHeight="15" x14ac:dyDescent="0.25"/>
  <cols>
    <col min="1" max="1" width="17.28515625" customWidth="1"/>
    <col min="2" max="2" width="12.85546875" customWidth="1"/>
    <col min="3" max="3" width="14.140625" customWidth="1"/>
    <col min="4" max="4" width="12.7109375" customWidth="1"/>
    <col min="6" max="6" width="14.42578125" customWidth="1"/>
    <col min="7" max="7" width="20.42578125" customWidth="1"/>
    <col min="8" max="8" width="12" customWidth="1"/>
    <col min="9" max="9" width="10.7109375" customWidth="1"/>
    <col min="10" max="10" width="11.28515625" customWidth="1"/>
    <col min="11" max="11" width="11.42578125" customWidth="1"/>
    <col min="15" max="15" width="10.7109375" bestFit="1" customWidth="1"/>
    <col min="17" max="17" width="10.7109375" bestFit="1" customWidth="1"/>
  </cols>
  <sheetData>
    <row r="1" spans="1:23" ht="18.75" x14ac:dyDescent="0.3">
      <c r="A1" s="410" t="s">
        <v>24</v>
      </c>
      <c r="B1" s="411" t="s">
        <v>3</v>
      </c>
      <c r="C1" s="411" t="s">
        <v>4</v>
      </c>
      <c r="D1" s="411" t="s">
        <v>5</v>
      </c>
      <c r="E1" s="411" t="s">
        <v>6</v>
      </c>
      <c r="F1" s="411" t="s">
        <v>20</v>
      </c>
      <c r="G1" s="411" t="s">
        <v>7</v>
      </c>
      <c r="H1" s="411" t="s">
        <v>8</v>
      </c>
      <c r="I1" s="412" t="s">
        <v>21</v>
      </c>
      <c r="J1" s="411" t="s">
        <v>22</v>
      </c>
      <c r="K1" s="413" t="s">
        <v>23</v>
      </c>
    </row>
    <row r="2" spans="1:23" x14ac:dyDescent="0.25">
      <c r="A2" s="374">
        <v>46195</v>
      </c>
      <c r="B2" t="s">
        <v>9</v>
      </c>
      <c r="C2" s="294" t="s">
        <v>181</v>
      </c>
      <c r="D2" s="294" t="s">
        <v>182</v>
      </c>
      <c r="E2">
        <v>0.98599999999999999</v>
      </c>
      <c r="I2">
        <v>3.0000000000000001E-3</v>
      </c>
      <c r="O2" t="s">
        <v>66</v>
      </c>
      <c r="Q2" t="s">
        <v>67</v>
      </c>
      <c r="S2" t="s">
        <v>68</v>
      </c>
      <c r="U2" t="s">
        <v>69</v>
      </c>
      <c r="W2" t="s">
        <v>92</v>
      </c>
    </row>
    <row r="3" spans="1:23" x14ac:dyDescent="0.25">
      <c r="A3" s="374">
        <v>46195</v>
      </c>
      <c r="B3" t="s">
        <v>10</v>
      </c>
      <c r="C3" s="294" t="s">
        <v>183</v>
      </c>
      <c r="D3" s="294" t="s">
        <v>184</v>
      </c>
      <c r="E3">
        <v>1.0449999999999999</v>
      </c>
      <c r="I3">
        <v>1.9E-2</v>
      </c>
      <c r="O3" s="294">
        <v>46237</v>
      </c>
      <c r="Q3" s="294">
        <v>46283</v>
      </c>
      <c r="S3">
        <v>0.98599999999999999</v>
      </c>
      <c r="U3">
        <v>3.0000000000000001E-3</v>
      </c>
      <c r="W3">
        <v>0</v>
      </c>
    </row>
    <row r="4" spans="1:23" x14ac:dyDescent="0.25">
      <c r="A4" s="374">
        <v>46195</v>
      </c>
      <c r="B4" t="s">
        <v>12</v>
      </c>
      <c r="C4" s="294" t="s">
        <v>185</v>
      </c>
      <c r="D4" s="294" t="s">
        <v>180</v>
      </c>
      <c r="E4">
        <v>1.135</v>
      </c>
      <c r="I4">
        <v>2.1000000000000001E-2</v>
      </c>
      <c r="O4" s="294">
        <v>46289</v>
      </c>
      <c r="Q4" s="294">
        <v>46325</v>
      </c>
      <c r="S4">
        <v>1.0449999999999999</v>
      </c>
      <c r="U4">
        <v>1.9E-2</v>
      </c>
      <c r="W4">
        <v>5.8999999999999997E-2</v>
      </c>
    </row>
    <row r="5" spans="1:23" x14ac:dyDescent="0.25">
      <c r="A5" s="374">
        <v>46196</v>
      </c>
      <c r="B5" t="s">
        <v>9</v>
      </c>
      <c r="C5" s="294" t="s">
        <v>181</v>
      </c>
      <c r="D5" s="294" t="s">
        <v>182</v>
      </c>
      <c r="E5">
        <v>0.98499999999999999</v>
      </c>
      <c r="I5">
        <v>-1E-3</v>
      </c>
      <c r="O5" s="294">
        <v>46064</v>
      </c>
      <c r="Q5" s="294">
        <v>46374</v>
      </c>
      <c r="S5">
        <v>1.135</v>
      </c>
      <c r="U5">
        <v>2.1000000000000001E-2</v>
      </c>
      <c r="W5">
        <v>0.09</v>
      </c>
    </row>
    <row r="6" spans="1:23" x14ac:dyDescent="0.25">
      <c r="A6" s="374">
        <v>46196</v>
      </c>
      <c r="B6" t="s">
        <v>10</v>
      </c>
      <c r="C6" s="294" t="s">
        <v>183</v>
      </c>
      <c r="D6" s="294" t="s">
        <v>184</v>
      </c>
      <c r="E6">
        <v>1.044</v>
      </c>
      <c r="I6">
        <v>-1E-3</v>
      </c>
    </row>
    <row r="7" spans="1:23" x14ac:dyDescent="0.25">
      <c r="A7" s="374">
        <v>46196</v>
      </c>
      <c r="B7" t="s">
        <v>12</v>
      </c>
      <c r="C7" s="294" t="s">
        <v>185</v>
      </c>
      <c r="D7" s="294" t="s">
        <v>180</v>
      </c>
      <c r="E7">
        <v>1.135</v>
      </c>
      <c r="I7">
        <v>0</v>
      </c>
      <c r="O7" t="s">
        <v>66</v>
      </c>
      <c r="Q7" t="s">
        <v>67</v>
      </c>
      <c r="S7" t="s">
        <v>68</v>
      </c>
      <c r="U7" t="s">
        <v>69</v>
      </c>
      <c r="W7" t="s">
        <v>92</v>
      </c>
    </row>
    <row r="8" spans="1:23" x14ac:dyDescent="0.25">
      <c r="A8" s="374">
        <v>46197</v>
      </c>
      <c r="B8" t="s">
        <v>9</v>
      </c>
      <c r="C8" s="294" t="s">
        <v>181</v>
      </c>
      <c r="D8" s="294" t="s">
        <v>182</v>
      </c>
      <c r="E8">
        <v>0.98499999999999999</v>
      </c>
      <c r="I8">
        <v>0</v>
      </c>
      <c r="O8" s="294">
        <v>46237</v>
      </c>
      <c r="Q8" s="294">
        <v>46283</v>
      </c>
      <c r="S8">
        <v>0.98499999999999999</v>
      </c>
      <c r="U8">
        <v>-1E-3</v>
      </c>
      <c r="V8">
        <v>0</v>
      </c>
    </row>
    <row r="9" spans="1:23" x14ac:dyDescent="0.25">
      <c r="A9" s="374">
        <v>46197</v>
      </c>
      <c r="B9" t="s">
        <v>10</v>
      </c>
      <c r="C9" s="294" t="s">
        <v>183</v>
      </c>
      <c r="D9" s="294" t="s">
        <v>184</v>
      </c>
      <c r="E9">
        <v>1.0409999999999999</v>
      </c>
      <c r="I9">
        <v>-3.0000000000000001E-3</v>
      </c>
      <c r="O9" s="294">
        <v>46289</v>
      </c>
      <c r="Q9" s="294">
        <v>46325</v>
      </c>
      <c r="S9">
        <v>1.044</v>
      </c>
      <c r="U9">
        <v>-1E-3</v>
      </c>
      <c r="V9">
        <v>5.8999999999999997E-2</v>
      </c>
    </row>
    <row r="10" spans="1:23" x14ac:dyDescent="0.25">
      <c r="A10" s="374">
        <v>46197</v>
      </c>
      <c r="B10" t="s">
        <v>12</v>
      </c>
      <c r="C10" s="294" t="s">
        <v>185</v>
      </c>
      <c r="D10" s="294" t="s">
        <v>180</v>
      </c>
      <c r="E10">
        <v>1.1339999999999999</v>
      </c>
      <c r="I10">
        <v>-1E-3</v>
      </c>
      <c r="O10" s="294">
        <v>46328</v>
      </c>
      <c r="Q10" s="294">
        <v>46374</v>
      </c>
      <c r="S10">
        <v>1.135</v>
      </c>
      <c r="U10">
        <v>0</v>
      </c>
      <c r="W10">
        <v>9.0999999999999998E-2</v>
      </c>
    </row>
    <row r="11" spans="1:23" x14ac:dyDescent="0.25">
      <c r="A11" s="374">
        <v>46198</v>
      </c>
      <c r="B11" t="s">
        <v>9</v>
      </c>
      <c r="C11" t="s">
        <v>181</v>
      </c>
      <c r="D11" t="s">
        <v>182</v>
      </c>
      <c r="E11">
        <v>0.98</v>
      </c>
      <c r="I11">
        <v>-5.0000000000000001E-3</v>
      </c>
    </row>
    <row r="12" spans="1:23" x14ac:dyDescent="0.25">
      <c r="A12" s="374">
        <v>46198</v>
      </c>
      <c r="B12" t="s">
        <v>10</v>
      </c>
      <c r="C12" t="s">
        <v>183</v>
      </c>
      <c r="D12" t="s">
        <v>184</v>
      </c>
      <c r="E12">
        <v>1.03</v>
      </c>
      <c r="I12">
        <v>-1.4E-2</v>
      </c>
      <c r="O12" t="s">
        <v>66</v>
      </c>
      <c r="Q12" t="s">
        <v>67</v>
      </c>
      <c r="S12" t="s">
        <v>68</v>
      </c>
      <c r="U12" t="s">
        <v>69</v>
      </c>
      <c r="W12" t="s">
        <v>92</v>
      </c>
    </row>
    <row r="13" spans="1:23" x14ac:dyDescent="0.25">
      <c r="A13" s="374">
        <v>46198</v>
      </c>
      <c r="B13" t="s">
        <v>12</v>
      </c>
      <c r="C13" t="s">
        <v>185</v>
      </c>
      <c r="D13" t="s">
        <v>180</v>
      </c>
      <c r="E13">
        <v>1.1240000000000001</v>
      </c>
      <c r="I13">
        <v>-1.0999999999999999E-2</v>
      </c>
      <c r="O13" s="294">
        <v>46237</v>
      </c>
      <c r="Q13" s="294">
        <v>46283</v>
      </c>
      <c r="S13">
        <v>0.98499999999999999</v>
      </c>
      <c r="U13">
        <v>0</v>
      </c>
      <c r="W13">
        <v>0</v>
      </c>
    </row>
    <row r="14" spans="1:23" x14ac:dyDescent="0.25">
      <c r="A14" s="374">
        <v>46198</v>
      </c>
      <c r="B14" t="s">
        <v>13</v>
      </c>
      <c r="C14" t="s">
        <v>187</v>
      </c>
      <c r="D14" s="294">
        <v>46409</v>
      </c>
      <c r="E14">
        <v>1.206</v>
      </c>
      <c r="I14">
        <v>-1.4999999999999999E-2</v>
      </c>
      <c r="O14" s="294">
        <v>46289</v>
      </c>
      <c r="Q14" s="294">
        <v>46325</v>
      </c>
      <c r="S14">
        <v>1.0409999999999999</v>
      </c>
      <c r="U14">
        <v>-3.0000000000000001E-3</v>
      </c>
      <c r="V14">
        <v>5.6000000000000001E-2</v>
      </c>
    </row>
    <row r="15" spans="1:23" x14ac:dyDescent="0.25">
      <c r="A15" s="374">
        <v>46199</v>
      </c>
      <c r="B15" t="s">
        <v>9</v>
      </c>
      <c r="C15" t="s">
        <v>181</v>
      </c>
      <c r="D15" t="s">
        <v>182</v>
      </c>
      <c r="E15">
        <v>0.98099999999999998</v>
      </c>
      <c r="I15">
        <v>-4.0000000000000001E-3</v>
      </c>
      <c r="O15" s="294">
        <v>46328</v>
      </c>
      <c r="Q15" s="294">
        <v>46374</v>
      </c>
      <c r="S15">
        <v>1.1339999999999999</v>
      </c>
      <c r="U15">
        <v>-1E-3</v>
      </c>
      <c r="V15">
        <v>9.2999999999999999E-2</v>
      </c>
    </row>
    <row r="16" spans="1:23" x14ac:dyDescent="0.25">
      <c r="A16" s="374">
        <v>46199</v>
      </c>
      <c r="B16" t="s">
        <v>10</v>
      </c>
      <c r="C16" t="s">
        <v>183</v>
      </c>
      <c r="D16" t="s">
        <v>184</v>
      </c>
      <c r="E16">
        <v>1.03</v>
      </c>
      <c r="I16">
        <v>-1.4E-2</v>
      </c>
    </row>
    <row r="17" spans="1:23" x14ac:dyDescent="0.25">
      <c r="A17" s="374">
        <v>46199</v>
      </c>
      <c r="B17" t="s">
        <v>12</v>
      </c>
      <c r="C17" t="s">
        <v>185</v>
      </c>
      <c r="D17" t="s">
        <v>180</v>
      </c>
      <c r="E17">
        <v>1.1240000000000001</v>
      </c>
      <c r="I17">
        <v>-1.0999999999999999E-2</v>
      </c>
      <c r="O17" t="s">
        <v>66</v>
      </c>
      <c r="Q17" t="s">
        <v>67</v>
      </c>
      <c r="S17" t="s">
        <v>68</v>
      </c>
      <c r="U17" t="s">
        <v>69</v>
      </c>
      <c r="W17" t="s">
        <v>92</v>
      </c>
    </row>
    <row r="18" spans="1:23" x14ac:dyDescent="0.25">
      <c r="A18" s="374">
        <v>46199</v>
      </c>
      <c r="B18" t="s">
        <v>13</v>
      </c>
      <c r="C18" t="s">
        <v>187</v>
      </c>
      <c r="D18" s="294">
        <v>46409</v>
      </c>
      <c r="E18">
        <v>1.2</v>
      </c>
      <c r="I18">
        <v>-2.1000000000000001E-2</v>
      </c>
      <c r="O18" s="294">
        <v>46237</v>
      </c>
      <c r="Q18" s="294">
        <v>46283</v>
      </c>
      <c r="S18">
        <v>0.98</v>
      </c>
      <c r="U18">
        <v>-5.0000000000000001E-3</v>
      </c>
      <c r="V18">
        <v>0</v>
      </c>
    </row>
    <row r="19" spans="1:23" x14ac:dyDescent="0.25">
      <c r="A19" s="374">
        <v>46202</v>
      </c>
      <c r="B19" t="s">
        <v>9</v>
      </c>
      <c r="C19" t="s">
        <v>181</v>
      </c>
      <c r="D19" s="294" t="s">
        <v>182</v>
      </c>
      <c r="E19">
        <v>0.98124999999999996</v>
      </c>
      <c r="F19">
        <v>0.4249999999999976</v>
      </c>
      <c r="G19">
        <v>0.4249999999999976</v>
      </c>
      <c r="H19">
        <v>1.6999999999999904E-2</v>
      </c>
      <c r="I19">
        <v>2.4999999999997247E-2</v>
      </c>
      <c r="J19" t="s">
        <v>41</v>
      </c>
      <c r="K19" t="s">
        <v>41</v>
      </c>
      <c r="O19" s="294">
        <v>46289</v>
      </c>
      <c r="Q19" s="294">
        <v>46325</v>
      </c>
      <c r="S19">
        <v>1.03</v>
      </c>
      <c r="U19">
        <v>-1.4E-2</v>
      </c>
      <c r="V19">
        <v>0.05</v>
      </c>
    </row>
    <row r="20" spans="1:23" x14ac:dyDescent="0.25">
      <c r="A20" s="374">
        <v>46202</v>
      </c>
      <c r="B20" t="s">
        <v>10</v>
      </c>
      <c r="C20" t="s">
        <v>183</v>
      </c>
      <c r="D20" t="s">
        <v>184</v>
      </c>
      <c r="E20">
        <v>1.03</v>
      </c>
      <c r="F20">
        <v>4.8750000000000071</v>
      </c>
      <c r="G20">
        <v>5.3000000000000043</v>
      </c>
      <c r="H20">
        <v>0.21200000000000016</v>
      </c>
      <c r="I20">
        <v>0</v>
      </c>
      <c r="J20">
        <v>-1.4999999999999902</v>
      </c>
      <c r="K20" t="s">
        <v>41</v>
      </c>
      <c r="O20" s="294">
        <v>46328</v>
      </c>
      <c r="Q20" s="294">
        <v>46374</v>
      </c>
      <c r="S20">
        <v>1.1240000000000001</v>
      </c>
      <c r="U20">
        <v>-1.0999999999999999E-2</v>
      </c>
      <c r="V20">
        <v>9.4E-2</v>
      </c>
    </row>
    <row r="21" spans="1:23" x14ac:dyDescent="0.25">
      <c r="A21" s="374">
        <v>46202</v>
      </c>
      <c r="B21" t="s">
        <v>12</v>
      </c>
      <c r="C21" t="s">
        <v>185</v>
      </c>
      <c r="D21" t="s">
        <v>180</v>
      </c>
      <c r="E21">
        <v>1.1200000000000001</v>
      </c>
      <c r="F21">
        <v>9.0000000000000071</v>
      </c>
      <c r="G21">
        <v>14.300000000000013</v>
      </c>
      <c r="H21">
        <v>0.57200000000000051</v>
      </c>
      <c r="I21">
        <v>-0.40000000000000036</v>
      </c>
      <c r="J21">
        <v>-1.4999999999999902</v>
      </c>
      <c r="K21" t="s">
        <v>41</v>
      </c>
      <c r="O21" s="294">
        <v>46377</v>
      </c>
      <c r="S21">
        <v>1.206</v>
      </c>
      <c r="U21">
        <v>-1.4999999999999999E-2</v>
      </c>
      <c r="V21">
        <v>8.3000000000000004E-2</v>
      </c>
    </row>
    <row r="22" spans="1:23" x14ac:dyDescent="0.25">
      <c r="A22" s="374">
        <v>46202</v>
      </c>
      <c r="B22" t="s">
        <v>13</v>
      </c>
      <c r="C22" t="s">
        <v>187</v>
      </c>
      <c r="D22">
        <v>46409</v>
      </c>
      <c r="E22">
        <v>1.1975</v>
      </c>
      <c r="F22">
        <v>7.7499999999999902</v>
      </c>
      <c r="G22">
        <v>22.050000000000004</v>
      </c>
      <c r="H22">
        <v>0.88200000000000012</v>
      </c>
      <c r="I22">
        <v>-0.24999999999999467</v>
      </c>
      <c r="J22" t="s">
        <v>41</v>
      </c>
      <c r="K22" t="s">
        <v>41</v>
      </c>
    </row>
    <row r="23" spans="1:23" x14ac:dyDescent="0.25">
      <c r="A23" s="374">
        <v>46202</v>
      </c>
      <c r="B23" t="s">
        <v>28</v>
      </c>
      <c r="C23">
        <v>46412</v>
      </c>
      <c r="D23">
        <v>46465</v>
      </c>
      <c r="E23">
        <v>1.2625</v>
      </c>
      <c r="F23">
        <v>6.4999999999999947</v>
      </c>
      <c r="G23">
        <v>28.549999999999997</v>
      </c>
      <c r="H23">
        <v>1.1419999999999999</v>
      </c>
      <c r="I23" t="s">
        <v>41</v>
      </c>
      <c r="J23" t="s">
        <v>41</v>
      </c>
      <c r="K23" t="s">
        <v>41</v>
      </c>
      <c r="O23" t="s">
        <v>66</v>
      </c>
      <c r="Q23" t="s">
        <v>67</v>
      </c>
      <c r="S23" t="s">
        <v>68</v>
      </c>
      <c r="U23" t="s">
        <v>69</v>
      </c>
      <c r="W23" t="s">
        <v>92</v>
      </c>
    </row>
    <row r="24" spans="1:23" x14ac:dyDescent="0.25">
      <c r="A24" s="374">
        <v>46202</v>
      </c>
      <c r="I24" t="s">
        <v>41</v>
      </c>
      <c r="J24" t="s">
        <v>41</v>
      </c>
      <c r="K24" t="s">
        <v>41</v>
      </c>
      <c r="O24" s="294">
        <v>46237</v>
      </c>
      <c r="Q24" s="294">
        <v>46283</v>
      </c>
      <c r="S24">
        <v>0.98099999999999998</v>
      </c>
      <c r="U24">
        <v>-4.0000000000000001E-3</v>
      </c>
      <c r="V24">
        <v>0</v>
      </c>
    </row>
    <row r="25" spans="1:23" x14ac:dyDescent="0.25">
      <c r="A25" s="374">
        <v>46202</v>
      </c>
      <c r="I25" t="s">
        <v>41</v>
      </c>
      <c r="J25" t="s">
        <v>41</v>
      </c>
      <c r="K25" t="s">
        <v>41</v>
      </c>
      <c r="O25" s="294">
        <v>46289</v>
      </c>
      <c r="Q25" s="294">
        <v>46325</v>
      </c>
      <c r="S25">
        <v>1.03</v>
      </c>
      <c r="U25">
        <v>-1.4E-2</v>
      </c>
      <c r="V25">
        <v>4.9000000000000002E-2</v>
      </c>
    </row>
    <row r="26" spans="1:23" x14ac:dyDescent="0.25">
      <c r="A26" s="374">
        <v>46202</v>
      </c>
      <c r="I26" t="s">
        <v>41</v>
      </c>
      <c r="J26" t="s">
        <v>41</v>
      </c>
      <c r="K26" t="s">
        <v>41</v>
      </c>
      <c r="O26" s="294">
        <v>46328</v>
      </c>
      <c r="Q26" s="294">
        <v>46374</v>
      </c>
      <c r="S26">
        <v>1.1240000000000001</v>
      </c>
      <c r="U26">
        <v>-1.0999999999999999E-2</v>
      </c>
      <c r="V26">
        <v>9.4E-2</v>
      </c>
    </row>
    <row r="27" spans="1:23" x14ac:dyDescent="0.25">
      <c r="A27" s="374">
        <v>46202</v>
      </c>
      <c r="I27" t="s">
        <v>41</v>
      </c>
      <c r="J27" t="s">
        <v>41</v>
      </c>
      <c r="K27" t="s">
        <v>41</v>
      </c>
      <c r="O27" s="294">
        <v>46377</v>
      </c>
      <c r="S27">
        <v>1.2</v>
      </c>
      <c r="U27">
        <v>-2.1000000000000001E-2</v>
      </c>
      <c r="V27">
        <v>7.5999999999999998E-2</v>
      </c>
    </row>
    <row r="28" spans="1:23" x14ac:dyDescent="0.25">
      <c r="A28" s="374">
        <v>46202</v>
      </c>
      <c r="I28" t="s">
        <v>41</v>
      </c>
      <c r="J28" t="s">
        <v>41</v>
      </c>
      <c r="K28" t="s">
        <v>41</v>
      </c>
    </row>
    <row r="29" spans="1:23" x14ac:dyDescent="0.25">
      <c r="A29" s="374">
        <v>46202</v>
      </c>
      <c r="I29" t="s">
        <v>41</v>
      </c>
      <c r="J29" t="s">
        <v>41</v>
      </c>
      <c r="K29" t="s">
        <v>41</v>
      </c>
    </row>
    <row r="30" spans="1:23" x14ac:dyDescent="0.25">
      <c r="A30" s="374">
        <v>46202</v>
      </c>
      <c r="I30" t="s">
        <v>41</v>
      </c>
      <c r="J30" t="s">
        <v>41</v>
      </c>
      <c r="K30" t="s">
        <v>41</v>
      </c>
    </row>
    <row r="31" spans="1:23" x14ac:dyDescent="0.25">
      <c r="A31" s="374">
        <v>46202</v>
      </c>
      <c r="B31" t="s">
        <v>9</v>
      </c>
      <c r="C31" t="s">
        <v>181</v>
      </c>
      <c r="D31" t="s">
        <v>182</v>
      </c>
      <c r="E31">
        <v>0.98124999999999996</v>
      </c>
      <c r="F31">
        <v>0.4249999999999976</v>
      </c>
      <c r="G31">
        <v>0.4249999999999976</v>
      </c>
      <c r="H31">
        <v>1.6999999999999904E-2</v>
      </c>
      <c r="I31">
        <v>2.4999999999997247E-2</v>
      </c>
      <c r="J31" t="s">
        <v>41</v>
      </c>
      <c r="K31" t="s">
        <v>41</v>
      </c>
    </row>
    <row r="32" spans="1:23" x14ac:dyDescent="0.25">
      <c r="A32" s="374">
        <v>46202</v>
      </c>
      <c r="B32" t="s">
        <v>10</v>
      </c>
      <c r="C32" t="s">
        <v>183</v>
      </c>
      <c r="D32" t="s">
        <v>184</v>
      </c>
      <c r="E32">
        <v>1.03</v>
      </c>
      <c r="F32">
        <v>4.8750000000000071</v>
      </c>
      <c r="G32">
        <v>5.3000000000000043</v>
      </c>
      <c r="H32">
        <v>0.21200000000000016</v>
      </c>
      <c r="I32">
        <v>0</v>
      </c>
      <c r="J32">
        <v>-1.4999999999999902</v>
      </c>
      <c r="K32" t="s">
        <v>41</v>
      </c>
    </row>
    <row r="33" spans="1:11" x14ac:dyDescent="0.25">
      <c r="A33" s="374">
        <v>46202</v>
      </c>
      <c r="B33" t="s">
        <v>12</v>
      </c>
      <c r="C33" t="s">
        <v>185</v>
      </c>
      <c r="D33" t="s">
        <v>180</v>
      </c>
      <c r="E33">
        <v>1.1200000000000001</v>
      </c>
      <c r="F33">
        <v>9.0000000000000071</v>
      </c>
      <c r="G33">
        <v>14.300000000000013</v>
      </c>
      <c r="H33">
        <v>0.57200000000000051</v>
      </c>
      <c r="I33">
        <v>-0.40000000000000036</v>
      </c>
      <c r="J33">
        <v>-1.4999999999999902</v>
      </c>
      <c r="K33" t="s">
        <v>41</v>
      </c>
    </row>
    <row r="34" spans="1:11" x14ac:dyDescent="0.25">
      <c r="A34" s="374">
        <v>46202</v>
      </c>
      <c r="B34" t="s">
        <v>13</v>
      </c>
      <c r="C34" t="s">
        <v>187</v>
      </c>
      <c r="D34">
        <v>46409</v>
      </c>
      <c r="E34">
        <v>1.1975</v>
      </c>
      <c r="F34">
        <v>7.7499999999999902</v>
      </c>
      <c r="G34">
        <v>22.050000000000004</v>
      </c>
      <c r="H34">
        <v>0.88200000000000012</v>
      </c>
      <c r="I34">
        <v>-0.24999999999999467</v>
      </c>
      <c r="J34" t="s">
        <v>41</v>
      </c>
      <c r="K34" t="s">
        <v>41</v>
      </c>
    </row>
    <row r="35" spans="1:11" x14ac:dyDescent="0.25">
      <c r="A35" s="374">
        <v>46202</v>
      </c>
      <c r="B35" t="s">
        <v>28</v>
      </c>
      <c r="C35">
        <v>46412</v>
      </c>
      <c r="D35">
        <v>46465</v>
      </c>
      <c r="E35">
        <v>1.2625</v>
      </c>
      <c r="F35">
        <v>6.4999999999999947</v>
      </c>
      <c r="G35">
        <v>28.549999999999997</v>
      </c>
      <c r="H35">
        <v>1.1419999999999999</v>
      </c>
      <c r="I35" t="s">
        <v>41</v>
      </c>
      <c r="J35" t="s">
        <v>41</v>
      </c>
      <c r="K35" t="s">
        <v>41</v>
      </c>
    </row>
    <row r="36" spans="1:11" x14ac:dyDescent="0.25">
      <c r="A36" s="374">
        <v>46202</v>
      </c>
      <c r="I36" t="s">
        <v>41</v>
      </c>
      <c r="J36" t="s">
        <v>41</v>
      </c>
      <c r="K36" t="s">
        <v>41</v>
      </c>
    </row>
    <row r="37" spans="1:11" x14ac:dyDescent="0.25">
      <c r="A37" s="374">
        <v>46202</v>
      </c>
      <c r="I37" t="s">
        <v>41</v>
      </c>
      <c r="J37" t="s">
        <v>41</v>
      </c>
      <c r="K37" t="s">
        <v>41</v>
      </c>
    </row>
    <row r="38" spans="1:11" x14ac:dyDescent="0.25">
      <c r="A38" s="374">
        <v>46202</v>
      </c>
      <c r="I38" t="s">
        <v>41</v>
      </c>
      <c r="J38" t="s">
        <v>41</v>
      </c>
      <c r="K38" t="s">
        <v>41</v>
      </c>
    </row>
    <row r="39" spans="1:11" x14ac:dyDescent="0.25">
      <c r="A39" s="374">
        <v>46202</v>
      </c>
      <c r="I39" t="s">
        <v>41</v>
      </c>
      <c r="J39" t="s">
        <v>41</v>
      </c>
      <c r="K39" t="s">
        <v>41</v>
      </c>
    </row>
    <row r="40" spans="1:11" x14ac:dyDescent="0.25">
      <c r="A40" s="374">
        <v>46202</v>
      </c>
      <c r="I40" t="s">
        <v>41</v>
      </c>
      <c r="J40" t="s">
        <v>41</v>
      </c>
      <c r="K40" t="s">
        <v>41</v>
      </c>
    </row>
    <row r="41" spans="1:11" x14ac:dyDescent="0.25">
      <c r="A41" s="374">
        <v>46202</v>
      </c>
      <c r="I41" t="s">
        <v>41</v>
      </c>
      <c r="J41" t="s">
        <v>41</v>
      </c>
      <c r="K41" t="s">
        <v>41</v>
      </c>
    </row>
    <row r="42" spans="1:11" x14ac:dyDescent="0.25">
      <c r="A42" s="374">
        <v>46202</v>
      </c>
      <c r="I42" t="s">
        <v>41</v>
      </c>
      <c r="J42" t="s">
        <v>41</v>
      </c>
      <c r="K42" t="s">
        <v>41</v>
      </c>
    </row>
    <row r="43" spans="1:11" x14ac:dyDescent="0.25">
      <c r="A43" s="374">
        <v>46203</v>
      </c>
      <c r="B43" t="s">
        <v>9</v>
      </c>
      <c r="C43" t="s">
        <v>181</v>
      </c>
      <c r="D43" t="s">
        <v>182</v>
      </c>
      <c r="E43">
        <v>0.98375000000000001</v>
      </c>
      <c r="F43">
        <v>0.57500000000000329</v>
      </c>
      <c r="G43">
        <v>0.57500000000000329</v>
      </c>
      <c r="H43">
        <v>2.3000000000000131E-2</v>
      </c>
      <c r="I43">
        <v>0.25000000000000577</v>
      </c>
      <c r="J43">
        <v>-0.12499999999999734</v>
      </c>
      <c r="K43" t="s">
        <v>41</v>
      </c>
    </row>
    <row r="44" spans="1:11" x14ac:dyDescent="0.25">
      <c r="A44" s="374">
        <v>46203</v>
      </c>
      <c r="B44" t="s">
        <v>10</v>
      </c>
      <c r="C44" t="s">
        <v>183</v>
      </c>
      <c r="D44" t="s">
        <v>184</v>
      </c>
      <c r="E44">
        <v>1.0325</v>
      </c>
      <c r="F44">
        <v>4.8749999999999964</v>
      </c>
      <c r="G44">
        <v>5.4499999999999993</v>
      </c>
      <c r="H44">
        <v>0.21799999999999997</v>
      </c>
      <c r="I44">
        <v>0.24999999999999467</v>
      </c>
      <c r="J44">
        <v>-1.1500000000000066</v>
      </c>
      <c r="K44" t="s">
        <v>41</v>
      </c>
    </row>
    <row r="45" spans="1:11" x14ac:dyDescent="0.25">
      <c r="A45" s="374">
        <v>46203</v>
      </c>
      <c r="B45" t="s">
        <v>12</v>
      </c>
      <c r="C45" t="s">
        <v>185</v>
      </c>
      <c r="D45" t="s">
        <v>180</v>
      </c>
      <c r="E45">
        <v>1.125</v>
      </c>
      <c r="F45">
        <v>9.2500000000000036</v>
      </c>
      <c r="G45">
        <v>14.700000000000003</v>
      </c>
      <c r="H45">
        <v>0.58800000000000008</v>
      </c>
      <c r="I45">
        <v>0.49999999999998934</v>
      </c>
      <c r="J45">
        <v>-1.0000000000000009</v>
      </c>
      <c r="K45" t="s">
        <v>41</v>
      </c>
    </row>
    <row r="46" spans="1:11" x14ac:dyDescent="0.25">
      <c r="A46" s="374">
        <v>46203</v>
      </c>
      <c r="B46" t="s">
        <v>13</v>
      </c>
      <c r="C46" t="s">
        <v>187</v>
      </c>
      <c r="D46">
        <v>46409</v>
      </c>
      <c r="E46">
        <v>1.2012499999999999</v>
      </c>
      <c r="F46">
        <v>7.6249999999999929</v>
      </c>
      <c r="G46">
        <v>22.324999999999996</v>
      </c>
      <c r="H46">
        <v>0.89299999999999979</v>
      </c>
      <c r="I46">
        <v>0.37499999999999201</v>
      </c>
      <c r="J46" t="s">
        <v>41</v>
      </c>
      <c r="K46" t="s">
        <v>41</v>
      </c>
    </row>
    <row r="47" spans="1:11" x14ac:dyDescent="0.25">
      <c r="A47" s="374">
        <v>46203</v>
      </c>
      <c r="B47" t="s">
        <v>28</v>
      </c>
      <c r="C47">
        <v>46412</v>
      </c>
      <c r="D47">
        <v>46465</v>
      </c>
      <c r="E47">
        <v>1.2662500000000001</v>
      </c>
      <c r="F47">
        <v>6.5000000000000169</v>
      </c>
      <c r="G47">
        <v>28.82500000000001</v>
      </c>
      <c r="H47">
        <v>1.1530000000000005</v>
      </c>
      <c r="I47">
        <v>0.37500000000001421</v>
      </c>
      <c r="J47" t="s">
        <v>41</v>
      </c>
      <c r="K47" t="s">
        <v>41</v>
      </c>
    </row>
    <row r="48" spans="1:11" x14ac:dyDescent="0.25">
      <c r="A48" s="374">
        <v>46203</v>
      </c>
      <c r="I48">
        <v>0</v>
      </c>
      <c r="J48" t="s">
        <v>41</v>
      </c>
      <c r="K48" t="s">
        <v>41</v>
      </c>
    </row>
    <row r="49" spans="1:11" x14ac:dyDescent="0.25">
      <c r="A49" s="374">
        <v>46203</v>
      </c>
      <c r="I49">
        <v>0</v>
      </c>
      <c r="J49" t="s">
        <v>41</v>
      </c>
      <c r="K49" t="s">
        <v>41</v>
      </c>
    </row>
    <row r="50" spans="1:11" x14ac:dyDescent="0.25">
      <c r="A50" s="374">
        <v>46203</v>
      </c>
      <c r="I50">
        <v>0</v>
      </c>
      <c r="J50" t="s">
        <v>41</v>
      </c>
      <c r="K50" t="s">
        <v>41</v>
      </c>
    </row>
    <row r="51" spans="1:11" x14ac:dyDescent="0.25">
      <c r="A51" s="374">
        <v>46203</v>
      </c>
      <c r="I51">
        <v>0</v>
      </c>
      <c r="J51" t="s">
        <v>41</v>
      </c>
      <c r="K51" t="s">
        <v>41</v>
      </c>
    </row>
    <row r="52" spans="1:11" x14ac:dyDescent="0.25">
      <c r="A52" s="374">
        <v>46203</v>
      </c>
      <c r="I52">
        <v>0</v>
      </c>
      <c r="J52" t="s">
        <v>41</v>
      </c>
      <c r="K52" t="s">
        <v>41</v>
      </c>
    </row>
    <row r="53" spans="1:11" x14ac:dyDescent="0.25">
      <c r="A53" s="374">
        <v>46203</v>
      </c>
      <c r="I53">
        <v>0</v>
      </c>
      <c r="J53" t="s">
        <v>41</v>
      </c>
      <c r="K53" t="s">
        <v>41</v>
      </c>
    </row>
    <row r="54" spans="1:11" x14ac:dyDescent="0.25">
      <c r="A54" s="374">
        <v>46203</v>
      </c>
      <c r="I54">
        <v>0</v>
      </c>
      <c r="J54" t="s">
        <v>41</v>
      </c>
      <c r="K54" t="s">
        <v>41</v>
      </c>
    </row>
    <row r="55" spans="1:11" x14ac:dyDescent="0.25">
      <c r="A55" s="374">
        <v>46204</v>
      </c>
      <c r="B55" t="s">
        <v>9</v>
      </c>
      <c r="C55" t="s">
        <v>181</v>
      </c>
      <c r="D55" t="s">
        <v>182</v>
      </c>
      <c r="E55">
        <v>0.98375000000000001</v>
      </c>
    </row>
    <row r="56" spans="1:11" x14ac:dyDescent="0.25">
      <c r="A56" s="374">
        <v>46204</v>
      </c>
      <c r="B56" t="s">
        <v>10</v>
      </c>
      <c r="C56" t="s">
        <v>183</v>
      </c>
      <c r="D56" t="s">
        <v>184</v>
      </c>
      <c r="E56">
        <v>1.0375000000000001</v>
      </c>
    </row>
    <row r="57" spans="1:11" x14ac:dyDescent="0.25">
      <c r="A57" s="374">
        <v>46204</v>
      </c>
      <c r="B57" t="s">
        <v>12</v>
      </c>
      <c r="C57" t="s">
        <v>185</v>
      </c>
      <c r="D57" t="s">
        <v>180</v>
      </c>
      <c r="E57">
        <v>1.13375</v>
      </c>
    </row>
    <row r="58" spans="1:11" x14ac:dyDescent="0.25">
      <c r="A58" s="374">
        <v>46204</v>
      </c>
      <c r="B58" t="s">
        <v>13</v>
      </c>
      <c r="C58" t="s">
        <v>187</v>
      </c>
      <c r="D58">
        <v>46409</v>
      </c>
      <c r="E58">
        <v>1.20875</v>
      </c>
    </row>
    <row r="59" spans="1:11" x14ac:dyDescent="0.25">
      <c r="A59" s="374">
        <v>46204</v>
      </c>
      <c r="B59" t="s">
        <v>28</v>
      </c>
      <c r="C59">
        <v>46412</v>
      </c>
      <c r="D59">
        <v>46465</v>
      </c>
      <c r="E59">
        <v>1.2737499999999999</v>
      </c>
    </row>
    <row r="60" spans="1:11" x14ac:dyDescent="0.25">
      <c r="A60" s="374">
        <v>46205</v>
      </c>
      <c r="B60" t="s">
        <v>9</v>
      </c>
      <c r="C60" t="s">
        <v>181</v>
      </c>
      <c r="D60" t="s">
        <v>182</v>
      </c>
      <c r="E60">
        <v>0.98375000000000001</v>
      </c>
      <c r="F60">
        <v>0.67500000000000338</v>
      </c>
      <c r="G60">
        <v>0.67500000000000338</v>
      </c>
      <c r="H60">
        <v>2.7000000000000135E-2</v>
      </c>
      <c r="I60">
        <v>0</v>
      </c>
      <c r="J60">
        <v>0.37500000000000311</v>
      </c>
      <c r="K60" t="s">
        <v>41</v>
      </c>
    </row>
    <row r="61" spans="1:11" x14ac:dyDescent="0.25">
      <c r="A61" s="374">
        <v>46205</v>
      </c>
      <c r="B61" t="s">
        <v>10</v>
      </c>
      <c r="C61" t="s">
        <v>183</v>
      </c>
      <c r="D61" t="s">
        <v>184</v>
      </c>
      <c r="E61">
        <v>1.0362499999999999</v>
      </c>
      <c r="F61">
        <v>5.2499999999999876</v>
      </c>
      <c r="G61">
        <v>5.9249999999999918</v>
      </c>
      <c r="H61">
        <v>0.23699999999999968</v>
      </c>
      <c r="I61">
        <v>-0.12500000000001954</v>
      </c>
      <c r="J61">
        <v>0.62499999999998668</v>
      </c>
      <c r="K61" t="s">
        <v>41</v>
      </c>
    </row>
    <row r="62" spans="1:11" x14ac:dyDescent="0.25">
      <c r="A62" s="374">
        <v>46205</v>
      </c>
      <c r="B62" t="s">
        <v>12</v>
      </c>
      <c r="C62" t="s">
        <v>185</v>
      </c>
      <c r="D62" t="s">
        <v>180</v>
      </c>
      <c r="E62">
        <v>1.1312500000000001</v>
      </c>
      <c r="F62">
        <v>9.5000000000000195</v>
      </c>
      <c r="G62">
        <v>15.425000000000011</v>
      </c>
      <c r="H62">
        <v>0.61700000000000044</v>
      </c>
      <c r="I62">
        <v>-0.24999999999999467</v>
      </c>
      <c r="J62">
        <v>0.72499999999999787</v>
      </c>
      <c r="K62" t="s">
        <v>41</v>
      </c>
    </row>
    <row r="63" spans="1:11" x14ac:dyDescent="0.25">
      <c r="A63" s="374">
        <v>46205</v>
      </c>
      <c r="B63" t="s">
        <v>13</v>
      </c>
      <c r="C63" t="s">
        <v>187</v>
      </c>
      <c r="D63">
        <v>46409</v>
      </c>
      <c r="E63">
        <v>1.2075</v>
      </c>
      <c r="F63">
        <v>7.6249999999999929</v>
      </c>
      <c r="G63">
        <v>23.050000000000004</v>
      </c>
      <c r="H63">
        <v>0.92200000000000015</v>
      </c>
      <c r="I63">
        <v>-0.12499999999999734</v>
      </c>
      <c r="J63">
        <v>0.15000000000000568</v>
      </c>
      <c r="K63" t="s">
        <v>41</v>
      </c>
    </row>
    <row r="64" spans="1:11" x14ac:dyDescent="0.25">
      <c r="A64" s="374">
        <v>46205</v>
      </c>
      <c r="B64" t="s">
        <v>28</v>
      </c>
      <c r="C64">
        <v>46412</v>
      </c>
      <c r="D64">
        <v>46465</v>
      </c>
      <c r="E64">
        <v>1.27125</v>
      </c>
      <c r="F64">
        <v>6.3749999999999973</v>
      </c>
      <c r="G64">
        <v>29.425000000000001</v>
      </c>
      <c r="H64">
        <v>1.177</v>
      </c>
      <c r="I64">
        <v>-0.24999999999999467</v>
      </c>
      <c r="J64" t="s">
        <v>41</v>
      </c>
      <c r="K64" t="s">
        <v>41</v>
      </c>
    </row>
    <row r="65" spans="1:11" x14ac:dyDescent="0.25">
      <c r="A65" s="374">
        <v>46205</v>
      </c>
      <c r="I65" t="s">
        <v>41</v>
      </c>
      <c r="J65" t="s">
        <v>41</v>
      </c>
      <c r="K65" t="s">
        <v>41</v>
      </c>
    </row>
    <row r="66" spans="1:11" x14ac:dyDescent="0.25">
      <c r="A66" s="374">
        <v>46205</v>
      </c>
      <c r="I66" t="s">
        <v>41</v>
      </c>
      <c r="J66" t="s">
        <v>41</v>
      </c>
      <c r="K66" t="s">
        <v>41</v>
      </c>
    </row>
    <row r="67" spans="1:11" x14ac:dyDescent="0.25">
      <c r="A67" s="374">
        <v>46205</v>
      </c>
      <c r="I67" t="s">
        <v>41</v>
      </c>
      <c r="J67" t="s">
        <v>41</v>
      </c>
      <c r="K67" t="s">
        <v>41</v>
      </c>
    </row>
    <row r="68" spans="1:11" x14ac:dyDescent="0.25">
      <c r="A68" s="374">
        <v>46205</v>
      </c>
      <c r="I68" t="s">
        <v>41</v>
      </c>
      <c r="J68" t="s">
        <v>41</v>
      </c>
      <c r="K68" t="s">
        <v>41</v>
      </c>
    </row>
    <row r="69" spans="1:11" x14ac:dyDescent="0.25">
      <c r="A69" s="374">
        <v>46205</v>
      </c>
      <c r="I69" t="s">
        <v>41</v>
      </c>
      <c r="J69" t="s">
        <v>41</v>
      </c>
      <c r="K69" t="s">
        <v>41</v>
      </c>
    </row>
    <row r="70" spans="1:11" x14ac:dyDescent="0.25">
      <c r="A70" s="374">
        <v>46205</v>
      </c>
      <c r="I70" t="s">
        <v>41</v>
      </c>
      <c r="J70" t="s">
        <v>41</v>
      </c>
      <c r="K70" t="s">
        <v>41</v>
      </c>
    </row>
    <row r="71" spans="1:11" x14ac:dyDescent="0.25">
      <c r="A71" s="374">
        <v>46205</v>
      </c>
      <c r="I71" t="s">
        <v>41</v>
      </c>
      <c r="J71" t="s">
        <v>41</v>
      </c>
      <c r="K71" t="s">
        <v>41</v>
      </c>
    </row>
    <row r="72" spans="1:11" x14ac:dyDescent="0.25">
      <c r="A72" s="374">
        <v>46206</v>
      </c>
      <c r="B72" t="s">
        <v>9</v>
      </c>
      <c r="C72" t="s">
        <v>181</v>
      </c>
      <c r="D72" t="s">
        <v>182</v>
      </c>
      <c r="E72">
        <v>0.98375000000000001</v>
      </c>
      <c r="F72">
        <v>0.67500000000000338</v>
      </c>
      <c r="G72">
        <v>0.67500000000000338</v>
      </c>
      <c r="H72">
        <v>2.7000000000000135E-2</v>
      </c>
      <c r="I72">
        <v>0</v>
      </c>
      <c r="J72">
        <v>0.27500000000000302</v>
      </c>
      <c r="K72" t="s">
        <v>41</v>
      </c>
    </row>
    <row r="73" spans="1:11" x14ac:dyDescent="0.25">
      <c r="A73" s="374">
        <v>46206</v>
      </c>
      <c r="B73" t="s">
        <v>10</v>
      </c>
      <c r="C73" t="s">
        <v>183</v>
      </c>
      <c r="D73" t="s">
        <v>184</v>
      </c>
      <c r="E73">
        <v>1.0349999999999999</v>
      </c>
      <c r="F73">
        <v>5.1249999999999911</v>
      </c>
      <c r="G73">
        <v>5.7999999999999936</v>
      </c>
      <c r="H73">
        <v>0.23199999999999973</v>
      </c>
      <c r="I73">
        <v>-0.12499999999999734</v>
      </c>
      <c r="J73">
        <v>0.49999999999998934</v>
      </c>
      <c r="K73" t="s">
        <v>41</v>
      </c>
    </row>
    <row r="74" spans="1:11" x14ac:dyDescent="0.25">
      <c r="A74" s="374">
        <v>46206</v>
      </c>
      <c r="B74" t="s">
        <v>12</v>
      </c>
      <c r="C74" t="s">
        <v>185</v>
      </c>
      <c r="D74" t="s">
        <v>180</v>
      </c>
      <c r="E74">
        <v>1.1312500000000001</v>
      </c>
      <c r="F74">
        <v>9.6250000000000178</v>
      </c>
      <c r="G74">
        <v>15.425000000000011</v>
      </c>
      <c r="H74">
        <v>0.61700000000000044</v>
      </c>
      <c r="I74">
        <v>0</v>
      </c>
      <c r="J74">
        <v>0.72499999999999787</v>
      </c>
      <c r="K74" t="s">
        <v>41</v>
      </c>
    </row>
    <row r="75" spans="1:11" x14ac:dyDescent="0.25">
      <c r="A75" s="374">
        <v>46206</v>
      </c>
      <c r="B75" t="s">
        <v>13</v>
      </c>
      <c r="C75" t="s">
        <v>187</v>
      </c>
      <c r="D75">
        <v>46409</v>
      </c>
      <c r="E75">
        <v>1.2075</v>
      </c>
      <c r="F75">
        <v>7.6249999999999929</v>
      </c>
      <c r="G75">
        <v>23.050000000000004</v>
      </c>
      <c r="H75">
        <v>0.92200000000000015</v>
      </c>
      <c r="I75">
        <v>0</v>
      </c>
      <c r="J75">
        <v>0.75000000000000622</v>
      </c>
      <c r="K75" t="s">
        <v>41</v>
      </c>
    </row>
    <row r="76" spans="1:11" x14ac:dyDescent="0.25">
      <c r="A76" s="374">
        <v>46206</v>
      </c>
      <c r="B76" t="s">
        <v>28</v>
      </c>
      <c r="C76">
        <v>46412</v>
      </c>
      <c r="D76">
        <v>46465</v>
      </c>
      <c r="E76">
        <v>1.27125</v>
      </c>
      <c r="F76">
        <v>6.3749999999999973</v>
      </c>
      <c r="G76">
        <v>29.425000000000001</v>
      </c>
      <c r="H76">
        <v>1.177</v>
      </c>
      <c r="I76">
        <v>0</v>
      </c>
      <c r="J76" t="s">
        <v>41</v>
      </c>
      <c r="K76" t="s">
        <v>41</v>
      </c>
    </row>
    <row r="77" spans="1:11" x14ac:dyDescent="0.25">
      <c r="A77" s="374">
        <v>46206</v>
      </c>
      <c r="I77">
        <v>0</v>
      </c>
      <c r="J77" t="s">
        <v>41</v>
      </c>
      <c r="K77" t="s">
        <v>41</v>
      </c>
    </row>
    <row r="78" spans="1:11" x14ac:dyDescent="0.25">
      <c r="A78" s="374">
        <v>46206</v>
      </c>
      <c r="I78">
        <v>0</v>
      </c>
      <c r="J78" t="s">
        <v>41</v>
      </c>
      <c r="K78" t="s">
        <v>41</v>
      </c>
    </row>
    <row r="79" spans="1:11" x14ac:dyDescent="0.25">
      <c r="A79" s="374">
        <v>46206</v>
      </c>
      <c r="I79">
        <v>0</v>
      </c>
      <c r="J79" t="s">
        <v>41</v>
      </c>
      <c r="K79" t="s">
        <v>41</v>
      </c>
    </row>
    <row r="80" spans="1:11" x14ac:dyDescent="0.25">
      <c r="A80" s="374">
        <v>46206</v>
      </c>
      <c r="I80">
        <v>0</v>
      </c>
      <c r="J80" t="s">
        <v>41</v>
      </c>
      <c r="K80" t="s">
        <v>41</v>
      </c>
    </row>
    <row r="81" spans="1:11" x14ac:dyDescent="0.25">
      <c r="A81" s="374">
        <v>46206</v>
      </c>
      <c r="I81">
        <v>0</v>
      </c>
      <c r="J81" t="s">
        <v>41</v>
      </c>
      <c r="K81" t="s">
        <v>41</v>
      </c>
    </row>
    <row r="82" spans="1:11" x14ac:dyDescent="0.25">
      <c r="A82" s="374">
        <v>46206</v>
      </c>
      <c r="I82">
        <v>0</v>
      </c>
      <c r="J82" t="s">
        <v>41</v>
      </c>
      <c r="K82" t="s">
        <v>41</v>
      </c>
    </row>
    <row r="83" spans="1:11" x14ac:dyDescent="0.25">
      <c r="A83" s="374">
        <v>46206</v>
      </c>
      <c r="I83">
        <v>0</v>
      </c>
      <c r="J83" t="s">
        <v>41</v>
      </c>
      <c r="K83" t="s">
        <v>41</v>
      </c>
    </row>
    <row r="84" spans="1:11" x14ac:dyDescent="0.25">
      <c r="A84" s="374">
        <v>46209</v>
      </c>
      <c r="B84" t="s">
        <v>9</v>
      </c>
      <c r="C84" t="s">
        <v>181</v>
      </c>
      <c r="D84" t="s">
        <v>182</v>
      </c>
      <c r="E84">
        <v>0.98375000000000001</v>
      </c>
      <c r="F84">
        <v>0.67500000000000338</v>
      </c>
      <c r="G84">
        <v>0.67500000000000338</v>
      </c>
      <c r="H84">
        <v>2.7000000000000135E-2</v>
      </c>
      <c r="I84">
        <v>0</v>
      </c>
      <c r="J84">
        <v>0.25000000000000577</v>
      </c>
      <c r="K84" t="s">
        <v>41</v>
      </c>
    </row>
    <row r="85" spans="1:11" x14ac:dyDescent="0.25">
      <c r="A85" s="374">
        <v>46209</v>
      </c>
      <c r="B85" t="s">
        <v>10</v>
      </c>
      <c r="C85" t="s">
        <v>183</v>
      </c>
      <c r="D85" t="s">
        <v>184</v>
      </c>
      <c r="E85">
        <v>1.0349999999999999</v>
      </c>
      <c r="F85">
        <v>5.1249999999999911</v>
      </c>
      <c r="G85">
        <v>5.7999999999999936</v>
      </c>
      <c r="H85">
        <v>0.23199999999999973</v>
      </c>
      <c r="I85">
        <v>0</v>
      </c>
      <c r="J85">
        <v>0.49999999999998934</v>
      </c>
      <c r="K85" t="s">
        <v>41</v>
      </c>
    </row>
    <row r="86" spans="1:11" x14ac:dyDescent="0.25">
      <c r="A86" s="374">
        <v>46209</v>
      </c>
      <c r="B86" t="s">
        <v>12</v>
      </c>
      <c r="C86" t="s">
        <v>185</v>
      </c>
      <c r="D86" t="s">
        <v>180</v>
      </c>
      <c r="E86">
        <v>1.1312500000000001</v>
      </c>
      <c r="F86">
        <v>9.6250000000000178</v>
      </c>
      <c r="G86">
        <v>15.425000000000011</v>
      </c>
      <c r="H86">
        <v>0.61700000000000044</v>
      </c>
      <c r="I86">
        <v>0</v>
      </c>
      <c r="J86">
        <v>1.1249999999999982</v>
      </c>
      <c r="K86" t="s">
        <v>41</v>
      </c>
    </row>
    <row r="87" spans="1:11" x14ac:dyDescent="0.25">
      <c r="A87" s="374">
        <v>46209</v>
      </c>
      <c r="B87" t="s">
        <v>13</v>
      </c>
      <c r="C87" t="s">
        <v>187</v>
      </c>
      <c r="D87">
        <v>46409</v>
      </c>
      <c r="E87">
        <v>1.2050000000000001</v>
      </c>
      <c r="F87">
        <v>7.3749999999999982</v>
      </c>
      <c r="G87">
        <v>22.800000000000008</v>
      </c>
      <c r="H87">
        <v>0.91200000000000037</v>
      </c>
      <c r="I87">
        <v>-0.24999999999999467</v>
      </c>
      <c r="J87">
        <v>0.75000000000000622</v>
      </c>
      <c r="K87" t="s">
        <v>41</v>
      </c>
    </row>
    <row r="88" spans="1:11" x14ac:dyDescent="0.25">
      <c r="A88" s="374">
        <v>46209</v>
      </c>
      <c r="B88" t="s">
        <v>28</v>
      </c>
      <c r="C88">
        <v>46412</v>
      </c>
      <c r="D88">
        <v>46465</v>
      </c>
      <c r="E88">
        <v>1.26875</v>
      </c>
      <c r="F88">
        <v>6.3749999999999973</v>
      </c>
      <c r="G88">
        <v>29.175000000000008</v>
      </c>
      <c r="H88">
        <v>1.1670000000000003</v>
      </c>
      <c r="I88">
        <v>-0.24999999999999467</v>
      </c>
      <c r="J88">
        <v>0.62500000000000888</v>
      </c>
      <c r="K88" t="s">
        <v>41</v>
      </c>
    </row>
    <row r="89" spans="1:11" x14ac:dyDescent="0.25">
      <c r="A89" s="374">
        <v>46209</v>
      </c>
      <c r="I89">
        <v>0</v>
      </c>
      <c r="J89">
        <v>0</v>
      </c>
      <c r="K89" t="s">
        <v>41</v>
      </c>
    </row>
    <row r="90" spans="1:11" x14ac:dyDescent="0.25">
      <c r="A90" s="374">
        <v>46209</v>
      </c>
      <c r="I90">
        <v>0</v>
      </c>
      <c r="J90">
        <v>0</v>
      </c>
      <c r="K90" t="s">
        <v>41</v>
      </c>
    </row>
    <row r="91" spans="1:11" x14ac:dyDescent="0.25">
      <c r="A91" s="374">
        <v>46209</v>
      </c>
      <c r="I91">
        <v>0</v>
      </c>
      <c r="J91">
        <v>0</v>
      </c>
      <c r="K91" t="s">
        <v>41</v>
      </c>
    </row>
    <row r="92" spans="1:11" x14ac:dyDescent="0.25">
      <c r="A92" s="374">
        <v>46209</v>
      </c>
      <c r="I92">
        <v>0</v>
      </c>
      <c r="J92">
        <v>0</v>
      </c>
      <c r="K92" t="s">
        <v>41</v>
      </c>
    </row>
    <row r="93" spans="1:11" x14ac:dyDescent="0.25">
      <c r="A93" s="374">
        <v>46209</v>
      </c>
      <c r="I93">
        <v>0</v>
      </c>
      <c r="J93">
        <v>0</v>
      </c>
      <c r="K93" t="s">
        <v>41</v>
      </c>
    </row>
    <row r="94" spans="1:11" x14ac:dyDescent="0.25">
      <c r="A94" s="374">
        <v>46209</v>
      </c>
      <c r="I94">
        <v>0</v>
      </c>
      <c r="J94">
        <v>0</v>
      </c>
      <c r="K94" t="s">
        <v>41</v>
      </c>
    </row>
    <row r="95" spans="1:11" x14ac:dyDescent="0.25">
      <c r="A95" s="374">
        <v>46209</v>
      </c>
      <c r="I95">
        <v>0</v>
      </c>
      <c r="J95">
        <v>0</v>
      </c>
      <c r="K95" t="s">
        <v>41</v>
      </c>
    </row>
    <row r="96" spans="1:11" x14ac:dyDescent="0.25">
      <c r="A96" s="374">
        <v>46210</v>
      </c>
      <c r="B96" t="s">
        <v>9</v>
      </c>
      <c r="C96" t="s">
        <v>181</v>
      </c>
      <c r="D96" t="s">
        <v>182</v>
      </c>
      <c r="E96">
        <v>0.98375000000000001</v>
      </c>
      <c r="F96">
        <v>0.67500000000000338</v>
      </c>
      <c r="G96">
        <v>0.67500000000000338</v>
      </c>
      <c r="H96">
        <v>2.7000000000000135E-2</v>
      </c>
      <c r="I96">
        <v>0</v>
      </c>
      <c r="J96">
        <v>0</v>
      </c>
      <c r="K96" t="s">
        <v>41</v>
      </c>
    </row>
    <row r="97" spans="1:11" x14ac:dyDescent="0.25">
      <c r="A97" s="374">
        <v>46210</v>
      </c>
      <c r="B97" t="s">
        <v>10</v>
      </c>
      <c r="C97" t="s">
        <v>183</v>
      </c>
      <c r="D97" t="s">
        <v>184</v>
      </c>
      <c r="E97">
        <v>1.0349999999999999</v>
      </c>
      <c r="F97">
        <v>5.1249999999999911</v>
      </c>
      <c r="G97">
        <v>5.7999999999999936</v>
      </c>
      <c r="H97">
        <v>0.23199999999999973</v>
      </c>
      <c r="I97">
        <v>0</v>
      </c>
      <c r="J97">
        <v>0.24999999999999467</v>
      </c>
      <c r="K97" t="s">
        <v>41</v>
      </c>
    </row>
    <row r="98" spans="1:11" x14ac:dyDescent="0.25">
      <c r="A98" s="374">
        <v>46210</v>
      </c>
      <c r="B98" t="s">
        <v>12</v>
      </c>
      <c r="C98" t="s">
        <v>185</v>
      </c>
      <c r="D98" t="s">
        <v>180</v>
      </c>
      <c r="E98">
        <v>1.135</v>
      </c>
      <c r="F98">
        <v>10.000000000000009</v>
      </c>
      <c r="G98">
        <v>15.800000000000002</v>
      </c>
      <c r="H98">
        <v>0.63200000000000012</v>
      </c>
      <c r="I98">
        <v>0.37499999999999201</v>
      </c>
      <c r="J98">
        <v>1.0000000000000009</v>
      </c>
      <c r="K98" t="s">
        <v>41</v>
      </c>
    </row>
    <row r="99" spans="1:11" x14ac:dyDescent="0.25">
      <c r="A99" s="374">
        <v>46210</v>
      </c>
      <c r="B99" t="s">
        <v>13</v>
      </c>
      <c r="C99" t="s">
        <v>187</v>
      </c>
      <c r="D99">
        <v>46409</v>
      </c>
      <c r="E99">
        <v>1.2112499999999999</v>
      </c>
      <c r="F99">
        <v>7.6249999999999929</v>
      </c>
      <c r="G99">
        <v>23.424999999999997</v>
      </c>
      <c r="H99">
        <v>0.93699999999999983</v>
      </c>
      <c r="I99">
        <v>0.62499999999998668</v>
      </c>
      <c r="J99">
        <v>1.0000000000000009</v>
      </c>
      <c r="K99" t="s">
        <v>41</v>
      </c>
    </row>
    <row r="100" spans="1:11" x14ac:dyDescent="0.25">
      <c r="A100" s="374">
        <v>46210</v>
      </c>
      <c r="B100" t="s">
        <v>28</v>
      </c>
      <c r="C100">
        <v>46412</v>
      </c>
      <c r="D100">
        <v>46465</v>
      </c>
      <c r="E100">
        <v>1.2762500000000001</v>
      </c>
      <c r="F100">
        <v>6.5000000000000169</v>
      </c>
      <c r="G100">
        <v>29.925000000000011</v>
      </c>
      <c r="H100">
        <v>1.1970000000000005</v>
      </c>
      <c r="I100">
        <v>0.75000000000000622</v>
      </c>
      <c r="J100">
        <v>1.0000000000000009</v>
      </c>
      <c r="K100" t="s">
        <v>41</v>
      </c>
    </row>
    <row r="101" spans="1:11" x14ac:dyDescent="0.25">
      <c r="A101" s="374">
        <v>46210</v>
      </c>
      <c r="I101">
        <v>0</v>
      </c>
      <c r="J101">
        <v>0</v>
      </c>
      <c r="K101" t="s">
        <v>41</v>
      </c>
    </row>
    <row r="102" spans="1:11" x14ac:dyDescent="0.25">
      <c r="A102" s="374">
        <v>46210</v>
      </c>
      <c r="I102">
        <v>0</v>
      </c>
      <c r="J102">
        <v>0</v>
      </c>
      <c r="K102" t="s">
        <v>41</v>
      </c>
    </row>
    <row r="103" spans="1:11" x14ac:dyDescent="0.25">
      <c r="A103" s="374">
        <v>46210</v>
      </c>
      <c r="I103">
        <v>0</v>
      </c>
      <c r="J103">
        <v>0</v>
      </c>
      <c r="K103" t="s">
        <v>41</v>
      </c>
    </row>
    <row r="104" spans="1:11" x14ac:dyDescent="0.25">
      <c r="A104" s="374">
        <v>46210</v>
      </c>
      <c r="I104">
        <v>0</v>
      </c>
      <c r="J104">
        <v>0</v>
      </c>
      <c r="K104" t="s">
        <v>41</v>
      </c>
    </row>
    <row r="105" spans="1:11" x14ac:dyDescent="0.25">
      <c r="A105" s="374">
        <v>46210</v>
      </c>
      <c r="I105">
        <v>0</v>
      </c>
      <c r="J105">
        <v>0</v>
      </c>
      <c r="K105" t="s">
        <v>41</v>
      </c>
    </row>
    <row r="106" spans="1:11" x14ac:dyDescent="0.25">
      <c r="A106" s="374">
        <v>46210</v>
      </c>
      <c r="I106">
        <v>0</v>
      </c>
      <c r="J106">
        <v>0</v>
      </c>
      <c r="K106" t="s">
        <v>41</v>
      </c>
    </row>
    <row r="107" spans="1:11" x14ac:dyDescent="0.25">
      <c r="A107" s="374">
        <v>46210</v>
      </c>
      <c r="I107">
        <v>0</v>
      </c>
      <c r="J107">
        <v>0</v>
      </c>
      <c r="K107" t="s">
        <v>41</v>
      </c>
    </row>
    <row r="108" spans="1:11" x14ac:dyDescent="0.25">
      <c r="A108" s="374">
        <v>46211</v>
      </c>
      <c r="B108" t="s">
        <v>9</v>
      </c>
      <c r="C108" t="s">
        <v>181</v>
      </c>
      <c r="D108" t="s">
        <v>182</v>
      </c>
      <c r="E108">
        <v>0.98375000000000001</v>
      </c>
      <c r="F108">
        <v>0.57500000000000329</v>
      </c>
      <c r="G108">
        <v>0.57500000000000329</v>
      </c>
      <c r="H108">
        <v>2.3000000000000131E-2</v>
      </c>
      <c r="I108">
        <v>0</v>
      </c>
      <c r="J108">
        <v>0</v>
      </c>
      <c r="K108" t="s">
        <v>41</v>
      </c>
    </row>
    <row r="109" spans="1:11" x14ac:dyDescent="0.25">
      <c r="A109" s="374">
        <v>46211</v>
      </c>
      <c r="B109" t="s">
        <v>10</v>
      </c>
      <c r="C109" t="s">
        <v>183</v>
      </c>
      <c r="D109" t="s">
        <v>184</v>
      </c>
      <c r="E109">
        <v>1.04</v>
      </c>
      <c r="F109">
        <v>5.6250000000000018</v>
      </c>
      <c r="G109">
        <v>6.2000000000000055</v>
      </c>
      <c r="H109">
        <v>0.24800000000000022</v>
      </c>
      <c r="I109">
        <v>0.50000000000001155</v>
      </c>
      <c r="J109">
        <v>0.24999999999999467</v>
      </c>
      <c r="K109" t="s">
        <v>41</v>
      </c>
    </row>
    <row r="110" spans="1:11" x14ac:dyDescent="0.25">
      <c r="A110" s="374">
        <v>46211</v>
      </c>
      <c r="B110" t="s">
        <v>12</v>
      </c>
      <c r="C110" t="s">
        <v>185</v>
      </c>
      <c r="D110" t="s">
        <v>180</v>
      </c>
      <c r="E110">
        <v>1.145</v>
      </c>
      <c r="F110">
        <v>10.499999999999998</v>
      </c>
      <c r="G110">
        <v>16.700000000000003</v>
      </c>
      <c r="H110">
        <v>0.66800000000000015</v>
      </c>
      <c r="I110">
        <v>1.0000000000000009</v>
      </c>
      <c r="J110">
        <v>1.1249999999999982</v>
      </c>
      <c r="K110" t="s">
        <v>41</v>
      </c>
    </row>
    <row r="111" spans="1:11" x14ac:dyDescent="0.25">
      <c r="A111" s="374">
        <v>46211</v>
      </c>
      <c r="B111" t="s">
        <v>13</v>
      </c>
      <c r="C111" t="s">
        <v>187</v>
      </c>
      <c r="D111">
        <v>46409</v>
      </c>
      <c r="E111">
        <v>1.22</v>
      </c>
      <c r="F111">
        <v>7.4999999999999956</v>
      </c>
      <c r="G111">
        <v>24.2</v>
      </c>
      <c r="H111">
        <v>0.96799999999999997</v>
      </c>
      <c r="I111">
        <v>0.87500000000000355</v>
      </c>
      <c r="J111">
        <v>1.1249999999999982</v>
      </c>
      <c r="K111" t="s">
        <v>41</v>
      </c>
    </row>
    <row r="112" spans="1:11" x14ac:dyDescent="0.25">
      <c r="A112" s="374">
        <v>46211</v>
      </c>
      <c r="B112" t="s">
        <v>28</v>
      </c>
      <c r="C112">
        <v>46412</v>
      </c>
      <c r="D112">
        <v>46465</v>
      </c>
      <c r="E112">
        <v>1.2849999999999999</v>
      </c>
      <c r="F112">
        <v>6.4999999999999947</v>
      </c>
      <c r="G112">
        <v>30.699999999999996</v>
      </c>
      <c r="H112">
        <v>1.2279999999999998</v>
      </c>
      <c r="I112">
        <v>0.87499999999998135</v>
      </c>
      <c r="J112">
        <v>1.1249999999999982</v>
      </c>
      <c r="K112" t="s">
        <v>41</v>
      </c>
    </row>
    <row r="113" spans="1:11" x14ac:dyDescent="0.25">
      <c r="A113" s="374">
        <v>46211</v>
      </c>
      <c r="I113">
        <v>0</v>
      </c>
      <c r="J113" t="s">
        <v>41</v>
      </c>
      <c r="K113" t="s">
        <v>41</v>
      </c>
    </row>
    <row r="114" spans="1:11" x14ac:dyDescent="0.25">
      <c r="A114" s="374">
        <v>46211</v>
      </c>
      <c r="I114">
        <v>0</v>
      </c>
      <c r="J114" t="s">
        <v>41</v>
      </c>
      <c r="K114" t="s">
        <v>41</v>
      </c>
    </row>
    <row r="115" spans="1:11" x14ac:dyDescent="0.25">
      <c r="A115" s="374">
        <v>46211</v>
      </c>
      <c r="I115">
        <v>0</v>
      </c>
      <c r="J115" t="s">
        <v>41</v>
      </c>
      <c r="K115" t="s">
        <v>41</v>
      </c>
    </row>
    <row r="116" spans="1:11" x14ac:dyDescent="0.25">
      <c r="A116" s="374">
        <v>46211</v>
      </c>
      <c r="I116">
        <v>0</v>
      </c>
      <c r="J116" t="s">
        <v>41</v>
      </c>
      <c r="K116" t="s">
        <v>41</v>
      </c>
    </row>
    <row r="117" spans="1:11" x14ac:dyDescent="0.25">
      <c r="A117" s="374">
        <v>46211</v>
      </c>
      <c r="I117">
        <v>0</v>
      </c>
      <c r="J117" t="s">
        <v>41</v>
      </c>
      <c r="K117" t="s">
        <v>41</v>
      </c>
    </row>
    <row r="118" spans="1:11" x14ac:dyDescent="0.25">
      <c r="A118" s="374">
        <v>46211</v>
      </c>
      <c r="I118">
        <v>0</v>
      </c>
      <c r="J118" t="s">
        <v>41</v>
      </c>
      <c r="K118" t="s">
        <v>41</v>
      </c>
    </row>
    <row r="119" spans="1:11" x14ac:dyDescent="0.25">
      <c r="A119" s="374">
        <v>46211</v>
      </c>
      <c r="I119">
        <v>0</v>
      </c>
      <c r="J119" t="s">
        <v>41</v>
      </c>
      <c r="K119" t="s">
        <v>41</v>
      </c>
    </row>
    <row r="120" spans="1:11" x14ac:dyDescent="0.25">
      <c r="A120" s="374">
        <v>46212</v>
      </c>
      <c r="B120" t="s">
        <v>9</v>
      </c>
      <c r="C120" t="s">
        <v>181</v>
      </c>
      <c r="D120" t="s">
        <v>182</v>
      </c>
      <c r="E120">
        <v>0.98375000000000001</v>
      </c>
    </row>
    <row r="121" spans="1:11" x14ac:dyDescent="0.25">
      <c r="A121" s="374">
        <v>46212</v>
      </c>
      <c r="B121" t="s">
        <v>10</v>
      </c>
      <c r="C121" t="s">
        <v>183</v>
      </c>
      <c r="D121" t="s">
        <v>184</v>
      </c>
      <c r="E121">
        <v>1.0425</v>
      </c>
    </row>
    <row r="122" spans="1:11" x14ac:dyDescent="0.25">
      <c r="A122" s="374">
        <v>46212</v>
      </c>
      <c r="B122" t="s">
        <v>12</v>
      </c>
      <c r="C122" t="s">
        <v>185</v>
      </c>
      <c r="D122" t="s">
        <v>180</v>
      </c>
      <c r="E122">
        <v>1.145</v>
      </c>
    </row>
    <row r="123" spans="1:11" x14ac:dyDescent="0.25">
      <c r="A123" s="374">
        <v>46212</v>
      </c>
      <c r="B123" t="s">
        <v>13</v>
      </c>
      <c r="C123" t="s">
        <v>187</v>
      </c>
      <c r="D123">
        <v>46409</v>
      </c>
      <c r="E123">
        <v>1.2212499999999999</v>
      </c>
    </row>
    <row r="124" spans="1:11" x14ac:dyDescent="0.25">
      <c r="A124" s="374">
        <v>46212</v>
      </c>
      <c r="B124" t="s">
        <v>28</v>
      </c>
      <c r="C124">
        <v>46412</v>
      </c>
      <c r="D124">
        <v>46465</v>
      </c>
      <c r="E124">
        <v>1.2875000000000001</v>
      </c>
    </row>
    <row r="125" spans="1:11" x14ac:dyDescent="0.25">
      <c r="A125" s="374">
        <v>46213</v>
      </c>
      <c r="B125" t="s">
        <v>9</v>
      </c>
      <c r="C125" t="s">
        <v>181</v>
      </c>
      <c r="D125" t="s">
        <v>182</v>
      </c>
      <c r="E125">
        <v>0.98375000000000001</v>
      </c>
      <c r="F125">
        <v>0.57500000000000329</v>
      </c>
      <c r="G125">
        <v>0.57500000000000329</v>
      </c>
      <c r="H125">
        <v>2.3000000000000131E-2</v>
      </c>
      <c r="I125">
        <v>0</v>
      </c>
      <c r="J125">
        <v>0</v>
      </c>
      <c r="K125" t="s">
        <v>41</v>
      </c>
    </row>
    <row r="126" spans="1:11" x14ac:dyDescent="0.25">
      <c r="A126" s="374">
        <v>46213</v>
      </c>
      <c r="B126" t="s">
        <v>10</v>
      </c>
      <c r="C126" t="s">
        <v>183</v>
      </c>
      <c r="D126" t="s">
        <v>184</v>
      </c>
      <c r="E126">
        <v>1.04</v>
      </c>
      <c r="F126">
        <v>5.6250000000000018</v>
      </c>
      <c r="G126">
        <v>6.2000000000000055</v>
      </c>
      <c r="H126">
        <v>0.24800000000000022</v>
      </c>
      <c r="I126">
        <v>-0.24999999999999467</v>
      </c>
      <c r="J126">
        <v>0.50000000000001155</v>
      </c>
      <c r="K126" t="s">
        <v>41</v>
      </c>
    </row>
    <row r="127" spans="1:11" x14ac:dyDescent="0.25">
      <c r="A127" s="374">
        <v>46213</v>
      </c>
      <c r="B127" t="s">
        <v>12</v>
      </c>
      <c r="C127" t="s">
        <v>185</v>
      </c>
      <c r="D127" t="s">
        <v>180</v>
      </c>
      <c r="E127">
        <v>1.1425000000000001</v>
      </c>
      <c r="F127">
        <v>10.250000000000004</v>
      </c>
      <c r="G127">
        <v>16.45000000000001</v>
      </c>
      <c r="H127">
        <v>0.65800000000000036</v>
      </c>
      <c r="I127">
        <v>-0.24999999999999467</v>
      </c>
      <c r="J127">
        <v>1.1249999999999982</v>
      </c>
      <c r="K127" t="s">
        <v>41</v>
      </c>
    </row>
    <row r="128" spans="1:11" x14ac:dyDescent="0.25">
      <c r="A128" s="374">
        <v>46213</v>
      </c>
      <c r="B128" t="s">
        <v>13</v>
      </c>
      <c r="C128" t="s">
        <v>187</v>
      </c>
      <c r="D128">
        <v>46409</v>
      </c>
      <c r="E128">
        <v>1.21875</v>
      </c>
      <c r="F128">
        <v>7.6249999999999929</v>
      </c>
      <c r="G128">
        <v>24.075000000000003</v>
      </c>
      <c r="H128">
        <v>0.96300000000000008</v>
      </c>
      <c r="I128">
        <v>-0.24999999999999467</v>
      </c>
      <c r="J128">
        <v>1.1249999999999982</v>
      </c>
      <c r="K128" t="s">
        <v>41</v>
      </c>
    </row>
    <row r="129" spans="1:11" x14ac:dyDescent="0.25">
      <c r="A129" s="374">
        <v>46213</v>
      </c>
      <c r="B129" t="s">
        <v>28</v>
      </c>
      <c r="C129">
        <v>46412</v>
      </c>
      <c r="D129">
        <v>46465</v>
      </c>
      <c r="E129">
        <v>1.2837499999999999</v>
      </c>
      <c r="F129">
        <v>6.4999999999999947</v>
      </c>
      <c r="G129">
        <v>30.574999999999996</v>
      </c>
      <c r="H129">
        <v>1.2229999999999999</v>
      </c>
      <c r="I129">
        <v>-0.37500000000001421</v>
      </c>
      <c r="J129">
        <v>1.2499999999999956</v>
      </c>
      <c r="K129" t="s">
        <v>41</v>
      </c>
    </row>
    <row r="130" spans="1:11" x14ac:dyDescent="0.25">
      <c r="A130" s="374">
        <v>46213</v>
      </c>
      <c r="I130" t="s">
        <v>41</v>
      </c>
      <c r="J130">
        <v>0</v>
      </c>
      <c r="K130" t="s">
        <v>41</v>
      </c>
    </row>
    <row r="131" spans="1:11" x14ac:dyDescent="0.25">
      <c r="A131" s="374">
        <v>46213</v>
      </c>
      <c r="I131" t="s">
        <v>41</v>
      </c>
      <c r="J131">
        <v>0</v>
      </c>
      <c r="K131" t="s">
        <v>41</v>
      </c>
    </row>
    <row r="132" spans="1:11" x14ac:dyDescent="0.25">
      <c r="A132" s="374">
        <v>46213</v>
      </c>
      <c r="I132" t="s">
        <v>41</v>
      </c>
      <c r="J132">
        <v>0</v>
      </c>
      <c r="K132" t="s">
        <v>41</v>
      </c>
    </row>
    <row r="133" spans="1:11" x14ac:dyDescent="0.25">
      <c r="A133" s="374">
        <v>46213</v>
      </c>
      <c r="I133" t="s">
        <v>41</v>
      </c>
      <c r="J133">
        <v>0</v>
      </c>
      <c r="K133" t="s">
        <v>41</v>
      </c>
    </row>
    <row r="134" spans="1:11" x14ac:dyDescent="0.25">
      <c r="A134" s="374">
        <v>46213</v>
      </c>
      <c r="I134" t="s">
        <v>41</v>
      </c>
      <c r="J134">
        <v>0</v>
      </c>
      <c r="K134" t="s">
        <v>41</v>
      </c>
    </row>
    <row r="135" spans="1:11" x14ac:dyDescent="0.25">
      <c r="A135" s="374">
        <v>46213</v>
      </c>
      <c r="I135" t="s">
        <v>41</v>
      </c>
      <c r="J135">
        <v>0</v>
      </c>
      <c r="K135" t="s">
        <v>41</v>
      </c>
    </row>
    <row r="136" spans="1:11" x14ac:dyDescent="0.25">
      <c r="A136" s="374">
        <v>46213</v>
      </c>
      <c r="I136" t="s">
        <v>41</v>
      </c>
      <c r="J136">
        <v>0</v>
      </c>
      <c r="K136" t="s">
        <v>41</v>
      </c>
    </row>
    <row r="137" spans="1:11" x14ac:dyDescent="0.25">
      <c r="A137" s="374">
        <v>46216</v>
      </c>
      <c r="B137" t="s">
        <v>9</v>
      </c>
      <c r="C137" t="s">
        <v>181</v>
      </c>
      <c r="D137" t="s">
        <v>182</v>
      </c>
      <c r="E137">
        <v>0.98375000000000001</v>
      </c>
      <c r="F137">
        <v>0.67500000000000338</v>
      </c>
      <c r="G137">
        <v>0.67500000000000338</v>
      </c>
      <c r="H137">
        <v>2.7000000000000135E-2</v>
      </c>
      <c r="I137">
        <v>0</v>
      </c>
      <c r="J137">
        <v>0</v>
      </c>
      <c r="K137" t="s">
        <v>41</v>
      </c>
    </row>
    <row r="138" spans="1:11" x14ac:dyDescent="0.25">
      <c r="A138" s="374">
        <v>46216</v>
      </c>
      <c r="B138" t="s">
        <v>10</v>
      </c>
      <c r="C138" t="s">
        <v>183</v>
      </c>
      <c r="D138" t="s">
        <v>184</v>
      </c>
      <c r="E138">
        <v>1.0425</v>
      </c>
      <c r="F138">
        <v>5.8749999999999964</v>
      </c>
      <c r="G138">
        <v>6.5500000000000007</v>
      </c>
      <c r="H138">
        <v>0.26200000000000001</v>
      </c>
      <c r="I138">
        <v>0.24999999999999467</v>
      </c>
      <c r="J138">
        <v>0.75000000000000622</v>
      </c>
      <c r="K138" t="s">
        <v>41</v>
      </c>
    </row>
    <row r="139" spans="1:11" x14ac:dyDescent="0.25">
      <c r="A139" s="374">
        <v>46216</v>
      </c>
      <c r="B139" t="s">
        <v>12</v>
      </c>
      <c r="C139" t="s">
        <v>185</v>
      </c>
      <c r="D139" t="s">
        <v>180</v>
      </c>
      <c r="E139">
        <v>1.1487499999999999</v>
      </c>
      <c r="F139">
        <v>10.624999999999996</v>
      </c>
      <c r="G139">
        <v>17.174999999999997</v>
      </c>
      <c r="H139">
        <v>0.68699999999999983</v>
      </c>
      <c r="I139">
        <v>0.62499999999998668</v>
      </c>
      <c r="J139">
        <v>1.7499999999999849</v>
      </c>
      <c r="K139" t="s">
        <v>41</v>
      </c>
    </row>
    <row r="140" spans="1:11" x14ac:dyDescent="0.25">
      <c r="A140" s="374">
        <v>46216</v>
      </c>
      <c r="B140" t="s">
        <v>13</v>
      </c>
      <c r="C140" t="s">
        <v>187</v>
      </c>
      <c r="D140">
        <v>46409</v>
      </c>
      <c r="E140">
        <v>1.2275</v>
      </c>
      <c r="F140">
        <v>7.8750000000000098</v>
      </c>
      <c r="G140">
        <v>25.050000000000004</v>
      </c>
      <c r="H140">
        <v>1.0020000000000002</v>
      </c>
      <c r="I140">
        <v>0.87500000000000355</v>
      </c>
      <c r="J140">
        <v>2.2499999999999964</v>
      </c>
      <c r="K140" t="s">
        <v>41</v>
      </c>
    </row>
    <row r="141" spans="1:11" x14ac:dyDescent="0.25">
      <c r="A141" s="374">
        <v>46216</v>
      </c>
      <c r="B141" t="s">
        <v>28</v>
      </c>
      <c r="C141">
        <v>46412</v>
      </c>
      <c r="D141">
        <v>46465</v>
      </c>
      <c r="E141">
        <v>1.29375</v>
      </c>
      <c r="F141">
        <v>6.624999999999992</v>
      </c>
      <c r="G141">
        <v>31.674999999999997</v>
      </c>
      <c r="H141">
        <v>1.2669999999999999</v>
      </c>
      <c r="I141">
        <v>1.0000000000000009</v>
      </c>
      <c r="J141">
        <v>2.4999999999999911</v>
      </c>
      <c r="K141" t="s">
        <v>41</v>
      </c>
    </row>
    <row r="142" spans="1:11" x14ac:dyDescent="0.25">
      <c r="A142" s="374">
        <v>46216</v>
      </c>
      <c r="I142">
        <v>0</v>
      </c>
      <c r="J142">
        <v>0</v>
      </c>
      <c r="K142" t="s">
        <v>41</v>
      </c>
    </row>
    <row r="143" spans="1:11" x14ac:dyDescent="0.25">
      <c r="A143" s="374">
        <v>46216</v>
      </c>
      <c r="I143">
        <v>0</v>
      </c>
      <c r="J143">
        <v>0</v>
      </c>
      <c r="K143" t="s">
        <v>41</v>
      </c>
    </row>
    <row r="144" spans="1:11" x14ac:dyDescent="0.25">
      <c r="A144" s="374">
        <v>46216</v>
      </c>
      <c r="I144">
        <v>0</v>
      </c>
      <c r="J144">
        <v>0</v>
      </c>
      <c r="K144" t="s">
        <v>41</v>
      </c>
    </row>
    <row r="145" spans="1:11" x14ac:dyDescent="0.25">
      <c r="A145" s="374">
        <v>46216</v>
      </c>
      <c r="I145">
        <v>0</v>
      </c>
      <c r="J145">
        <v>0</v>
      </c>
      <c r="K145" t="s">
        <v>41</v>
      </c>
    </row>
    <row r="146" spans="1:11" x14ac:dyDescent="0.25">
      <c r="A146" s="374">
        <v>46216</v>
      </c>
      <c r="I146">
        <v>0</v>
      </c>
      <c r="J146">
        <v>0</v>
      </c>
      <c r="K146" t="s">
        <v>41</v>
      </c>
    </row>
    <row r="147" spans="1:11" x14ac:dyDescent="0.25">
      <c r="A147" s="374">
        <v>46216</v>
      </c>
      <c r="I147">
        <v>0</v>
      </c>
      <c r="J147">
        <v>0</v>
      </c>
      <c r="K147" t="s">
        <v>41</v>
      </c>
    </row>
    <row r="148" spans="1:11" x14ac:dyDescent="0.25">
      <c r="A148" s="374">
        <v>46216</v>
      </c>
      <c r="I148">
        <v>0</v>
      </c>
      <c r="J148">
        <v>0</v>
      </c>
      <c r="K148" t="s">
        <v>41</v>
      </c>
    </row>
    <row r="149" spans="1:11" x14ac:dyDescent="0.25">
      <c r="A149" s="374">
        <v>46217</v>
      </c>
      <c r="B149" t="s">
        <v>9</v>
      </c>
      <c r="C149" t="s">
        <v>181</v>
      </c>
      <c r="D149" t="s">
        <v>182</v>
      </c>
      <c r="E149">
        <v>0.98375000000000001</v>
      </c>
      <c r="F149">
        <v>0.67500000000000338</v>
      </c>
      <c r="G149">
        <v>0.67500000000000338</v>
      </c>
      <c r="H149">
        <v>2.7000000000000135E-2</v>
      </c>
      <c r="I149">
        <v>0</v>
      </c>
      <c r="J149">
        <v>0</v>
      </c>
      <c r="K149" t="s">
        <v>41</v>
      </c>
    </row>
    <row r="150" spans="1:11" x14ac:dyDescent="0.25">
      <c r="A150" s="374">
        <v>46217</v>
      </c>
      <c r="B150" t="s">
        <v>10</v>
      </c>
      <c r="C150" t="s">
        <v>183</v>
      </c>
      <c r="D150" t="s">
        <v>184</v>
      </c>
      <c r="E150">
        <v>1.0449999999999999</v>
      </c>
      <c r="F150">
        <v>6.1249999999999911</v>
      </c>
      <c r="G150">
        <v>6.7999999999999954</v>
      </c>
      <c r="H150">
        <v>0.2719999999999998</v>
      </c>
      <c r="I150">
        <v>0.24999999999999467</v>
      </c>
      <c r="J150">
        <v>1.0000000000000009</v>
      </c>
      <c r="K150" t="s">
        <v>41</v>
      </c>
    </row>
    <row r="151" spans="1:11" x14ac:dyDescent="0.25">
      <c r="A151" s="374">
        <v>46217</v>
      </c>
      <c r="B151" t="s">
        <v>12</v>
      </c>
      <c r="C151" t="s">
        <v>185</v>
      </c>
      <c r="D151" t="s">
        <v>180</v>
      </c>
      <c r="E151">
        <v>1.155</v>
      </c>
      <c r="F151">
        <v>11.000000000000011</v>
      </c>
      <c r="G151">
        <v>17.800000000000004</v>
      </c>
      <c r="H151">
        <v>0.71200000000000019</v>
      </c>
      <c r="I151">
        <v>0.62500000000000888</v>
      </c>
      <c r="J151">
        <v>2.0000000000000018</v>
      </c>
      <c r="K151" t="s">
        <v>41</v>
      </c>
    </row>
    <row r="152" spans="1:11" x14ac:dyDescent="0.25">
      <c r="A152" s="374">
        <v>46217</v>
      </c>
      <c r="B152" t="s">
        <v>13</v>
      </c>
      <c r="C152" t="s">
        <v>187</v>
      </c>
      <c r="D152">
        <v>46409</v>
      </c>
      <c r="E152">
        <v>1.2250000000000001</v>
      </c>
      <c r="F152">
        <v>7.0000000000000062</v>
      </c>
      <c r="G152">
        <v>24.800000000000011</v>
      </c>
      <c r="H152">
        <v>0.99200000000000044</v>
      </c>
      <c r="I152">
        <v>-0.24999999999999467</v>
      </c>
      <c r="J152">
        <v>1.3750000000000151</v>
      </c>
      <c r="K152" t="s">
        <v>41</v>
      </c>
    </row>
    <row r="153" spans="1:11" x14ac:dyDescent="0.25">
      <c r="A153" s="374">
        <v>46217</v>
      </c>
      <c r="B153" t="s">
        <v>28</v>
      </c>
      <c r="C153">
        <v>46412</v>
      </c>
      <c r="D153">
        <v>46465</v>
      </c>
      <c r="E153">
        <v>1.29125</v>
      </c>
      <c r="F153">
        <v>6.624999999999992</v>
      </c>
      <c r="G153">
        <v>31.425000000000004</v>
      </c>
      <c r="H153">
        <v>1.2570000000000001</v>
      </c>
      <c r="I153">
        <v>-0.24999999999999467</v>
      </c>
      <c r="J153">
        <v>1.4999999999999902</v>
      </c>
      <c r="K153" t="s">
        <v>41</v>
      </c>
    </row>
    <row r="154" spans="1:11" x14ac:dyDescent="0.25">
      <c r="A154" s="374">
        <v>46217</v>
      </c>
      <c r="I154">
        <v>0</v>
      </c>
      <c r="J154">
        <v>0</v>
      </c>
      <c r="K154" t="s">
        <v>41</v>
      </c>
    </row>
    <row r="155" spans="1:11" x14ac:dyDescent="0.25">
      <c r="A155" s="374">
        <v>46217</v>
      </c>
      <c r="I155">
        <v>0</v>
      </c>
      <c r="J155">
        <v>0</v>
      </c>
      <c r="K155" t="s">
        <v>41</v>
      </c>
    </row>
    <row r="156" spans="1:11" x14ac:dyDescent="0.25">
      <c r="A156" s="374">
        <v>46217</v>
      </c>
      <c r="I156">
        <v>0</v>
      </c>
      <c r="J156">
        <v>0</v>
      </c>
      <c r="K156" t="s">
        <v>41</v>
      </c>
    </row>
    <row r="157" spans="1:11" x14ac:dyDescent="0.25">
      <c r="A157" s="374">
        <v>46217</v>
      </c>
      <c r="I157">
        <v>0</v>
      </c>
      <c r="J157">
        <v>0</v>
      </c>
      <c r="K157" t="s">
        <v>41</v>
      </c>
    </row>
    <row r="158" spans="1:11" x14ac:dyDescent="0.25">
      <c r="A158" s="374">
        <v>46217</v>
      </c>
      <c r="I158">
        <v>0</v>
      </c>
      <c r="J158">
        <v>0</v>
      </c>
      <c r="K158" t="s">
        <v>41</v>
      </c>
    </row>
    <row r="159" spans="1:11" x14ac:dyDescent="0.25">
      <c r="A159" s="374">
        <v>46217</v>
      </c>
      <c r="I159">
        <v>0</v>
      </c>
      <c r="J159">
        <v>0</v>
      </c>
      <c r="K159" t="s">
        <v>41</v>
      </c>
    </row>
    <row r="160" spans="1:11" x14ac:dyDescent="0.25">
      <c r="A160" s="374">
        <v>46217</v>
      </c>
      <c r="I160">
        <v>0</v>
      </c>
      <c r="J160">
        <v>0</v>
      </c>
      <c r="K160" t="s">
        <v>41</v>
      </c>
    </row>
    <row r="161" spans="1:11" x14ac:dyDescent="0.25">
      <c r="A161" s="374">
        <v>46218</v>
      </c>
      <c r="B161" t="s">
        <v>9</v>
      </c>
      <c r="C161" t="s">
        <v>181</v>
      </c>
      <c r="D161" t="s">
        <v>182</v>
      </c>
      <c r="E161">
        <v>0.98375000000000001</v>
      </c>
      <c r="F161">
        <v>0.67500000000000338</v>
      </c>
      <c r="G161">
        <v>0.67500000000000338</v>
      </c>
      <c r="H161">
        <v>2.7000000000000135E-2</v>
      </c>
      <c r="I161">
        <v>0</v>
      </c>
      <c r="J161">
        <v>0</v>
      </c>
      <c r="K161" t="s">
        <v>41</v>
      </c>
    </row>
    <row r="162" spans="1:11" x14ac:dyDescent="0.25">
      <c r="A162" s="374">
        <v>46218</v>
      </c>
      <c r="B162" t="s">
        <v>10</v>
      </c>
      <c r="C162" t="s">
        <v>183</v>
      </c>
      <c r="D162" t="s">
        <v>184</v>
      </c>
      <c r="E162">
        <v>1.04125</v>
      </c>
      <c r="F162">
        <v>5.75</v>
      </c>
      <c r="G162">
        <v>6.4250000000000025</v>
      </c>
      <c r="H162">
        <v>0.25700000000000012</v>
      </c>
      <c r="I162">
        <v>-0.37499999999999201</v>
      </c>
      <c r="J162">
        <v>0.12499999999999734</v>
      </c>
      <c r="K162" t="s">
        <v>41</v>
      </c>
    </row>
    <row r="163" spans="1:11" x14ac:dyDescent="0.25">
      <c r="A163" s="374">
        <v>46218</v>
      </c>
      <c r="B163" t="s">
        <v>12</v>
      </c>
      <c r="C163" t="s">
        <v>185</v>
      </c>
      <c r="D163" t="s">
        <v>180</v>
      </c>
      <c r="E163">
        <v>1.1512500000000001</v>
      </c>
      <c r="F163">
        <v>11.000000000000011</v>
      </c>
      <c r="G163">
        <v>17.425000000000011</v>
      </c>
      <c r="H163">
        <v>0.69700000000000051</v>
      </c>
      <c r="I163">
        <v>-0.37499999999999201</v>
      </c>
      <c r="J163">
        <v>0.62500000000000888</v>
      </c>
      <c r="K163" t="s">
        <v>41</v>
      </c>
    </row>
    <row r="164" spans="1:11" x14ac:dyDescent="0.25">
      <c r="A164" s="374">
        <v>46218</v>
      </c>
      <c r="B164" t="s">
        <v>13</v>
      </c>
      <c r="C164" t="s">
        <v>187</v>
      </c>
      <c r="D164">
        <v>46409</v>
      </c>
      <c r="E164">
        <v>1.2212499999999999</v>
      </c>
      <c r="F164">
        <v>6.999999999999984</v>
      </c>
      <c r="G164">
        <v>24.424999999999997</v>
      </c>
      <c r="H164">
        <v>0.97699999999999987</v>
      </c>
      <c r="I164">
        <v>-0.37500000000001421</v>
      </c>
      <c r="J164">
        <v>0.12499999999999734</v>
      </c>
      <c r="K164" t="s">
        <v>41</v>
      </c>
    </row>
    <row r="165" spans="1:11" x14ac:dyDescent="0.25">
      <c r="A165" s="374">
        <v>46218</v>
      </c>
      <c r="B165" t="s">
        <v>28</v>
      </c>
      <c r="C165">
        <v>46412</v>
      </c>
      <c r="D165">
        <v>46465</v>
      </c>
      <c r="E165">
        <v>1.2875000000000001</v>
      </c>
      <c r="F165">
        <v>6.6250000000000142</v>
      </c>
      <c r="G165">
        <v>31.050000000000011</v>
      </c>
      <c r="H165">
        <v>1.2420000000000004</v>
      </c>
      <c r="I165">
        <v>-0.37499999999999201</v>
      </c>
      <c r="J165">
        <v>0.25000000000001688</v>
      </c>
      <c r="K165" t="s">
        <v>41</v>
      </c>
    </row>
    <row r="166" spans="1:11" x14ac:dyDescent="0.25">
      <c r="A166" s="374">
        <v>46218</v>
      </c>
      <c r="I166">
        <v>0</v>
      </c>
      <c r="J166">
        <v>0</v>
      </c>
      <c r="K166" t="s">
        <v>41</v>
      </c>
    </row>
    <row r="167" spans="1:11" x14ac:dyDescent="0.25">
      <c r="A167" s="374">
        <v>46218</v>
      </c>
      <c r="I167">
        <v>0</v>
      </c>
      <c r="J167">
        <v>0</v>
      </c>
      <c r="K167" t="s">
        <v>41</v>
      </c>
    </row>
    <row r="168" spans="1:11" x14ac:dyDescent="0.25">
      <c r="A168" s="374">
        <v>46218</v>
      </c>
      <c r="I168">
        <v>0</v>
      </c>
      <c r="J168">
        <v>0</v>
      </c>
      <c r="K168" t="s">
        <v>41</v>
      </c>
    </row>
    <row r="169" spans="1:11" x14ac:dyDescent="0.25">
      <c r="A169" s="374">
        <v>46218</v>
      </c>
      <c r="I169">
        <v>0</v>
      </c>
      <c r="J169">
        <v>0</v>
      </c>
      <c r="K169" t="s">
        <v>41</v>
      </c>
    </row>
    <row r="170" spans="1:11" x14ac:dyDescent="0.25">
      <c r="A170" s="374">
        <v>46218</v>
      </c>
      <c r="I170">
        <v>0</v>
      </c>
      <c r="J170">
        <v>0</v>
      </c>
      <c r="K170" t="s">
        <v>41</v>
      </c>
    </row>
    <row r="171" spans="1:11" x14ac:dyDescent="0.25">
      <c r="A171" s="374">
        <v>46218</v>
      </c>
      <c r="I171">
        <v>0</v>
      </c>
      <c r="J171">
        <v>0</v>
      </c>
      <c r="K171" t="s">
        <v>41</v>
      </c>
    </row>
    <row r="172" spans="1:11" x14ac:dyDescent="0.25">
      <c r="A172" s="374">
        <v>46218</v>
      </c>
      <c r="I172">
        <v>0</v>
      </c>
      <c r="J172">
        <v>0</v>
      </c>
      <c r="K172" t="s">
        <v>41</v>
      </c>
    </row>
    <row r="173" spans="1:11" x14ac:dyDescent="0.25">
      <c r="A173" s="374">
        <v>46219</v>
      </c>
      <c r="B173" t="s">
        <v>9</v>
      </c>
      <c r="C173" t="s">
        <v>181</v>
      </c>
      <c r="D173" t="s">
        <v>182</v>
      </c>
      <c r="E173">
        <v>0.97875000000000001</v>
      </c>
      <c r="F173">
        <v>-0.22499999999999742</v>
      </c>
      <c r="G173">
        <v>-0.22499999999999742</v>
      </c>
      <c r="H173">
        <v>-8.999999999999897E-3</v>
      </c>
      <c r="I173">
        <v>-0.50000000000000044</v>
      </c>
      <c r="J173">
        <v>-0.50000000000000044</v>
      </c>
      <c r="K173" t="s">
        <v>41</v>
      </c>
    </row>
    <row r="174" spans="1:11" x14ac:dyDescent="0.25">
      <c r="A174" s="374">
        <v>46219</v>
      </c>
      <c r="B174" t="s">
        <v>10</v>
      </c>
      <c r="C174" t="s">
        <v>183</v>
      </c>
      <c r="D174" t="s">
        <v>184</v>
      </c>
      <c r="E174">
        <v>1.0362499999999999</v>
      </c>
      <c r="F174">
        <v>5.7499999999999885</v>
      </c>
      <c r="G174">
        <v>5.5249999999999915</v>
      </c>
      <c r="H174">
        <v>0.22099999999999967</v>
      </c>
      <c r="I174">
        <v>-0.50000000000001155</v>
      </c>
      <c r="J174">
        <v>-0.62500000000000888</v>
      </c>
      <c r="K174" t="s">
        <v>41</v>
      </c>
    </row>
    <row r="175" spans="1:11" x14ac:dyDescent="0.25">
      <c r="A175" s="374">
        <v>46219</v>
      </c>
      <c r="B175" t="s">
        <v>12</v>
      </c>
      <c r="C175" t="s">
        <v>185</v>
      </c>
      <c r="D175" t="s">
        <v>180</v>
      </c>
      <c r="E175">
        <v>1.1499999999999999</v>
      </c>
      <c r="F175">
        <v>11.375000000000002</v>
      </c>
      <c r="G175">
        <v>16.899999999999991</v>
      </c>
      <c r="H175">
        <v>0.67599999999999971</v>
      </c>
      <c r="I175">
        <v>-0.12500000000001954</v>
      </c>
      <c r="J175">
        <v>0.49999999999998934</v>
      </c>
      <c r="K175" t="s">
        <v>41</v>
      </c>
    </row>
    <row r="176" spans="1:11" x14ac:dyDescent="0.25">
      <c r="A176" s="374">
        <v>46219</v>
      </c>
      <c r="B176" t="s">
        <v>13</v>
      </c>
      <c r="C176" t="s">
        <v>187</v>
      </c>
      <c r="D176">
        <v>46409</v>
      </c>
      <c r="E176">
        <v>1.21875</v>
      </c>
      <c r="F176">
        <v>6.8750000000000089</v>
      </c>
      <c r="G176">
        <v>23.775000000000002</v>
      </c>
      <c r="H176">
        <v>0.95100000000000007</v>
      </c>
      <c r="I176">
        <v>-0.24999999999999467</v>
      </c>
      <c r="J176">
        <v>-0.24999999999999467</v>
      </c>
      <c r="K176" t="s">
        <v>41</v>
      </c>
    </row>
    <row r="177" spans="1:11" x14ac:dyDescent="0.25">
      <c r="A177" s="374">
        <v>46219</v>
      </c>
      <c r="B177" t="s">
        <v>28</v>
      </c>
      <c r="C177">
        <v>46412</v>
      </c>
      <c r="D177">
        <v>46465</v>
      </c>
      <c r="E177">
        <v>1.2825</v>
      </c>
      <c r="F177">
        <v>6.3749999999999973</v>
      </c>
      <c r="G177">
        <v>30.15</v>
      </c>
      <c r="H177">
        <v>1.206</v>
      </c>
      <c r="I177">
        <v>-0.50000000000001155</v>
      </c>
      <c r="J177">
        <v>-0.50000000000001155</v>
      </c>
      <c r="K177" t="s">
        <v>41</v>
      </c>
    </row>
    <row r="178" spans="1:11" x14ac:dyDescent="0.25">
      <c r="A178" s="374">
        <v>46219</v>
      </c>
      <c r="I178">
        <v>0</v>
      </c>
      <c r="J178" t="s">
        <v>41</v>
      </c>
      <c r="K178" t="s">
        <v>41</v>
      </c>
    </row>
    <row r="179" spans="1:11" x14ac:dyDescent="0.25">
      <c r="A179" s="374">
        <v>46219</v>
      </c>
      <c r="I179">
        <v>0</v>
      </c>
      <c r="J179" t="s">
        <v>41</v>
      </c>
      <c r="K179" t="s">
        <v>41</v>
      </c>
    </row>
    <row r="180" spans="1:11" x14ac:dyDescent="0.25">
      <c r="A180" s="374">
        <v>46219</v>
      </c>
      <c r="I180">
        <v>0</v>
      </c>
      <c r="J180" t="s">
        <v>41</v>
      </c>
      <c r="K180" t="s">
        <v>41</v>
      </c>
    </row>
    <row r="181" spans="1:11" x14ac:dyDescent="0.25">
      <c r="A181" s="374">
        <v>46219</v>
      </c>
      <c r="I181">
        <v>0</v>
      </c>
      <c r="J181" t="s">
        <v>41</v>
      </c>
      <c r="K181" t="s">
        <v>41</v>
      </c>
    </row>
    <row r="182" spans="1:11" x14ac:dyDescent="0.25">
      <c r="A182" s="374">
        <v>46219</v>
      </c>
      <c r="I182">
        <v>0</v>
      </c>
      <c r="J182" t="s">
        <v>41</v>
      </c>
      <c r="K182" t="s">
        <v>41</v>
      </c>
    </row>
    <row r="183" spans="1:11" x14ac:dyDescent="0.25">
      <c r="A183" s="374">
        <v>46219</v>
      </c>
      <c r="I183">
        <v>0</v>
      </c>
      <c r="J183" t="s">
        <v>41</v>
      </c>
      <c r="K183" t="s">
        <v>41</v>
      </c>
    </row>
    <row r="184" spans="1:11" x14ac:dyDescent="0.25">
      <c r="A184" s="374">
        <v>46219</v>
      </c>
      <c r="I184">
        <v>0</v>
      </c>
      <c r="J184" t="s">
        <v>41</v>
      </c>
      <c r="K184" t="s">
        <v>41</v>
      </c>
    </row>
    <row r="185" spans="1:11" x14ac:dyDescent="0.25">
      <c r="A185" s="374">
        <v>46220</v>
      </c>
      <c r="B185" t="s">
        <v>9</v>
      </c>
      <c r="C185" t="s">
        <v>181</v>
      </c>
      <c r="D185" t="s">
        <v>182</v>
      </c>
      <c r="E185">
        <v>0.97875000000000001</v>
      </c>
      <c r="F185">
        <v>-2.4999999999997247E-2</v>
      </c>
      <c r="G185">
        <v>-2.4999999999997247E-2</v>
      </c>
      <c r="H185">
        <v>-9.9999999999988987E-4</v>
      </c>
      <c r="I185">
        <v>0</v>
      </c>
      <c r="J185">
        <v>-0.50000000000000044</v>
      </c>
      <c r="K185" t="s">
        <v>41</v>
      </c>
    </row>
    <row r="186" spans="1:11" x14ac:dyDescent="0.25">
      <c r="A186" s="374">
        <v>46220</v>
      </c>
      <c r="B186" t="s">
        <v>10</v>
      </c>
      <c r="C186" t="s">
        <v>183</v>
      </c>
      <c r="D186" t="s">
        <v>184</v>
      </c>
      <c r="E186">
        <v>1.0349999999999999</v>
      </c>
      <c r="F186">
        <v>5.6249999999999911</v>
      </c>
      <c r="G186">
        <v>5.5999999999999943</v>
      </c>
      <c r="H186">
        <v>0.22399999999999978</v>
      </c>
      <c r="I186">
        <v>-0.12499999999999734</v>
      </c>
      <c r="J186">
        <v>-0.50000000000001155</v>
      </c>
      <c r="K186" t="s">
        <v>41</v>
      </c>
    </row>
    <row r="187" spans="1:11" x14ac:dyDescent="0.25">
      <c r="A187" s="374">
        <v>46220</v>
      </c>
      <c r="B187" t="s">
        <v>12</v>
      </c>
      <c r="C187" t="s">
        <v>185</v>
      </c>
      <c r="D187" t="s">
        <v>180</v>
      </c>
      <c r="E187">
        <v>1.14625</v>
      </c>
      <c r="F187">
        <v>11.125000000000007</v>
      </c>
      <c r="G187">
        <v>16.725000000000001</v>
      </c>
      <c r="H187">
        <v>0.66900000000000004</v>
      </c>
      <c r="I187">
        <v>-0.37499999999999201</v>
      </c>
      <c r="J187">
        <v>0.37499999999999201</v>
      </c>
      <c r="K187" t="s">
        <v>41</v>
      </c>
    </row>
    <row r="188" spans="1:11" x14ac:dyDescent="0.25">
      <c r="A188" s="374">
        <v>46220</v>
      </c>
      <c r="B188" t="s">
        <v>13</v>
      </c>
      <c r="C188" t="s">
        <v>187</v>
      </c>
      <c r="D188">
        <v>46409</v>
      </c>
      <c r="E188">
        <v>1.2124999999999999</v>
      </c>
      <c r="F188">
        <v>6.624999999999992</v>
      </c>
      <c r="G188">
        <v>23.349999999999994</v>
      </c>
      <c r="H188">
        <v>0.93399999999999972</v>
      </c>
      <c r="I188">
        <v>-0.62500000000000888</v>
      </c>
      <c r="J188">
        <v>-0.62500000000000888</v>
      </c>
      <c r="K188" t="s">
        <v>41</v>
      </c>
    </row>
    <row r="189" spans="1:11" x14ac:dyDescent="0.25">
      <c r="A189" s="374">
        <v>46220</v>
      </c>
      <c r="B189" t="s">
        <v>28</v>
      </c>
      <c r="C189">
        <v>46412</v>
      </c>
      <c r="D189">
        <v>46465</v>
      </c>
      <c r="E189">
        <v>1.27125</v>
      </c>
      <c r="F189">
        <v>5.875000000000008</v>
      </c>
      <c r="G189">
        <v>29.225000000000001</v>
      </c>
      <c r="H189">
        <v>1.169</v>
      </c>
      <c r="I189">
        <v>-1.1249999999999982</v>
      </c>
      <c r="J189">
        <v>-1.2499999999999956</v>
      </c>
      <c r="K189" t="s">
        <v>41</v>
      </c>
    </row>
    <row r="190" spans="1:11" x14ac:dyDescent="0.25">
      <c r="A190" s="374">
        <v>46220</v>
      </c>
      <c r="I190">
        <v>0</v>
      </c>
      <c r="J190">
        <v>0</v>
      </c>
      <c r="K190" t="s">
        <v>41</v>
      </c>
    </row>
    <row r="191" spans="1:11" x14ac:dyDescent="0.25">
      <c r="A191" s="374">
        <v>46220</v>
      </c>
      <c r="I191">
        <v>0</v>
      </c>
      <c r="J191">
        <v>0</v>
      </c>
      <c r="K191" t="s">
        <v>41</v>
      </c>
    </row>
    <row r="192" spans="1:11" x14ac:dyDescent="0.25">
      <c r="A192" s="374">
        <v>46220</v>
      </c>
      <c r="I192">
        <v>0</v>
      </c>
      <c r="J192">
        <v>0</v>
      </c>
      <c r="K192" t="s">
        <v>41</v>
      </c>
    </row>
    <row r="193" spans="1:11" x14ac:dyDescent="0.25">
      <c r="A193" s="374">
        <v>46220</v>
      </c>
      <c r="I193">
        <v>0</v>
      </c>
      <c r="J193">
        <v>0</v>
      </c>
      <c r="K193" t="s">
        <v>41</v>
      </c>
    </row>
    <row r="194" spans="1:11" x14ac:dyDescent="0.25">
      <c r="A194" s="374">
        <v>46220</v>
      </c>
      <c r="I194">
        <v>0</v>
      </c>
      <c r="J194">
        <v>0</v>
      </c>
      <c r="K194" t="s">
        <v>41</v>
      </c>
    </row>
    <row r="195" spans="1:11" x14ac:dyDescent="0.25">
      <c r="A195" s="374">
        <v>46220</v>
      </c>
      <c r="I195">
        <v>0</v>
      </c>
      <c r="J195">
        <v>0</v>
      </c>
      <c r="K195" t="s">
        <v>41</v>
      </c>
    </row>
    <row r="196" spans="1:11" x14ac:dyDescent="0.25">
      <c r="A196" s="374">
        <v>46220</v>
      </c>
      <c r="I196">
        <v>0</v>
      </c>
      <c r="J196">
        <v>0</v>
      </c>
      <c r="K196" t="s">
        <v>41</v>
      </c>
    </row>
    <row r="197" spans="1:11" x14ac:dyDescent="0.25">
      <c r="A197" s="374">
        <v>46223</v>
      </c>
      <c r="B197" t="s">
        <v>9</v>
      </c>
      <c r="C197" t="s">
        <v>181</v>
      </c>
      <c r="D197" t="s">
        <v>182</v>
      </c>
      <c r="E197">
        <v>0.97875000000000001</v>
      </c>
      <c r="F197">
        <v>-2.4999999999997247E-2</v>
      </c>
      <c r="G197">
        <v>-2.4999999999997247E-2</v>
      </c>
      <c r="H197">
        <v>-9.9999999999988987E-4</v>
      </c>
      <c r="I197">
        <v>0</v>
      </c>
      <c r="J197">
        <v>-0.50000000000000044</v>
      </c>
      <c r="K197" t="s">
        <v>41</v>
      </c>
    </row>
    <row r="198" spans="1:11" x14ac:dyDescent="0.25">
      <c r="A198" s="374">
        <v>46223</v>
      </c>
      <c r="B198" t="s">
        <v>10</v>
      </c>
      <c r="C198" t="s">
        <v>183</v>
      </c>
      <c r="D198" t="s">
        <v>184</v>
      </c>
      <c r="E198">
        <v>1.0349999999999999</v>
      </c>
      <c r="F198">
        <v>5.6249999999999911</v>
      </c>
      <c r="G198">
        <v>5.5999999999999943</v>
      </c>
      <c r="H198">
        <v>0.22399999999999978</v>
      </c>
      <c r="I198">
        <v>0</v>
      </c>
      <c r="J198">
        <v>-0.75000000000000622</v>
      </c>
      <c r="K198" t="s">
        <v>41</v>
      </c>
    </row>
    <row r="199" spans="1:11" x14ac:dyDescent="0.25">
      <c r="A199" s="374">
        <v>46223</v>
      </c>
      <c r="B199" t="s">
        <v>12</v>
      </c>
      <c r="C199" t="s">
        <v>185</v>
      </c>
      <c r="D199" t="s">
        <v>180</v>
      </c>
      <c r="E199">
        <v>1.14625</v>
      </c>
      <c r="F199">
        <v>11.125000000000007</v>
      </c>
      <c r="G199">
        <v>16.725000000000001</v>
      </c>
      <c r="H199">
        <v>0.66900000000000004</v>
      </c>
      <c r="I199">
        <v>0</v>
      </c>
      <c r="J199">
        <v>-0.24999999999999467</v>
      </c>
      <c r="K199" t="s">
        <v>41</v>
      </c>
    </row>
    <row r="200" spans="1:11" x14ac:dyDescent="0.25">
      <c r="A200" s="374">
        <v>46223</v>
      </c>
      <c r="B200" t="s">
        <v>13</v>
      </c>
      <c r="C200" t="s">
        <v>187</v>
      </c>
      <c r="D200">
        <v>46409</v>
      </c>
      <c r="E200">
        <v>1.2124999999999999</v>
      </c>
      <c r="F200">
        <v>6.624999999999992</v>
      </c>
      <c r="G200">
        <v>23.349999999999994</v>
      </c>
      <c r="H200">
        <v>0.93399999999999972</v>
      </c>
      <c r="I200">
        <v>0</v>
      </c>
      <c r="J200">
        <v>-1.5000000000000124</v>
      </c>
      <c r="K200" t="s">
        <v>41</v>
      </c>
    </row>
    <row r="201" spans="1:11" x14ac:dyDescent="0.25">
      <c r="A201" s="374">
        <v>46223</v>
      </c>
      <c r="B201" t="s">
        <v>28</v>
      </c>
      <c r="C201">
        <v>46412</v>
      </c>
      <c r="D201">
        <v>46465</v>
      </c>
      <c r="E201">
        <v>1.27125</v>
      </c>
      <c r="F201">
        <v>5.875000000000008</v>
      </c>
      <c r="G201">
        <v>29.225000000000001</v>
      </c>
      <c r="H201">
        <v>1.169</v>
      </c>
      <c r="I201">
        <v>0</v>
      </c>
      <c r="J201">
        <v>-2.2499999999999964</v>
      </c>
      <c r="K201" t="s">
        <v>41</v>
      </c>
    </row>
    <row r="202" spans="1:11" x14ac:dyDescent="0.25">
      <c r="A202" s="374">
        <v>46223</v>
      </c>
      <c r="I202">
        <v>0</v>
      </c>
      <c r="J202">
        <v>0</v>
      </c>
      <c r="K202" t="s">
        <v>41</v>
      </c>
    </row>
    <row r="203" spans="1:11" x14ac:dyDescent="0.25">
      <c r="A203" s="374">
        <v>46223</v>
      </c>
      <c r="I203">
        <v>0</v>
      </c>
      <c r="J203">
        <v>0</v>
      </c>
      <c r="K203" t="s">
        <v>41</v>
      </c>
    </row>
    <row r="204" spans="1:11" x14ac:dyDescent="0.25">
      <c r="A204" s="374">
        <v>46223</v>
      </c>
      <c r="I204">
        <v>0</v>
      </c>
      <c r="J204">
        <v>0</v>
      </c>
      <c r="K204" t="s">
        <v>41</v>
      </c>
    </row>
    <row r="205" spans="1:11" x14ac:dyDescent="0.25">
      <c r="A205" s="374">
        <v>46223</v>
      </c>
      <c r="I205">
        <v>0</v>
      </c>
      <c r="J205">
        <v>0</v>
      </c>
      <c r="K205" t="s">
        <v>41</v>
      </c>
    </row>
    <row r="206" spans="1:11" x14ac:dyDescent="0.25">
      <c r="A206" s="374">
        <v>46223</v>
      </c>
      <c r="I206">
        <v>0</v>
      </c>
      <c r="J206">
        <v>0</v>
      </c>
      <c r="K206" t="s">
        <v>41</v>
      </c>
    </row>
    <row r="207" spans="1:11" x14ac:dyDescent="0.25">
      <c r="A207" s="374">
        <v>46223</v>
      </c>
      <c r="I207">
        <v>0</v>
      </c>
      <c r="J207">
        <v>0</v>
      </c>
      <c r="K207" t="s">
        <v>41</v>
      </c>
    </row>
    <row r="208" spans="1:11" x14ac:dyDescent="0.25">
      <c r="A208" s="374">
        <v>46223</v>
      </c>
      <c r="I208">
        <v>0</v>
      </c>
      <c r="J208">
        <v>0</v>
      </c>
      <c r="K208" t="s">
        <v>41</v>
      </c>
    </row>
    <row r="209" spans="1:11" x14ac:dyDescent="0.25">
      <c r="A209" s="374">
        <v>46224</v>
      </c>
      <c r="B209" t="s">
        <v>9</v>
      </c>
      <c r="C209" t="s">
        <v>181</v>
      </c>
      <c r="D209" t="s">
        <v>182</v>
      </c>
      <c r="E209">
        <v>0.97875000000000001</v>
      </c>
      <c r="F209">
        <v>0.17500000000000293</v>
      </c>
      <c r="G209">
        <v>0.17500000000000293</v>
      </c>
      <c r="H209">
        <v>7.0000000000001172E-3</v>
      </c>
      <c r="I209">
        <v>0</v>
      </c>
      <c r="J209">
        <v>-0.50000000000000044</v>
      </c>
      <c r="K209" t="s">
        <v>41</v>
      </c>
    </row>
    <row r="210" spans="1:11" x14ac:dyDescent="0.25">
      <c r="A210" s="374">
        <v>46224</v>
      </c>
      <c r="B210" t="s">
        <v>10</v>
      </c>
      <c r="C210" t="s">
        <v>183</v>
      </c>
      <c r="D210" t="s">
        <v>184</v>
      </c>
      <c r="E210">
        <v>1.0362499999999999</v>
      </c>
      <c r="F210">
        <v>5.7499999999999885</v>
      </c>
      <c r="G210">
        <v>5.9249999999999918</v>
      </c>
      <c r="H210">
        <v>0.23699999999999968</v>
      </c>
      <c r="I210">
        <v>0.12499999999999734</v>
      </c>
      <c r="J210">
        <v>-0.87500000000000355</v>
      </c>
      <c r="K210" t="s">
        <v>41</v>
      </c>
    </row>
    <row r="211" spans="1:11" x14ac:dyDescent="0.25">
      <c r="A211" s="374">
        <v>46224</v>
      </c>
      <c r="B211" t="s">
        <v>12</v>
      </c>
      <c r="C211" t="s">
        <v>185</v>
      </c>
      <c r="D211" t="s">
        <v>180</v>
      </c>
      <c r="E211">
        <v>1.1499999999999999</v>
      </c>
      <c r="F211">
        <v>11.375000000000002</v>
      </c>
      <c r="G211">
        <v>17.299999999999994</v>
      </c>
      <c r="H211">
        <v>0.69199999999999973</v>
      </c>
      <c r="I211">
        <v>0.37499999999999201</v>
      </c>
      <c r="J211">
        <v>-0.50000000000001155</v>
      </c>
      <c r="K211" t="s">
        <v>41</v>
      </c>
    </row>
    <row r="212" spans="1:11" x14ac:dyDescent="0.25">
      <c r="A212" s="374">
        <v>46224</v>
      </c>
      <c r="B212" t="s">
        <v>13</v>
      </c>
      <c r="C212" t="s">
        <v>187</v>
      </c>
      <c r="D212">
        <v>46409</v>
      </c>
      <c r="E212">
        <v>1.2175</v>
      </c>
      <c r="F212">
        <v>6.7500000000000115</v>
      </c>
      <c r="G212">
        <v>24.050000000000004</v>
      </c>
      <c r="H212">
        <v>0.96200000000000019</v>
      </c>
      <c r="I212">
        <v>0.50000000000001155</v>
      </c>
      <c r="J212">
        <v>-0.75000000000000622</v>
      </c>
      <c r="K212" t="s">
        <v>41</v>
      </c>
    </row>
    <row r="213" spans="1:11" x14ac:dyDescent="0.25">
      <c r="A213" s="374">
        <v>46224</v>
      </c>
      <c r="B213" t="s">
        <v>28</v>
      </c>
      <c r="C213">
        <v>46412</v>
      </c>
      <c r="D213">
        <v>46465</v>
      </c>
      <c r="E213">
        <v>1.28</v>
      </c>
      <c r="F213">
        <v>6.25</v>
      </c>
      <c r="G213">
        <v>30.300000000000004</v>
      </c>
      <c r="H213">
        <v>1.2120000000000002</v>
      </c>
      <c r="I213">
        <v>0.87500000000000355</v>
      </c>
      <c r="J213">
        <v>-1.1249999999999982</v>
      </c>
      <c r="K213" t="s">
        <v>41</v>
      </c>
    </row>
    <row r="214" spans="1:11" x14ac:dyDescent="0.25">
      <c r="A214" s="374">
        <v>46224</v>
      </c>
      <c r="I214">
        <v>0</v>
      </c>
      <c r="J214">
        <v>0</v>
      </c>
      <c r="K214" t="s">
        <v>41</v>
      </c>
    </row>
    <row r="215" spans="1:11" x14ac:dyDescent="0.25">
      <c r="A215" s="374">
        <v>46224</v>
      </c>
      <c r="I215">
        <v>0</v>
      </c>
      <c r="J215">
        <v>0</v>
      </c>
      <c r="K215" t="s">
        <v>41</v>
      </c>
    </row>
    <row r="216" spans="1:11" x14ac:dyDescent="0.25">
      <c r="A216" s="374">
        <v>46224</v>
      </c>
      <c r="I216">
        <v>0</v>
      </c>
      <c r="J216">
        <v>0</v>
      </c>
      <c r="K216" t="s">
        <v>41</v>
      </c>
    </row>
    <row r="217" spans="1:11" x14ac:dyDescent="0.25">
      <c r="A217" s="374">
        <v>46224</v>
      </c>
      <c r="I217">
        <v>0</v>
      </c>
      <c r="J217">
        <v>0</v>
      </c>
      <c r="K217" t="s">
        <v>41</v>
      </c>
    </row>
    <row r="218" spans="1:11" x14ac:dyDescent="0.25">
      <c r="A218" s="374">
        <v>46224</v>
      </c>
      <c r="I218">
        <v>0</v>
      </c>
      <c r="J218">
        <v>0</v>
      </c>
      <c r="K218" t="s">
        <v>41</v>
      </c>
    </row>
    <row r="219" spans="1:11" x14ac:dyDescent="0.25">
      <c r="A219" s="374">
        <v>46224</v>
      </c>
      <c r="I219">
        <v>0</v>
      </c>
      <c r="J219">
        <v>0</v>
      </c>
      <c r="K219" t="s">
        <v>41</v>
      </c>
    </row>
    <row r="220" spans="1:11" x14ac:dyDescent="0.25">
      <c r="A220" s="374">
        <v>46224</v>
      </c>
      <c r="I220">
        <v>0</v>
      </c>
      <c r="J220">
        <v>0</v>
      </c>
      <c r="K220" t="s">
        <v>41</v>
      </c>
    </row>
    <row r="221" spans="1:11" x14ac:dyDescent="0.25">
      <c r="A221" s="374">
        <v>46225</v>
      </c>
      <c r="B221" t="s">
        <v>9</v>
      </c>
      <c r="C221" t="s">
        <v>181</v>
      </c>
      <c r="D221" t="s">
        <v>182</v>
      </c>
      <c r="E221">
        <v>0.98124999999999996</v>
      </c>
      <c r="F221">
        <v>0.4249999999999976</v>
      </c>
      <c r="G221">
        <v>0.4249999999999976</v>
      </c>
      <c r="H221">
        <v>1.6999999999999904E-2</v>
      </c>
      <c r="I221">
        <v>0.24999999999999467</v>
      </c>
      <c r="J221">
        <v>-0.25000000000000577</v>
      </c>
      <c r="K221" t="s">
        <v>41</v>
      </c>
    </row>
    <row r="222" spans="1:11" x14ac:dyDescent="0.25">
      <c r="A222" s="374">
        <v>46225</v>
      </c>
      <c r="B222" t="s">
        <v>10</v>
      </c>
      <c r="C222" t="s">
        <v>183</v>
      </c>
      <c r="D222" t="s">
        <v>184</v>
      </c>
      <c r="E222">
        <v>1.0674999999999999</v>
      </c>
      <c r="F222">
        <v>8.6249999999999929</v>
      </c>
      <c r="G222">
        <v>9.0499999999999918</v>
      </c>
      <c r="H222">
        <v>0.36199999999999966</v>
      </c>
      <c r="I222">
        <v>3.125</v>
      </c>
      <c r="J222">
        <v>2.6249999999999885</v>
      </c>
      <c r="K222">
        <v>2.2499999999999964</v>
      </c>
    </row>
    <row r="223" spans="1:11" x14ac:dyDescent="0.25">
      <c r="A223" s="374">
        <v>46225</v>
      </c>
      <c r="B223" t="s">
        <v>12</v>
      </c>
      <c r="C223" t="s">
        <v>185</v>
      </c>
      <c r="D223" t="s">
        <v>180</v>
      </c>
      <c r="E223">
        <v>1.1875</v>
      </c>
      <c r="F223">
        <v>12.000000000000011</v>
      </c>
      <c r="G223">
        <v>21.05</v>
      </c>
      <c r="H223">
        <v>0.84200000000000008</v>
      </c>
      <c r="I223">
        <v>3.7500000000000089</v>
      </c>
      <c r="J223">
        <v>3.6249999999999893</v>
      </c>
      <c r="K223">
        <v>5.2499999999999991</v>
      </c>
    </row>
    <row r="224" spans="1:11" x14ac:dyDescent="0.25">
      <c r="A224" s="374">
        <v>46225</v>
      </c>
      <c r="B224" t="s">
        <v>13</v>
      </c>
      <c r="C224" t="s">
        <v>187</v>
      </c>
      <c r="D224">
        <v>46409</v>
      </c>
      <c r="E224">
        <v>1.26</v>
      </c>
      <c r="F224">
        <v>7.2500000000000009</v>
      </c>
      <c r="G224">
        <v>28.300000000000004</v>
      </c>
      <c r="H224">
        <v>1.1320000000000001</v>
      </c>
      <c r="I224">
        <v>4.2499999999999982</v>
      </c>
      <c r="J224">
        <v>3.8750000000000062</v>
      </c>
      <c r="K224" t="s">
        <v>41</v>
      </c>
    </row>
    <row r="225" spans="1:11" x14ac:dyDescent="0.25">
      <c r="A225" s="374">
        <v>46225</v>
      </c>
      <c r="B225" t="s">
        <v>28</v>
      </c>
      <c r="C225">
        <v>46412</v>
      </c>
      <c r="D225">
        <v>46465</v>
      </c>
      <c r="E225">
        <v>1.3374999999999999</v>
      </c>
      <c r="F225">
        <v>7.7499999999999902</v>
      </c>
      <c r="G225">
        <v>36.04999999999999</v>
      </c>
      <c r="H225">
        <v>1.4419999999999995</v>
      </c>
      <c r="I225">
        <v>5.7499999999999885</v>
      </c>
      <c r="J225">
        <v>4.9999999999999822</v>
      </c>
      <c r="K225" t="s">
        <v>41</v>
      </c>
    </row>
    <row r="226" spans="1:11" x14ac:dyDescent="0.25">
      <c r="A226" s="374">
        <v>46225</v>
      </c>
      <c r="I226">
        <v>0</v>
      </c>
      <c r="J226">
        <v>0</v>
      </c>
      <c r="K226" t="s">
        <v>41</v>
      </c>
    </row>
    <row r="227" spans="1:11" x14ac:dyDescent="0.25">
      <c r="A227" s="374">
        <v>46225</v>
      </c>
      <c r="I227">
        <v>0</v>
      </c>
      <c r="J227">
        <v>0</v>
      </c>
      <c r="K227" t="s">
        <v>41</v>
      </c>
    </row>
    <row r="228" spans="1:11" x14ac:dyDescent="0.25">
      <c r="A228" s="374">
        <v>46225</v>
      </c>
      <c r="I228">
        <v>0</v>
      </c>
      <c r="J228">
        <v>0</v>
      </c>
      <c r="K228" t="s">
        <v>41</v>
      </c>
    </row>
    <row r="229" spans="1:11" x14ac:dyDescent="0.25">
      <c r="A229" s="374">
        <v>46225</v>
      </c>
      <c r="I229">
        <v>0</v>
      </c>
      <c r="J229">
        <v>0</v>
      </c>
      <c r="K229" t="s">
        <v>41</v>
      </c>
    </row>
    <row r="230" spans="1:11" x14ac:dyDescent="0.25">
      <c r="A230" s="374">
        <v>46225</v>
      </c>
      <c r="I230">
        <v>0</v>
      </c>
      <c r="J230">
        <v>0</v>
      </c>
      <c r="K230" t="s">
        <v>41</v>
      </c>
    </row>
    <row r="231" spans="1:11" x14ac:dyDescent="0.25">
      <c r="A231" s="374">
        <v>46225</v>
      </c>
      <c r="I231">
        <v>0</v>
      </c>
      <c r="J231">
        <v>0</v>
      </c>
      <c r="K231" t="s">
        <v>41</v>
      </c>
    </row>
    <row r="232" spans="1:11" x14ac:dyDescent="0.25">
      <c r="A232" s="374">
        <v>46225</v>
      </c>
      <c r="I232">
        <v>0</v>
      </c>
      <c r="J232">
        <v>0</v>
      </c>
      <c r="K232" t="s">
        <v>41</v>
      </c>
    </row>
    <row r="233" spans="1:11" x14ac:dyDescent="0.25">
      <c r="A233" s="374">
        <v>46226</v>
      </c>
      <c r="B233" t="s">
        <v>9</v>
      </c>
      <c r="C233" t="s">
        <v>181</v>
      </c>
      <c r="D233" t="s">
        <v>182</v>
      </c>
      <c r="E233">
        <v>0.98124999999999996</v>
      </c>
      <c r="F233">
        <v>0.32499999999999751</v>
      </c>
      <c r="G233">
        <v>0.32499999999999751</v>
      </c>
      <c r="H233">
        <v>1.2999999999999901E-2</v>
      </c>
      <c r="I233">
        <v>0</v>
      </c>
      <c r="J233">
        <v>0.24999999999999467</v>
      </c>
      <c r="K233">
        <v>-0.37500000000000311</v>
      </c>
    </row>
    <row r="234" spans="1:11" x14ac:dyDescent="0.25">
      <c r="A234" s="374">
        <v>46226</v>
      </c>
      <c r="B234" t="s">
        <v>10</v>
      </c>
      <c r="C234" t="s">
        <v>183</v>
      </c>
      <c r="D234" t="s">
        <v>184</v>
      </c>
      <c r="E234">
        <v>1.0625</v>
      </c>
      <c r="F234">
        <v>8.1250000000000036</v>
      </c>
      <c r="G234">
        <v>8.4500000000000028</v>
      </c>
      <c r="H234">
        <v>0.33800000000000013</v>
      </c>
      <c r="I234">
        <v>-0.49999999999998934</v>
      </c>
      <c r="J234">
        <v>2.6250000000000107</v>
      </c>
      <c r="K234">
        <v>1.8499999999999961</v>
      </c>
    </row>
    <row r="235" spans="1:11" x14ac:dyDescent="0.25">
      <c r="A235" s="374">
        <v>46226</v>
      </c>
      <c r="B235" t="s">
        <v>12</v>
      </c>
      <c r="C235" t="s">
        <v>185</v>
      </c>
      <c r="D235" t="s">
        <v>180</v>
      </c>
      <c r="E235">
        <v>1.18625</v>
      </c>
      <c r="F235">
        <v>12.375000000000004</v>
      </c>
      <c r="G235">
        <v>20.825000000000003</v>
      </c>
      <c r="H235">
        <v>0.83300000000000007</v>
      </c>
      <c r="I235">
        <v>-0.12499999999999734</v>
      </c>
      <c r="J235">
        <v>3.6250000000000115</v>
      </c>
      <c r="K235">
        <v>5.1250000000000018</v>
      </c>
    </row>
    <row r="236" spans="1:11" x14ac:dyDescent="0.25">
      <c r="A236" s="374">
        <v>46226</v>
      </c>
      <c r="B236" t="s">
        <v>13</v>
      </c>
      <c r="C236" t="s">
        <v>187</v>
      </c>
      <c r="D236">
        <v>46409</v>
      </c>
      <c r="E236">
        <v>1.2524999999999999</v>
      </c>
      <c r="F236">
        <v>6.624999999999992</v>
      </c>
      <c r="G236">
        <v>27.449999999999996</v>
      </c>
      <c r="H236">
        <v>1.0979999999999999</v>
      </c>
      <c r="I236">
        <v>-0.75000000000000622</v>
      </c>
      <c r="J236">
        <v>3.3749999999999947</v>
      </c>
      <c r="K236" t="s">
        <v>41</v>
      </c>
    </row>
    <row r="237" spans="1:11" x14ac:dyDescent="0.25">
      <c r="A237" s="374">
        <v>46226</v>
      </c>
      <c r="B237" t="s">
        <v>28</v>
      </c>
      <c r="C237">
        <v>46412</v>
      </c>
      <c r="D237">
        <v>46465</v>
      </c>
      <c r="E237">
        <v>1.325</v>
      </c>
      <c r="F237">
        <v>7.2500000000000009</v>
      </c>
      <c r="G237">
        <v>34.699999999999996</v>
      </c>
      <c r="H237">
        <v>1.3879999999999999</v>
      </c>
      <c r="I237">
        <v>-1.2499999999999956</v>
      </c>
      <c r="J237">
        <v>4.2499999999999982</v>
      </c>
      <c r="K237" t="s">
        <v>41</v>
      </c>
    </row>
    <row r="238" spans="1:11" x14ac:dyDescent="0.25">
      <c r="A238" s="374">
        <v>46226</v>
      </c>
      <c r="I238">
        <v>0</v>
      </c>
      <c r="J238">
        <v>0</v>
      </c>
      <c r="K238" t="s">
        <v>41</v>
      </c>
    </row>
    <row r="239" spans="1:11" x14ac:dyDescent="0.25">
      <c r="A239" s="374">
        <v>46226</v>
      </c>
      <c r="I239">
        <v>0</v>
      </c>
      <c r="J239">
        <v>0</v>
      </c>
      <c r="K239" t="s">
        <v>41</v>
      </c>
    </row>
    <row r="240" spans="1:11" x14ac:dyDescent="0.25">
      <c r="A240" s="374">
        <v>46226</v>
      </c>
      <c r="I240">
        <v>0</v>
      </c>
      <c r="J240">
        <v>0</v>
      </c>
      <c r="K240" t="s">
        <v>41</v>
      </c>
    </row>
    <row r="241" spans="1:11" x14ac:dyDescent="0.25">
      <c r="A241" s="374">
        <v>46226</v>
      </c>
      <c r="I241">
        <v>0</v>
      </c>
      <c r="J241">
        <v>0</v>
      </c>
      <c r="K241" t="s">
        <v>41</v>
      </c>
    </row>
    <row r="242" spans="1:11" x14ac:dyDescent="0.25">
      <c r="A242" s="374">
        <v>46226</v>
      </c>
      <c r="I242">
        <v>0</v>
      </c>
      <c r="J242">
        <v>0</v>
      </c>
      <c r="K242" t="s">
        <v>41</v>
      </c>
    </row>
    <row r="243" spans="1:11" x14ac:dyDescent="0.25">
      <c r="A243" s="374">
        <v>46226</v>
      </c>
      <c r="I243">
        <v>0</v>
      </c>
      <c r="J243">
        <v>0</v>
      </c>
      <c r="K243" t="s">
        <v>41</v>
      </c>
    </row>
    <row r="244" spans="1:11" x14ac:dyDescent="0.25">
      <c r="A244" s="374">
        <v>46226</v>
      </c>
      <c r="I244">
        <v>0</v>
      </c>
      <c r="J244">
        <v>0</v>
      </c>
      <c r="K244" t="s">
        <v>41</v>
      </c>
    </row>
    <row r="245" spans="1:11" x14ac:dyDescent="0.25">
      <c r="A245" s="374">
        <v>46227</v>
      </c>
      <c r="B245" t="s">
        <v>9</v>
      </c>
      <c r="C245" t="s">
        <v>181</v>
      </c>
      <c r="D245" t="s">
        <v>182</v>
      </c>
      <c r="E245">
        <v>0.98499999999999999</v>
      </c>
      <c r="F245">
        <v>0.50000000000000044</v>
      </c>
      <c r="G245">
        <v>0.50000000000000044</v>
      </c>
      <c r="H245">
        <v>2.0000000000000018E-2</v>
      </c>
      <c r="I245">
        <v>0.37500000000000311</v>
      </c>
      <c r="J245">
        <v>0.62499999999999778</v>
      </c>
      <c r="K245">
        <v>0</v>
      </c>
    </row>
    <row r="246" spans="1:11" x14ac:dyDescent="0.25">
      <c r="A246" s="374">
        <v>46227</v>
      </c>
      <c r="B246" t="s">
        <v>10</v>
      </c>
      <c r="C246" t="s">
        <v>183</v>
      </c>
      <c r="D246" t="s">
        <v>184</v>
      </c>
      <c r="E246">
        <v>1.0762499999999999</v>
      </c>
      <c r="F246">
        <v>9.1249999999999947</v>
      </c>
      <c r="G246">
        <v>9.6249999999999947</v>
      </c>
      <c r="H246">
        <v>0.38499999999999979</v>
      </c>
      <c r="I246">
        <v>1.3749999999999929</v>
      </c>
      <c r="J246">
        <v>4.1250000000000009</v>
      </c>
      <c r="K246">
        <v>3.5250000000000004</v>
      </c>
    </row>
    <row r="247" spans="1:11" x14ac:dyDescent="0.25">
      <c r="A247" s="374">
        <v>46227</v>
      </c>
      <c r="B247" t="s">
        <v>12</v>
      </c>
      <c r="C247" t="s">
        <v>185</v>
      </c>
      <c r="D247" t="s">
        <v>180</v>
      </c>
      <c r="E247">
        <v>1.1975</v>
      </c>
      <c r="F247">
        <v>12.125000000000007</v>
      </c>
      <c r="G247">
        <v>21.750000000000004</v>
      </c>
      <c r="H247">
        <v>0.87000000000000011</v>
      </c>
      <c r="I247">
        <v>1.1249999999999982</v>
      </c>
      <c r="J247">
        <v>5.1250000000000018</v>
      </c>
      <c r="K247">
        <v>6.3500000000000112</v>
      </c>
    </row>
    <row r="248" spans="1:11" x14ac:dyDescent="0.25">
      <c r="A248" s="374">
        <v>46227</v>
      </c>
      <c r="B248" t="s">
        <v>13</v>
      </c>
      <c r="C248" t="s">
        <v>187</v>
      </c>
      <c r="D248">
        <v>46409</v>
      </c>
      <c r="E248">
        <v>1.2662500000000001</v>
      </c>
      <c r="F248">
        <v>6.8750000000000089</v>
      </c>
      <c r="G248">
        <v>28.625000000000011</v>
      </c>
      <c r="H248">
        <v>1.1450000000000005</v>
      </c>
      <c r="I248">
        <v>1.3750000000000151</v>
      </c>
      <c r="J248">
        <v>5.3750000000000187</v>
      </c>
      <c r="K248" t="s">
        <v>41</v>
      </c>
    </row>
    <row r="249" spans="1:11" x14ac:dyDescent="0.25">
      <c r="A249" s="374">
        <v>46227</v>
      </c>
      <c r="B249" t="s">
        <v>28</v>
      </c>
      <c r="C249">
        <v>46412</v>
      </c>
      <c r="D249">
        <v>46465</v>
      </c>
      <c r="E249">
        <v>1.35625</v>
      </c>
      <c r="F249">
        <v>8.9999999999999858</v>
      </c>
      <c r="G249">
        <v>37.625</v>
      </c>
      <c r="H249">
        <v>1.5049999999999999</v>
      </c>
      <c r="I249">
        <v>3.125</v>
      </c>
      <c r="J249">
        <v>8.4999999999999964</v>
      </c>
      <c r="K249" t="s">
        <v>41</v>
      </c>
    </row>
    <row r="250" spans="1:11" x14ac:dyDescent="0.25">
      <c r="A250" s="374">
        <v>46227</v>
      </c>
      <c r="I250">
        <v>0</v>
      </c>
      <c r="J250">
        <v>0</v>
      </c>
      <c r="K250" t="s">
        <v>41</v>
      </c>
    </row>
    <row r="251" spans="1:11" x14ac:dyDescent="0.25">
      <c r="A251" s="374">
        <v>46227</v>
      </c>
      <c r="I251">
        <v>0</v>
      </c>
      <c r="J251">
        <v>0</v>
      </c>
      <c r="K251" t="s">
        <v>41</v>
      </c>
    </row>
    <row r="252" spans="1:11" x14ac:dyDescent="0.25">
      <c r="A252" s="374">
        <v>46227</v>
      </c>
      <c r="I252">
        <v>0</v>
      </c>
      <c r="J252">
        <v>0</v>
      </c>
      <c r="K252" t="s">
        <v>41</v>
      </c>
    </row>
    <row r="253" spans="1:11" x14ac:dyDescent="0.25">
      <c r="A253" s="374">
        <v>46227</v>
      </c>
      <c r="I253">
        <v>0</v>
      </c>
      <c r="J253">
        <v>0</v>
      </c>
      <c r="K253" t="s">
        <v>41</v>
      </c>
    </row>
    <row r="254" spans="1:11" x14ac:dyDescent="0.25">
      <c r="A254" s="374">
        <v>46227</v>
      </c>
      <c r="I254">
        <v>0</v>
      </c>
      <c r="J254">
        <v>0</v>
      </c>
      <c r="K254" t="s">
        <v>41</v>
      </c>
    </row>
    <row r="255" spans="1:11" x14ac:dyDescent="0.25">
      <c r="A255" s="374">
        <v>46227</v>
      </c>
      <c r="I255">
        <v>0</v>
      </c>
      <c r="J255">
        <v>0</v>
      </c>
      <c r="K255" t="s">
        <v>41</v>
      </c>
    </row>
    <row r="256" spans="1:11" x14ac:dyDescent="0.25">
      <c r="A256" s="374">
        <v>46227</v>
      </c>
      <c r="I256">
        <v>0</v>
      </c>
      <c r="J256">
        <v>0</v>
      </c>
      <c r="K256" t="s">
        <v>41</v>
      </c>
    </row>
    <row r="257" spans="1:11" x14ac:dyDescent="0.25">
      <c r="A257" s="374">
        <v>46230</v>
      </c>
      <c r="B257" t="s">
        <v>9</v>
      </c>
      <c r="C257" t="s">
        <v>181</v>
      </c>
      <c r="D257" t="s">
        <v>182</v>
      </c>
      <c r="E257">
        <v>0.98124999999999996</v>
      </c>
      <c r="F257">
        <v>0.4249999999999976</v>
      </c>
      <c r="G257">
        <v>0.4249999999999976</v>
      </c>
      <c r="H257">
        <v>1.6999999999999904E-2</v>
      </c>
      <c r="I257">
        <v>-0.37500000000000311</v>
      </c>
      <c r="J257">
        <v>0.24999999999999467</v>
      </c>
      <c r="K257">
        <v>-0.37500000000000311</v>
      </c>
    </row>
    <row r="258" spans="1:11" x14ac:dyDescent="0.25">
      <c r="A258" s="374">
        <v>46230</v>
      </c>
      <c r="B258" t="s">
        <v>10</v>
      </c>
      <c r="C258" t="s">
        <v>183</v>
      </c>
      <c r="D258" t="s">
        <v>184</v>
      </c>
      <c r="E258">
        <v>1.06</v>
      </c>
      <c r="F258">
        <v>7.8750000000000098</v>
      </c>
      <c r="G258">
        <v>8.3000000000000078</v>
      </c>
      <c r="H258">
        <v>0.33200000000000029</v>
      </c>
      <c r="I258">
        <v>-1.6249999999999876</v>
      </c>
      <c r="J258">
        <v>2.5000000000000133</v>
      </c>
      <c r="K258">
        <v>1.9000000000000128</v>
      </c>
    </row>
    <row r="259" spans="1:11" x14ac:dyDescent="0.25">
      <c r="A259" s="374">
        <v>46230</v>
      </c>
      <c r="B259" t="s">
        <v>12</v>
      </c>
      <c r="C259" t="s">
        <v>185</v>
      </c>
      <c r="D259" t="s">
        <v>180</v>
      </c>
      <c r="E259">
        <v>1.1825000000000001</v>
      </c>
      <c r="F259">
        <v>12.250000000000005</v>
      </c>
      <c r="G259">
        <v>20.550000000000011</v>
      </c>
      <c r="H259">
        <v>0.82200000000000051</v>
      </c>
      <c r="I259">
        <v>-1.4999999999999902</v>
      </c>
      <c r="J259">
        <v>3.6250000000000115</v>
      </c>
      <c r="K259">
        <v>4.850000000000021</v>
      </c>
    </row>
    <row r="260" spans="1:11" x14ac:dyDescent="0.25">
      <c r="A260" s="374">
        <v>46230</v>
      </c>
      <c r="B260" t="s">
        <v>13</v>
      </c>
      <c r="C260" t="s">
        <v>187</v>
      </c>
      <c r="D260">
        <v>46409</v>
      </c>
      <c r="E260">
        <v>1.25125</v>
      </c>
      <c r="F260">
        <v>6.8749999999999867</v>
      </c>
      <c r="G260">
        <v>27.425000000000001</v>
      </c>
      <c r="H260">
        <v>1.097</v>
      </c>
      <c r="I260">
        <v>-1.5000000000000124</v>
      </c>
      <c r="J260">
        <v>3.8750000000000062</v>
      </c>
      <c r="K260" t="s">
        <v>41</v>
      </c>
    </row>
    <row r="261" spans="1:11" x14ac:dyDescent="0.25">
      <c r="A261" s="374">
        <v>46230</v>
      </c>
      <c r="B261" t="s">
        <v>28</v>
      </c>
      <c r="C261">
        <v>46412</v>
      </c>
      <c r="D261">
        <v>46465</v>
      </c>
      <c r="E261">
        <v>1.3362499999999999</v>
      </c>
      <c r="F261">
        <v>8.4999999999999964</v>
      </c>
      <c r="G261">
        <v>35.924999999999997</v>
      </c>
      <c r="H261">
        <v>1.4369999999999998</v>
      </c>
      <c r="I261">
        <v>-2.0000000000000018</v>
      </c>
      <c r="J261">
        <v>6.4999999999999947</v>
      </c>
      <c r="K261" t="s">
        <v>41</v>
      </c>
    </row>
    <row r="262" spans="1:11" x14ac:dyDescent="0.25">
      <c r="A262" s="374">
        <v>46230</v>
      </c>
      <c r="I262">
        <v>0</v>
      </c>
      <c r="J262">
        <v>0</v>
      </c>
      <c r="K262" t="s">
        <v>41</v>
      </c>
    </row>
    <row r="263" spans="1:11" x14ac:dyDescent="0.25">
      <c r="A263" s="374">
        <v>46230</v>
      </c>
      <c r="I263">
        <v>0</v>
      </c>
      <c r="J263">
        <v>0</v>
      </c>
      <c r="K263" t="s">
        <v>41</v>
      </c>
    </row>
    <row r="264" spans="1:11" x14ac:dyDescent="0.25">
      <c r="A264" s="374">
        <v>46230</v>
      </c>
      <c r="I264">
        <v>0</v>
      </c>
      <c r="J264">
        <v>0</v>
      </c>
      <c r="K264" t="s">
        <v>41</v>
      </c>
    </row>
    <row r="265" spans="1:11" x14ac:dyDescent="0.25">
      <c r="A265" s="374">
        <v>46230</v>
      </c>
      <c r="I265">
        <v>0</v>
      </c>
      <c r="J265">
        <v>0</v>
      </c>
      <c r="K265" t="s">
        <v>41</v>
      </c>
    </row>
    <row r="266" spans="1:11" x14ac:dyDescent="0.25">
      <c r="A266" s="374">
        <v>46230</v>
      </c>
      <c r="I266">
        <v>0</v>
      </c>
      <c r="J266">
        <v>0</v>
      </c>
      <c r="K266" t="s">
        <v>41</v>
      </c>
    </row>
    <row r="267" spans="1:11" x14ac:dyDescent="0.25">
      <c r="A267" s="374">
        <v>46230</v>
      </c>
      <c r="I267">
        <v>0</v>
      </c>
      <c r="J267">
        <v>0</v>
      </c>
      <c r="K267" t="s">
        <v>41</v>
      </c>
    </row>
    <row r="268" spans="1:11" x14ac:dyDescent="0.25">
      <c r="A268" s="374">
        <v>46230</v>
      </c>
      <c r="I268">
        <v>0</v>
      </c>
      <c r="J268">
        <v>0</v>
      </c>
      <c r="K268" t="s">
        <v>41</v>
      </c>
    </row>
    <row r="269" spans="1:11" x14ac:dyDescent="0.25">
      <c r="A269" s="374">
        <v>46231</v>
      </c>
      <c r="B269" t="s">
        <v>9</v>
      </c>
      <c r="C269" t="s">
        <v>181</v>
      </c>
      <c r="D269" t="s">
        <v>182</v>
      </c>
      <c r="E269">
        <v>0.98</v>
      </c>
      <c r="F269">
        <v>0.20000000000000018</v>
      </c>
      <c r="G269">
        <v>0.20000000000000018</v>
      </c>
      <c r="H269">
        <v>8.0000000000000071E-3</v>
      </c>
      <c r="I269">
        <v>-0.12499999999999734</v>
      </c>
      <c r="J269">
        <v>0.12499999999999734</v>
      </c>
      <c r="K269">
        <v>-0.10000000000000009</v>
      </c>
    </row>
    <row r="270" spans="1:11" x14ac:dyDescent="0.25">
      <c r="A270" s="374">
        <v>46231</v>
      </c>
      <c r="B270" t="s">
        <v>10</v>
      </c>
      <c r="C270" t="s">
        <v>183</v>
      </c>
      <c r="D270" t="s">
        <v>184</v>
      </c>
      <c r="E270">
        <v>1.05</v>
      </c>
      <c r="F270">
        <v>7.0000000000000062</v>
      </c>
      <c r="G270">
        <v>7.2000000000000064</v>
      </c>
      <c r="H270">
        <v>0.28800000000000026</v>
      </c>
      <c r="I270">
        <v>-1.0000000000000009</v>
      </c>
      <c r="J270">
        <v>1.3750000000000151</v>
      </c>
      <c r="K270">
        <v>2.0000000000000018</v>
      </c>
    </row>
    <row r="271" spans="1:11" x14ac:dyDescent="0.25">
      <c r="A271" s="374">
        <v>46231</v>
      </c>
      <c r="B271" t="s">
        <v>12</v>
      </c>
      <c r="C271" t="s">
        <v>185</v>
      </c>
      <c r="D271" t="s">
        <v>180</v>
      </c>
      <c r="E271">
        <v>1.17625</v>
      </c>
      <c r="F271">
        <v>12.624999999999996</v>
      </c>
      <c r="G271">
        <v>19.825000000000003</v>
      </c>
      <c r="H271">
        <v>0.79300000000000015</v>
      </c>
      <c r="I271">
        <v>-0.62500000000000888</v>
      </c>
      <c r="J271">
        <v>2.6250000000000107</v>
      </c>
      <c r="K271">
        <v>5.2249999999999908</v>
      </c>
    </row>
    <row r="272" spans="1:11" x14ac:dyDescent="0.25">
      <c r="A272" s="374">
        <v>46231</v>
      </c>
      <c r="B272" t="s">
        <v>13</v>
      </c>
      <c r="C272" t="s">
        <v>187</v>
      </c>
      <c r="D272">
        <v>46409</v>
      </c>
      <c r="E272">
        <v>1.2450000000000001</v>
      </c>
      <c r="F272">
        <v>6.8750000000000089</v>
      </c>
      <c r="G272">
        <v>26.700000000000014</v>
      </c>
      <c r="H272">
        <v>1.0680000000000005</v>
      </c>
      <c r="I272">
        <v>-0.62499999999998668</v>
      </c>
      <c r="J272">
        <v>2.750000000000008</v>
      </c>
      <c r="K272">
        <v>4.5000000000000151</v>
      </c>
    </row>
    <row r="273" spans="1:11" x14ac:dyDescent="0.25">
      <c r="A273" s="374">
        <v>46231</v>
      </c>
      <c r="B273" t="s">
        <v>28</v>
      </c>
      <c r="C273">
        <v>46412</v>
      </c>
      <c r="D273">
        <v>46465</v>
      </c>
      <c r="E273">
        <v>1.31375</v>
      </c>
      <c r="F273">
        <v>6.8749999999999867</v>
      </c>
      <c r="G273">
        <v>33.575000000000003</v>
      </c>
      <c r="H273">
        <v>1.3430000000000002</v>
      </c>
      <c r="I273">
        <v>-2.2499999999999964</v>
      </c>
      <c r="J273">
        <v>3.3749999999999947</v>
      </c>
      <c r="K273" t="s">
        <v>41</v>
      </c>
    </row>
    <row r="274" spans="1:11" x14ac:dyDescent="0.25">
      <c r="A274" s="374">
        <v>46231</v>
      </c>
      <c r="I274">
        <v>0</v>
      </c>
      <c r="J274">
        <v>0</v>
      </c>
      <c r="K274" t="s">
        <v>41</v>
      </c>
    </row>
    <row r="275" spans="1:11" x14ac:dyDescent="0.25">
      <c r="A275" s="374">
        <v>46231</v>
      </c>
      <c r="I275">
        <v>0</v>
      </c>
      <c r="J275">
        <v>0</v>
      </c>
      <c r="K275" t="s">
        <v>41</v>
      </c>
    </row>
    <row r="276" spans="1:11" x14ac:dyDescent="0.25">
      <c r="A276" s="374">
        <v>46231</v>
      </c>
      <c r="I276">
        <v>0</v>
      </c>
      <c r="J276">
        <v>0</v>
      </c>
      <c r="K276" t="s">
        <v>41</v>
      </c>
    </row>
    <row r="277" spans="1:11" x14ac:dyDescent="0.25">
      <c r="A277" s="374">
        <v>46231</v>
      </c>
      <c r="I277">
        <v>0</v>
      </c>
      <c r="J277">
        <v>0</v>
      </c>
      <c r="K277" t="s">
        <v>41</v>
      </c>
    </row>
    <row r="278" spans="1:11" x14ac:dyDescent="0.25">
      <c r="A278" s="374">
        <v>46231</v>
      </c>
      <c r="I278">
        <v>0</v>
      </c>
      <c r="J278">
        <v>0</v>
      </c>
      <c r="K278" t="s">
        <v>41</v>
      </c>
    </row>
    <row r="279" spans="1:11" x14ac:dyDescent="0.25">
      <c r="A279" s="374">
        <v>46231</v>
      </c>
      <c r="I279">
        <v>0</v>
      </c>
      <c r="J279">
        <v>0</v>
      </c>
      <c r="K279" t="s">
        <v>41</v>
      </c>
    </row>
    <row r="280" spans="1:11" x14ac:dyDescent="0.25">
      <c r="A280" s="374">
        <v>46231</v>
      </c>
      <c r="I280">
        <v>0</v>
      </c>
      <c r="J280">
        <v>0</v>
      </c>
      <c r="K280" t="s">
        <v>41</v>
      </c>
    </row>
    <row r="281" spans="1:11" x14ac:dyDescent="0.25">
      <c r="A281" s="374">
        <v>46232</v>
      </c>
      <c r="B281" t="s">
        <v>9</v>
      </c>
      <c r="C281" t="s">
        <v>181</v>
      </c>
      <c r="D281" t="s">
        <v>182</v>
      </c>
      <c r="E281">
        <v>0.98</v>
      </c>
      <c r="F281">
        <v>0</v>
      </c>
      <c r="G281">
        <v>0</v>
      </c>
      <c r="H281">
        <v>0</v>
      </c>
      <c r="I281">
        <v>0</v>
      </c>
      <c r="J281">
        <v>-0.12499999999999734</v>
      </c>
      <c r="K281">
        <v>-0.12499999999999734</v>
      </c>
    </row>
    <row r="282" spans="1:11" x14ac:dyDescent="0.25">
      <c r="A282" s="374">
        <v>46232</v>
      </c>
      <c r="B282" t="s">
        <v>10</v>
      </c>
      <c r="C282" t="s">
        <v>183</v>
      </c>
      <c r="D282" t="s">
        <v>184</v>
      </c>
      <c r="E282">
        <v>1.0462499999999999</v>
      </c>
      <c r="F282">
        <v>6.624999999999992</v>
      </c>
      <c r="G282">
        <v>6.624999999999992</v>
      </c>
      <c r="H282">
        <v>0.26499999999999968</v>
      </c>
      <c r="I282">
        <v>-0.37500000000001421</v>
      </c>
      <c r="J282">
        <v>-2.1249999999999991</v>
      </c>
      <c r="K282">
        <v>1.6249999999999876</v>
      </c>
    </row>
    <row r="283" spans="1:11" x14ac:dyDescent="0.25">
      <c r="A283" s="374">
        <v>46232</v>
      </c>
      <c r="B283" t="s">
        <v>12</v>
      </c>
      <c r="C283" t="s">
        <v>185</v>
      </c>
      <c r="D283" t="s">
        <v>180</v>
      </c>
      <c r="E283">
        <v>1.1712499999999999</v>
      </c>
      <c r="F283">
        <v>12.5</v>
      </c>
      <c r="G283">
        <v>19.124999999999993</v>
      </c>
      <c r="H283">
        <v>0.76499999999999968</v>
      </c>
      <c r="I283">
        <v>-0.50000000000001155</v>
      </c>
      <c r="J283">
        <v>-1.6250000000000098</v>
      </c>
      <c r="K283">
        <v>5.1249999999999796</v>
      </c>
    </row>
    <row r="284" spans="1:11" x14ac:dyDescent="0.25">
      <c r="A284" s="374">
        <v>46232</v>
      </c>
      <c r="B284" t="s">
        <v>13</v>
      </c>
      <c r="C284" t="s">
        <v>187</v>
      </c>
      <c r="D284">
        <v>46409</v>
      </c>
      <c r="E284">
        <v>1.23875</v>
      </c>
      <c r="F284">
        <v>6.7500000000000115</v>
      </c>
      <c r="G284">
        <v>25.875000000000004</v>
      </c>
      <c r="H284">
        <v>1.0350000000000001</v>
      </c>
      <c r="I284">
        <v>-0.62500000000000888</v>
      </c>
      <c r="J284">
        <v>-2.1249999999999991</v>
      </c>
      <c r="K284">
        <v>4.1250000000000009</v>
      </c>
    </row>
    <row r="285" spans="1:11" x14ac:dyDescent="0.25">
      <c r="A285" s="374">
        <v>46232</v>
      </c>
      <c r="B285" t="s">
        <v>28</v>
      </c>
      <c r="C285">
        <v>46412</v>
      </c>
      <c r="D285">
        <v>46465</v>
      </c>
      <c r="E285">
        <v>1.3049999999999999</v>
      </c>
      <c r="F285">
        <v>6.624999999999992</v>
      </c>
      <c r="G285">
        <v>32.499999999999993</v>
      </c>
      <c r="H285">
        <v>1.2999999999999998</v>
      </c>
      <c r="I285">
        <v>-0.87500000000000355</v>
      </c>
      <c r="J285">
        <v>-3.2499999999999973</v>
      </c>
      <c r="K285">
        <v>4.2499999999999982</v>
      </c>
    </row>
    <row r="286" spans="1:11" x14ac:dyDescent="0.25">
      <c r="A286" s="374">
        <v>46232</v>
      </c>
      <c r="I286">
        <v>0</v>
      </c>
      <c r="J286">
        <v>0</v>
      </c>
      <c r="K286">
        <v>0</v>
      </c>
    </row>
    <row r="287" spans="1:11" x14ac:dyDescent="0.25">
      <c r="A287" s="374">
        <v>46232</v>
      </c>
      <c r="I287">
        <v>0</v>
      </c>
      <c r="J287">
        <v>0</v>
      </c>
      <c r="K287">
        <v>0</v>
      </c>
    </row>
    <row r="288" spans="1:11" x14ac:dyDescent="0.25">
      <c r="A288" s="374">
        <v>46232</v>
      </c>
      <c r="I288">
        <v>0</v>
      </c>
      <c r="J288">
        <v>0</v>
      </c>
      <c r="K288">
        <v>0</v>
      </c>
    </row>
    <row r="289" spans="1:11" x14ac:dyDescent="0.25">
      <c r="A289" s="374">
        <v>46232</v>
      </c>
      <c r="I289">
        <v>0</v>
      </c>
      <c r="J289">
        <v>0</v>
      </c>
      <c r="K289">
        <v>0</v>
      </c>
    </row>
    <row r="290" spans="1:11" x14ac:dyDescent="0.25">
      <c r="A290" s="374">
        <v>46232</v>
      </c>
      <c r="I290">
        <v>0</v>
      </c>
      <c r="J290">
        <v>0</v>
      </c>
      <c r="K290">
        <v>0</v>
      </c>
    </row>
    <row r="291" spans="1:11" x14ac:dyDescent="0.25">
      <c r="A291" s="374">
        <v>46232</v>
      </c>
      <c r="I291">
        <v>0</v>
      </c>
      <c r="J291">
        <v>0</v>
      </c>
      <c r="K291">
        <v>0</v>
      </c>
    </row>
    <row r="292" spans="1:11" x14ac:dyDescent="0.25">
      <c r="A292" s="374">
        <v>46232</v>
      </c>
      <c r="I292">
        <v>0</v>
      </c>
      <c r="J292">
        <v>0</v>
      </c>
      <c r="K292">
        <v>0</v>
      </c>
    </row>
    <row r="293" spans="1:11" x14ac:dyDescent="0.25">
      <c r="A293" s="374">
        <v>46233</v>
      </c>
      <c r="B293" t="s">
        <v>9</v>
      </c>
      <c r="C293" t="s">
        <v>181</v>
      </c>
      <c r="D293" t="s">
        <v>182</v>
      </c>
      <c r="E293">
        <v>0.98</v>
      </c>
      <c r="F293">
        <v>0.30000000000000027</v>
      </c>
      <c r="G293">
        <v>0.30000000000000027</v>
      </c>
      <c r="H293">
        <v>1.2000000000000011E-2</v>
      </c>
      <c r="I293">
        <v>0</v>
      </c>
      <c r="J293">
        <v>-0.12499999999999734</v>
      </c>
      <c r="K293">
        <v>-0.37500000000000311</v>
      </c>
    </row>
    <row r="294" spans="1:11" x14ac:dyDescent="0.25">
      <c r="A294" s="374">
        <v>46233</v>
      </c>
      <c r="B294" t="s">
        <v>10</v>
      </c>
      <c r="C294" t="s">
        <v>183</v>
      </c>
      <c r="D294" t="s">
        <v>184</v>
      </c>
      <c r="E294">
        <v>1.04</v>
      </c>
      <c r="F294">
        <v>6.0000000000000053</v>
      </c>
      <c r="G294">
        <v>6.300000000000006</v>
      </c>
      <c r="H294">
        <v>0.25200000000000022</v>
      </c>
      <c r="I294">
        <v>-0.62499999999998668</v>
      </c>
      <c r="J294">
        <v>-2.2499999999999964</v>
      </c>
      <c r="K294">
        <v>0.75000000000000622</v>
      </c>
    </row>
    <row r="295" spans="1:11" x14ac:dyDescent="0.25">
      <c r="A295" s="374">
        <v>46233</v>
      </c>
      <c r="B295" t="s">
        <v>12</v>
      </c>
      <c r="C295" t="s">
        <v>185</v>
      </c>
      <c r="D295" t="s">
        <v>180</v>
      </c>
      <c r="E295">
        <v>1.175</v>
      </c>
      <c r="F295">
        <v>13.5</v>
      </c>
      <c r="G295">
        <v>19.800000000000008</v>
      </c>
      <c r="H295">
        <v>0.79200000000000026</v>
      </c>
      <c r="I295">
        <v>0.37500000000001421</v>
      </c>
      <c r="J295">
        <v>-1.1249999999999982</v>
      </c>
      <c r="K295">
        <v>5.0000000000000044</v>
      </c>
    </row>
    <row r="296" spans="1:11" x14ac:dyDescent="0.25">
      <c r="A296" s="374">
        <v>46233</v>
      </c>
      <c r="B296" t="s">
        <v>13</v>
      </c>
      <c r="C296" t="s">
        <v>187</v>
      </c>
      <c r="D296">
        <v>46409</v>
      </c>
      <c r="E296">
        <v>1.2437499999999999</v>
      </c>
      <c r="F296">
        <v>6.8749999999999867</v>
      </c>
      <c r="G296">
        <v>26.674999999999994</v>
      </c>
      <c r="H296">
        <v>1.0669999999999997</v>
      </c>
      <c r="I296">
        <v>0.49999999999998934</v>
      </c>
      <c r="J296">
        <v>-0.87500000000000355</v>
      </c>
      <c r="K296">
        <v>4.2499999999999982</v>
      </c>
    </row>
    <row r="297" spans="1:11" x14ac:dyDescent="0.25">
      <c r="A297" s="374">
        <v>46233</v>
      </c>
      <c r="B297" t="s">
        <v>28</v>
      </c>
      <c r="C297">
        <v>46412</v>
      </c>
      <c r="D297">
        <v>46465</v>
      </c>
      <c r="E297">
        <v>1.31125</v>
      </c>
      <c r="F297">
        <v>6.7500000000000115</v>
      </c>
      <c r="G297">
        <v>33.425000000000004</v>
      </c>
      <c r="H297">
        <v>1.3370000000000002</v>
      </c>
      <c r="I297">
        <v>0.62500000000000888</v>
      </c>
      <c r="J297">
        <v>-1.3749999999999929</v>
      </c>
      <c r="K297">
        <v>4.4999999999999929</v>
      </c>
    </row>
    <row r="298" spans="1:11" x14ac:dyDescent="0.25">
      <c r="A298" s="374">
        <v>46233</v>
      </c>
      <c r="I298">
        <v>0</v>
      </c>
      <c r="J298">
        <v>0</v>
      </c>
      <c r="K298">
        <v>0</v>
      </c>
    </row>
    <row r="299" spans="1:11" x14ac:dyDescent="0.25">
      <c r="A299" s="374">
        <v>46233</v>
      </c>
      <c r="I299">
        <v>0</v>
      </c>
      <c r="J299">
        <v>0</v>
      </c>
      <c r="K299">
        <v>0</v>
      </c>
    </row>
    <row r="300" spans="1:11" x14ac:dyDescent="0.25">
      <c r="A300" s="374">
        <v>46233</v>
      </c>
      <c r="I300">
        <v>0</v>
      </c>
      <c r="J300">
        <v>0</v>
      </c>
      <c r="K300">
        <v>0</v>
      </c>
    </row>
    <row r="301" spans="1:11" x14ac:dyDescent="0.25">
      <c r="A301" s="374">
        <v>46233</v>
      </c>
      <c r="I301">
        <v>0</v>
      </c>
      <c r="J301">
        <v>0</v>
      </c>
      <c r="K301">
        <v>0</v>
      </c>
    </row>
    <row r="302" spans="1:11" x14ac:dyDescent="0.25">
      <c r="A302" s="374">
        <v>46233</v>
      </c>
      <c r="I302">
        <v>0</v>
      </c>
      <c r="J302">
        <v>0</v>
      </c>
      <c r="K302">
        <v>0</v>
      </c>
    </row>
    <row r="303" spans="1:11" x14ac:dyDescent="0.25">
      <c r="A303" s="374">
        <v>46233</v>
      </c>
      <c r="I303">
        <v>0</v>
      </c>
      <c r="J303">
        <v>0</v>
      </c>
      <c r="K303">
        <v>0</v>
      </c>
    </row>
    <row r="304" spans="1:11" x14ac:dyDescent="0.25">
      <c r="A304" s="374">
        <v>46233</v>
      </c>
      <c r="I304">
        <v>0</v>
      </c>
      <c r="J304">
        <v>0</v>
      </c>
      <c r="K304">
        <v>0</v>
      </c>
    </row>
    <row r="305" spans="1:11" x14ac:dyDescent="0.25">
      <c r="A305" s="374">
        <v>46234</v>
      </c>
      <c r="B305" t="s">
        <v>10</v>
      </c>
      <c r="C305" t="s">
        <v>183</v>
      </c>
      <c r="D305" t="s">
        <v>184</v>
      </c>
      <c r="E305">
        <v>0.98</v>
      </c>
      <c r="F305">
        <v>0.10000000000000009</v>
      </c>
      <c r="G305">
        <v>0.10000000000000009</v>
      </c>
      <c r="H305">
        <v>4.0000000000000036E-3</v>
      </c>
      <c r="I305">
        <v>-6.0000000000000053</v>
      </c>
      <c r="J305">
        <v>-9.6249999999999947</v>
      </c>
      <c r="K305">
        <v>-5.2499999999999991</v>
      </c>
    </row>
    <row r="306" spans="1:11" x14ac:dyDescent="0.25">
      <c r="A306" s="374">
        <v>46234</v>
      </c>
      <c r="B306" t="s">
        <v>12</v>
      </c>
      <c r="C306" t="s">
        <v>185</v>
      </c>
      <c r="D306" t="s">
        <v>180</v>
      </c>
      <c r="E306">
        <v>1.08125</v>
      </c>
      <c r="F306">
        <v>10.125000000000007</v>
      </c>
      <c r="G306">
        <v>10.225000000000007</v>
      </c>
      <c r="H306">
        <v>0.40900000000000025</v>
      </c>
      <c r="I306">
        <v>-9.375</v>
      </c>
      <c r="J306">
        <v>-11.624999999999996</v>
      </c>
      <c r="K306">
        <v>-4.3749999999999956</v>
      </c>
    </row>
    <row r="307" spans="1:11" x14ac:dyDescent="0.25">
      <c r="A307" s="374">
        <v>46234</v>
      </c>
      <c r="B307" t="s">
        <v>13</v>
      </c>
      <c r="C307" t="s">
        <v>187</v>
      </c>
      <c r="D307" t="s">
        <v>194</v>
      </c>
      <c r="E307">
        <v>1.2012499999999999</v>
      </c>
      <c r="F307">
        <v>11.999999999999989</v>
      </c>
      <c r="G307">
        <v>22.224999999999994</v>
      </c>
      <c r="H307">
        <v>0.88899999999999979</v>
      </c>
      <c r="I307">
        <v>-4.2499999999999982</v>
      </c>
      <c r="J307">
        <v>-6.5000000000000169</v>
      </c>
      <c r="K307">
        <v>0</v>
      </c>
    </row>
    <row r="308" spans="1:11" x14ac:dyDescent="0.25">
      <c r="A308" s="374">
        <v>46234</v>
      </c>
      <c r="B308" t="s">
        <v>28</v>
      </c>
      <c r="C308" t="s">
        <v>202</v>
      </c>
      <c r="D308">
        <v>46409</v>
      </c>
      <c r="E308">
        <v>1.27125</v>
      </c>
      <c r="F308">
        <v>7.0000000000000062</v>
      </c>
      <c r="G308">
        <v>29.225000000000001</v>
      </c>
      <c r="H308">
        <v>1.169</v>
      </c>
      <c r="I308" t="s">
        <v>41</v>
      </c>
      <c r="J308" t="s">
        <v>41</v>
      </c>
      <c r="K308" t="s">
        <v>41</v>
      </c>
    </row>
    <row r="309" spans="1:11" x14ac:dyDescent="0.25">
      <c r="A309" s="374">
        <v>46234</v>
      </c>
      <c r="B309" t="s">
        <v>28</v>
      </c>
      <c r="C309">
        <v>46412</v>
      </c>
      <c r="D309">
        <v>46465</v>
      </c>
      <c r="E309">
        <v>1.3412500000000001</v>
      </c>
      <c r="F309">
        <v>7.0000000000000062</v>
      </c>
      <c r="G309">
        <v>36.225000000000009</v>
      </c>
      <c r="H309">
        <v>1.4490000000000003</v>
      </c>
      <c r="I309">
        <v>3.0000000000000027</v>
      </c>
      <c r="J309">
        <v>-1.4999999999999902</v>
      </c>
      <c r="K309">
        <v>7.4999999999999956</v>
      </c>
    </row>
    <row r="310" spans="1:11" x14ac:dyDescent="0.25">
      <c r="A310" s="374">
        <v>46234</v>
      </c>
      <c r="I310">
        <v>0</v>
      </c>
      <c r="J310">
        <v>0</v>
      </c>
      <c r="K310">
        <v>0</v>
      </c>
    </row>
    <row r="311" spans="1:11" x14ac:dyDescent="0.25">
      <c r="A311" s="374">
        <v>46234</v>
      </c>
      <c r="I311">
        <v>0</v>
      </c>
      <c r="J311">
        <v>0</v>
      </c>
      <c r="K311">
        <v>0</v>
      </c>
    </row>
    <row r="312" spans="1:11" x14ac:dyDescent="0.25">
      <c r="A312" s="374">
        <v>46234</v>
      </c>
      <c r="I312">
        <v>0</v>
      </c>
      <c r="J312">
        <v>0</v>
      </c>
      <c r="K312">
        <v>0</v>
      </c>
    </row>
    <row r="313" spans="1:11" x14ac:dyDescent="0.25">
      <c r="A313" s="374">
        <v>46234</v>
      </c>
      <c r="I313">
        <v>0</v>
      </c>
      <c r="J313">
        <v>0</v>
      </c>
      <c r="K313">
        <v>0</v>
      </c>
    </row>
    <row r="314" spans="1:11" x14ac:dyDescent="0.25">
      <c r="A314" s="374">
        <v>46234</v>
      </c>
      <c r="I314">
        <v>0</v>
      </c>
      <c r="J314">
        <v>0</v>
      </c>
      <c r="K314">
        <v>0</v>
      </c>
    </row>
    <row r="315" spans="1:11" x14ac:dyDescent="0.25">
      <c r="A315" s="374">
        <v>46234</v>
      </c>
      <c r="I315">
        <v>0</v>
      </c>
      <c r="J315">
        <v>0</v>
      </c>
      <c r="K315">
        <v>0</v>
      </c>
    </row>
    <row r="316" spans="1:11" x14ac:dyDescent="0.25">
      <c r="A316" s="374">
        <v>46234</v>
      </c>
      <c r="I316">
        <v>0</v>
      </c>
      <c r="J316">
        <v>0</v>
      </c>
      <c r="K316">
        <v>0</v>
      </c>
    </row>
    <row r="317" spans="1:11" x14ac:dyDescent="0.25">
      <c r="A317" s="374">
        <v>46237</v>
      </c>
      <c r="B317" t="s">
        <v>10</v>
      </c>
      <c r="C317" t="s">
        <v>183</v>
      </c>
      <c r="D317" t="s">
        <v>184</v>
      </c>
      <c r="E317">
        <v>1.10625</v>
      </c>
      <c r="F317">
        <v>12.924999999999997</v>
      </c>
      <c r="G317">
        <v>12.924999999999997</v>
      </c>
      <c r="H317">
        <v>0.5169999999999999</v>
      </c>
      <c r="I317">
        <v>12.624999999999996</v>
      </c>
      <c r="J317">
        <v>4.6249999999999902</v>
      </c>
      <c r="K317">
        <v>7.1250000000000036</v>
      </c>
    </row>
    <row r="318" spans="1:11" x14ac:dyDescent="0.25">
      <c r="A318" s="374">
        <v>46237</v>
      </c>
      <c r="B318" t="s">
        <v>12</v>
      </c>
      <c r="C318" t="s">
        <v>185</v>
      </c>
      <c r="D318" t="s">
        <v>180</v>
      </c>
      <c r="E318">
        <v>1.2137500000000001</v>
      </c>
      <c r="F318">
        <v>10.750000000000014</v>
      </c>
      <c r="G318">
        <v>23.675000000000011</v>
      </c>
      <c r="H318">
        <v>0.94700000000000051</v>
      </c>
      <c r="I318">
        <v>13.250000000000007</v>
      </c>
      <c r="J318">
        <v>3.125</v>
      </c>
      <c r="K318">
        <v>8.2500000000000018</v>
      </c>
    </row>
    <row r="319" spans="1:11" x14ac:dyDescent="0.25">
      <c r="A319" s="374">
        <v>46237</v>
      </c>
      <c r="B319" t="s">
        <v>13</v>
      </c>
      <c r="C319" t="s">
        <v>187</v>
      </c>
      <c r="D319" t="s">
        <v>194</v>
      </c>
      <c r="E319">
        <v>1.2962499999999999</v>
      </c>
      <c r="F319">
        <v>8.2499999999999787</v>
      </c>
      <c r="G319">
        <v>31.924999999999994</v>
      </c>
      <c r="H319">
        <v>1.2769999999999997</v>
      </c>
      <c r="I319">
        <v>9.4999999999999964</v>
      </c>
      <c r="J319">
        <v>4.4999999999999929</v>
      </c>
      <c r="K319">
        <v>8.8749999999999893</v>
      </c>
    </row>
    <row r="320" spans="1:11" x14ac:dyDescent="0.25">
      <c r="A320" s="374">
        <v>46237</v>
      </c>
      <c r="B320" t="s">
        <v>28</v>
      </c>
      <c r="C320" t="s">
        <v>202</v>
      </c>
      <c r="D320">
        <v>46409</v>
      </c>
      <c r="E320">
        <v>1.375</v>
      </c>
      <c r="F320">
        <v>7.8750000000000098</v>
      </c>
      <c r="G320">
        <v>39.800000000000004</v>
      </c>
      <c r="H320">
        <v>1.5920000000000001</v>
      </c>
      <c r="I320">
        <v>10.375</v>
      </c>
      <c r="J320" t="s">
        <v>41</v>
      </c>
      <c r="K320" t="s">
        <v>41</v>
      </c>
    </row>
    <row r="321" spans="1:11" x14ac:dyDescent="0.25">
      <c r="A321" s="374">
        <v>46237</v>
      </c>
      <c r="B321" t="s">
        <v>28</v>
      </c>
      <c r="C321">
        <v>46412</v>
      </c>
      <c r="D321">
        <v>46465</v>
      </c>
      <c r="E321">
        <v>1.4762500000000001</v>
      </c>
      <c r="F321">
        <v>10.125000000000007</v>
      </c>
      <c r="G321">
        <v>49.925000000000011</v>
      </c>
      <c r="H321">
        <v>1.9970000000000006</v>
      </c>
      <c r="I321">
        <v>13.5</v>
      </c>
      <c r="J321">
        <v>14.000000000000012</v>
      </c>
      <c r="K321">
        <v>20.500000000000007</v>
      </c>
    </row>
    <row r="322" spans="1:11" x14ac:dyDescent="0.25">
      <c r="A322" s="374">
        <v>46237</v>
      </c>
      <c r="I322">
        <v>0</v>
      </c>
      <c r="J322">
        <v>0</v>
      </c>
      <c r="K322">
        <v>0</v>
      </c>
    </row>
    <row r="323" spans="1:11" x14ac:dyDescent="0.25">
      <c r="A323" s="374">
        <v>46237</v>
      </c>
      <c r="I323">
        <v>0</v>
      </c>
      <c r="J323">
        <v>0</v>
      </c>
      <c r="K323">
        <v>0</v>
      </c>
    </row>
    <row r="324" spans="1:11" x14ac:dyDescent="0.25">
      <c r="A324" s="374">
        <v>46237</v>
      </c>
      <c r="I324">
        <v>0</v>
      </c>
      <c r="J324">
        <v>0</v>
      </c>
      <c r="K324">
        <v>0</v>
      </c>
    </row>
    <row r="325" spans="1:11" x14ac:dyDescent="0.25">
      <c r="A325" s="374">
        <v>46237</v>
      </c>
      <c r="I325">
        <v>0</v>
      </c>
      <c r="J325">
        <v>0</v>
      </c>
      <c r="K325">
        <v>0</v>
      </c>
    </row>
    <row r="326" spans="1:11" x14ac:dyDescent="0.25">
      <c r="A326" s="374">
        <v>46237</v>
      </c>
      <c r="I326">
        <v>0</v>
      </c>
      <c r="J326">
        <v>0</v>
      </c>
      <c r="K326">
        <v>0</v>
      </c>
    </row>
    <row r="327" spans="1:11" x14ac:dyDescent="0.25">
      <c r="A327" s="374">
        <v>46237</v>
      </c>
      <c r="I327">
        <v>0</v>
      </c>
      <c r="J327">
        <v>0</v>
      </c>
      <c r="K327">
        <v>0</v>
      </c>
    </row>
    <row r="328" spans="1:11" x14ac:dyDescent="0.25">
      <c r="A328" s="374">
        <v>46237</v>
      </c>
      <c r="I328">
        <v>0</v>
      </c>
      <c r="J328">
        <v>0</v>
      </c>
      <c r="K328">
        <v>0</v>
      </c>
    </row>
    <row r="329" spans="1:11" x14ac:dyDescent="0.25">
      <c r="A329" s="374">
        <v>46238</v>
      </c>
      <c r="B329" t="s">
        <v>10</v>
      </c>
      <c r="C329" t="s">
        <v>183</v>
      </c>
      <c r="D329" t="s">
        <v>184</v>
      </c>
      <c r="E329">
        <v>1.1025</v>
      </c>
      <c r="F329">
        <v>12.550000000000006</v>
      </c>
      <c r="G329">
        <v>12.550000000000006</v>
      </c>
      <c r="H329">
        <v>0.50200000000000022</v>
      </c>
      <c r="I329">
        <v>-0.37499999999999201</v>
      </c>
      <c r="J329">
        <v>5.2499999999999991</v>
      </c>
      <c r="K329">
        <v>6.4999999999999947</v>
      </c>
    </row>
    <row r="330" spans="1:11" x14ac:dyDescent="0.25">
      <c r="A330" s="374">
        <v>46238</v>
      </c>
      <c r="B330" t="s">
        <v>12</v>
      </c>
      <c r="C330" t="s">
        <v>185</v>
      </c>
      <c r="D330" t="s">
        <v>180</v>
      </c>
      <c r="E330">
        <v>1.2075</v>
      </c>
      <c r="F330">
        <v>10.499999999999998</v>
      </c>
      <c r="G330">
        <v>23.050000000000004</v>
      </c>
      <c r="H330">
        <v>0.92200000000000015</v>
      </c>
      <c r="I330">
        <v>-0.62500000000000888</v>
      </c>
      <c r="J330">
        <v>3.125</v>
      </c>
      <c r="K330">
        <v>7.3749999999999982</v>
      </c>
    </row>
    <row r="331" spans="1:11" x14ac:dyDescent="0.25">
      <c r="A331" s="374">
        <v>46238</v>
      </c>
      <c r="B331" t="s">
        <v>13</v>
      </c>
      <c r="C331" t="s">
        <v>187</v>
      </c>
      <c r="D331" t="s">
        <v>194</v>
      </c>
      <c r="E331">
        <v>1.2949999999999999</v>
      </c>
      <c r="F331">
        <v>8.7499999999999911</v>
      </c>
      <c r="G331">
        <v>31.799999999999994</v>
      </c>
      <c r="H331">
        <v>1.2719999999999998</v>
      </c>
      <c r="I331">
        <v>-0.12499999999999734</v>
      </c>
      <c r="J331">
        <v>4.9999999999999822</v>
      </c>
      <c r="K331">
        <v>8.6249999999999929</v>
      </c>
    </row>
    <row r="332" spans="1:11" x14ac:dyDescent="0.25">
      <c r="A332" s="374">
        <v>46238</v>
      </c>
      <c r="B332" t="s">
        <v>28</v>
      </c>
      <c r="C332" t="s">
        <v>202</v>
      </c>
      <c r="D332" t="s">
        <v>123</v>
      </c>
      <c r="E332">
        <v>1.3725000000000001</v>
      </c>
      <c r="F332">
        <v>7.7500000000000124</v>
      </c>
      <c r="G332">
        <v>39.550000000000004</v>
      </c>
      <c r="H332">
        <v>1.5820000000000001</v>
      </c>
      <c r="I332">
        <v>-0.24999999999999467</v>
      </c>
      <c r="J332" t="s">
        <v>41</v>
      </c>
      <c r="K332" t="s">
        <v>41</v>
      </c>
    </row>
    <row r="333" spans="1:11" x14ac:dyDescent="0.25">
      <c r="A333" s="374">
        <v>46238</v>
      </c>
      <c r="B333" t="s">
        <v>28</v>
      </c>
      <c r="C333" t="s">
        <v>195</v>
      </c>
      <c r="D333" t="s">
        <v>122</v>
      </c>
      <c r="E333">
        <v>1.4624999999999999</v>
      </c>
      <c r="F333">
        <v>8.9999999999999858</v>
      </c>
      <c r="G333">
        <v>48.54999999999999</v>
      </c>
      <c r="H333">
        <v>1.9419999999999995</v>
      </c>
      <c r="I333">
        <v>-1.3750000000000151</v>
      </c>
      <c r="J333">
        <v>14.874999999999993</v>
      </c>
      <c r="K333">
        <v>18.874999999999996</v>
      </c>
    </row>
    <row r="334" spans="1:11" x14ac:dyDescent="0.25">
      <c r="A334" s="374">
        <v>46238</v>
      </c>
      <c r="C334" t="s">
        <v>208</v>
      </c>
      <c r="D334" t="s">
        <v>209</v>
      </c>
      <c r="E334">
        <v>1.52125</v>
      </c>
      <c r="I334">
        <v>0</v>
      </c>
      <c r="J334">
        <v>0</v>
      </c>
      <c r="K334" t="s">
        <v>41</v>
      </c>
    </row>
    <row r="335" spans="1:11" x14ac:dyDescent="0.25">
      <c r="A335" s="374">
        <v>46238</v>
      </c>
      <c r="C335" t="s">
        <v>210</v>
      </c>
      <c r="D335" t="s">
        <v>207</v>
      </c>
      <c r="E335">
        <v>1.5762499999999999</v>
      </c>
      <c r="I335">
        <v>0</v>
      </c>
      <c r="J335">
        <v>0</v>
      </c>
      <c r="K335" t="s">
        <v>41</v>
      </c>
    </row>
    <row r="336" spans="1:11" x14ac:dyDescent="0.25">
      <c r="A336" s="374">
        <v>46238</v>
      </c>
      <c r="C336" t="s">
        <v>211</v>
      </c>
      <c r="D336" t="s">
        <v>212</v>
      </c>
      <c r="E336">
        <v>1.6375</v>
      </c>
      <c r="I336">
        <v>0</v>
      </c>
      <c r="J336">
        <v>0</v>
      </c>
      <c r="K336" t="s">
        <v>41</v>
      </c>
    </row>
    <row r="337" spans="1:11" x14ac:dyDescent="0.25">
      <c r="A337" s="374">
        <v>46238</v>
      </c>
      <c r="I337">
        <v>0</v>
      </c>
      <c r="J337">
        <v>0</v>
      </c>
      <c r="K337" t="s">
        <v>41</v>
      </c>
    </row>
    <row r="338" spans="1:11" x14ac:dyDescent="0.25">
      <c r="A338" s="374">
        <v>46238</v>
      </c>
      <c r="I338">
        <v>0</v>
      </c>
      <c r="J338">
        <v>0</v>
      </c>
      <c r="K338" t="s">
        <v>41</v>
      </c>
    </row>
    <row r="339" spans="1:11" x14ac:dyDescent="0.25">
      <c r="A339" s="374">
        <v>46238</v>
      </c>
      <c r="I339">
        <v>0</v>
      </c>
      <c r="J339">
        <v>0</v>
      </c>
      <c r="K339" t="s">
        <v>41</v>
      </c>
    </row>
    <row r="340" spans="1:11" x14ac:dyDescent="0.25">
      <c r="A340" s="374">
        <v>46238</v>
      </c>
      <c r="I340">
        <v>0</v>
      </c>
      <c r="J340">
        <v>0</v>
      </c>
      <c r="K340" t="s">
        <v>41</v>
      </c>
    </row>
    <row r="341" spans="1:11" x14ac:dyDescent="0.25">
      <c r="A341" s="374">
        <v>46239</v>
      </c>
      <c r="B341" t="s">
        <v>10</v>
      </c>
      <c r="C341" t="s">
        <v>183</v>
      </c>
      <c r="D341" t="s">
        <v>184</v>
      </c>
      <c r="E341">
        <v>1.135</v>
      </c>
      <c r="F341">
        <v>15.700000000000003</v>
      </c>
      <c r="G341">
        <v>15.700000000000003</v>
      </c>
      <c r="H341">
        <v>0.62800000000000011</v>
      </c>
      <c r="I341">
        <v>3.2499999999999973</v>
      </c>
      <c r="J341">
        <v>8.8750000000000107</v>
      </c>
      <c r="K341">
        <v>10.000000000000009</v>
      </c>
    </row>
    <row r="342" spans="1:11" x14ac:dyDescent="0.25">
      <c r="A342" s="374">
        <v>46239</v>
      </c>
      <c r="B342" t="s">
        <v>12</v>
      </c>
      <c r="C342" t="s">
        <v>185</v>
      </c>
      <c r="D342" t="s">
        <v>180</v>
      </c>
      <c r="E342">
        <v>1.2224999999999999</v>
      </c>
      <c r="F342">
        <v>8.7499999999999911</v>
      </c>
      <c r="G342">
        <v>24.449999999999996</v>
      </c>
      <c r="H342">
        <v>0.97799999999999987</v>
      </c>
      <c r="I342">
        <v>1.4999999999999902</v>
      </c>
      <c r="J342">
        <v>5.1250000000000018</v>
      </c>
      <c r="K342">
        <v>9.1249999999999822</v>
      </c>
    </row>
    <row r="343" spans="1:11" x14ac:dyDescent="0.25">
      <c r="A343" s="374">
        <v>46239</v>
      </c>
      <c r="B343" t="s">
        <v>13</v>
      </c>
      <c r="C343" t="s">
        <v>187</v>
      </c>
      <c r="D343" t="s">
        <v>194</v>
      </c>
      <c r="E343">
        <v>1.3174999999999999</v>
      </c>
      <c r="F343">
        <v>9.4999999999999964</v>
      </c>
      <c r="G343">
        <v>33.949999999999989</v>
      </c>
      <c r="H343">
        <v>1.3579999999999997</v>
      </c>
      <c r="I343">
        <v>2.2499999999999964</v>
      </c>
      <c r="J343">
        <v>7.8749999999999876</v>
      </c>
      <c r="K343">
        <v>10.999999999999988</v>
      </c>
    </row>
    <row r="344" spans="1:11" x14ac:dyDescent="0.25">
      <c r="A344" s="374">
        <v>46239</v>
      </c>
      <c r="B344" t="s">
        <v>28</v>
      </c>
      <c r="C344" t="s">
        <v>202</v>
      </c>
      <c r="D344" t="s">
        <v>123</v>
      </c>
      <c r="E344">
        <v>1.395</v>
      </c>
      <c r="F344">
        <v>7.7500000000000124</v>
      </c>
      <c r="G344">
        <v>41.7</v>
      </c>
      <c r="H344">
        <v>1.6680000000000001</v>
      </c>
      <c r="I344" t="s">
        <v>41</v>
      </c>
      <c r="J344" t="s">
        <v>41</v>
      </c>
      <c r="K344" t="s">
        <v>41</v>
      </c>
    </row>
    <row r="345" spans="1:11" x14ac:dyDescent="0.25">
      <c r="A345" s="374">
        <v>46239</v>
      </c>
      <c r="B345" t="s">
        <v>15</v>
      </c>
      <c r="C345" t="s">
        <v>195</v>
      </c>
      <c r="D345" t="s">
        <v>122</v>
      </c>
      <c r="E345">
        <v>1.4750000000000001</v>
      </c>
      <c r="F345">
        <v>8.0000000000000071</v>
      </c>
      <c r="G345">
        <v>49.70000000000001</v>
      </c>
      <c r="H345">
        <v>1.9880000000000004</v>
      </c>
      <c r="I345" t="s">
        <v>41</v>
      </c>
      <c r="J345" t="s">
        <v>41</v>
      </c>
      <c r="K345" t="s">
        <v>41</v>
      </c>
    </row>
    <row r="346" spans="1:11" x14ac:dyDescent="0.25">
      <c r="A346" s="374">
        <v>46239</v>
      </c>
      <c r="B346" t="s">
        <v>16</v>
      </c>
      <c r="C346" t="s">
        <v>208</v>
      </c>
      <c r="D346" t="s">
        <v>209</v>
      </c>
      <c r="E346">
        <v>1.5349999999999999</v>
      </c>
      <c r="F346">
        <v>5.9999999999999831</v>
      </c>
      <c r="G346">
        <v>55.699999999999996</v>
      </c>
      <c r="H346">
        <v>2.2279999999999998</v>
      </c>
      <c r="I346" t="s">
        <v>41</v>
      </c>
      <c r="J346" t="s">
        <v>41</v>
      </c>
      <c r="K346" t="s">
        <v>41</v>
      </c>
    </row>
    <row r="347" spans="1:11" x14ac:dyDescent="0.25">
      <c r="A347" s="374">
        <v>46239</v>
      </c>
      <c r="B347" t="s">
        <v>18</v>
      </c>
      <c r="C347" t="s">
        <v>210</v>
      </c>
      <c r="D347" t="s">
        <v>207</v>
      </c>
      <c r="E347">
        <v>1.59</v>
      </c>
      <c r="F347">
        <v>5.500000000000016</v>
      </c>
      <c r="G347">
        <v>61.20000000000001</v>
      </c>
      <c r="H347">
        <v>2.4480000000000004</v>
      </c>
      <c r="I347" t="s">
        <v>41</v>
      </c>
      <c r="J347" t="s">
        <v>41</v>
      </c>
      <c r="K347" t="s">
        <v>41</v>
      </c>
    </row>
    <row r="348" spans="1:11" x14ac:dyDescent="0.25">
      <c r="A348" s="374">
        <v>46239</v>
      </c>
      <c r="B348" t="s">
        <v>19</v>
      </c>
      <c r="C348" t="s">
        <v>211</v>
      </c>
      <c r="D348" t="s">
        <v>212</v>
      </c>
      <c r="E348">
        <v>1.6837500000000001</v>
      </c>
      <c r="F348">
        <v>9.375</v>
      </c>
      <c r="G348">
        <v>70.575000000000017</v>
      </c>
      <c r="H348">
        <v>2.8230000000000008</v>
      </c>
      <c r="I348" t="s">
        <v>41</v>
      </c>
      <c r="J348" t="s">
        <v>41</v>
      </c>
      <c r="K348" t="s">
        <v>41</v>
      </c>
    </row>
    <row r="349" spans="1:11" x14ac:dyDescent="0.25">
      <c r="A349" s="374">
        <v>46239</v>
      </c>
      <c r="I349">
        <v>0</v>
      </c>
      <c r="J349">
        <v>0</v>
      </c>
      <c r="K349">
        <v>0</v>
      </c>
    </row>
    <row r="350" spans="1:11" x14ac:dyDescent="0.25">
      <c r="A350" s="374">
        <v>46239</v>
      </c>
      <c r="I350">
        <v>0</v>
      </c>
      <c r="J350">
        <v>0</v>
      </c>
      <c r="K350">
        <v>0</v>
      </c>
    </row>
    <row r="351" spans="1:11" x14ac:dyDescent="0.25">
      <c r="A351" s="374">
        <v>46239</v>
      </c>
      <c r="I351">
        <v>0</v>
      </c>
      <c r="J351">
        <v>0</v>
      </c>
      <c r="K351">
        <v>0</v>
      </c>
    </row>
    <row r="352" spans="1:11" x14ac:dyDescent="0.25">
      <c r="A352" s="374">
        <v>46239</v>
      </c>
      <c r="I352">
        <v>0</v>
      </c>
      <c r="J352">
        <v>0</v>
      </c>
      <c r="K352">
        <v>0</v>
      </c>
    </row>
    <row r="353" spans="1:11" x14ac:dyDescent="0.25">
      <c r="A353" s="374">
        <v>46239</v>
      </c>
      <c r="B353" t="s">
        <v>10</v>
      </c>
      <c r="C353" t="s">
        <v>183</v>
      </c>
      <c r="D353" t="s">
        <v>184</v>
      </c>
      <c r="E353">
        <v>1.135</v>
      </c>
      <c r="F353">
        <v>15.700000000000003</v>
      </c>
      <c r="G353">
        <v>15.700000000000003</v>
      </c>
      <c r="H353">
        <v>0.62800000000000011</v>
      </c>
      <c r="I353">
        <v>3.2499999999999973</v>
      </c>
      <c r="J353">
        <v>8.8750000000000107</v>
      </c>
      <c r="K353">
        <v>10.000000000000009</v>
      </c>
    </row>
    <row r="354" spans="1:11" x14ac:dyDescent="0.25">
      <c r="A354" s="374">
        <v>46239</v>
      </c>
      <c r="B354" t="s">
        <v>12</v>
      </c>
      <c r="C354" t="s">
        <v>185</v>
      </c>
      <c r="D354" t="s">
        <v>180</v>
      </c>
      <c r="E354">
        <v>1.2224999999999999</v>
      </c>
      <c r="F354">
        <v>8.7499999999999911</v>
      </c>
      <c r="G354">
        <v>24.449999999999996</v>
      </c>
      <c r="H354">
        <v>0.97799999999999987</v>
      </c>
      <c r="I354">
        <v>1.4999999999999902</v>
      </c>
      <c r="J354">
        <v>5.1250000000000018</v>
      </c>
      <c r="K354">
        <v>9.1249999999999822</v>
      </c>
    </row>
    <row r="355" spans="1:11" x14ac:dyDescent="0.25">
      <c r="A355" s="374">
        <v>46239</v>
      </c>
      <c r="B355" t="s">
        <v>13</v>
      </c>
      <c r="C355" t="s">
        <v>187</v>
      </c>
      <c r="D355" t="s">
        <v>194</v>
      </c>
      <c r="E355">
        <v>1.3174999999999999</v>
      </c>
      <c r="F355">
        <v>9.4999999999999964</v>
      </c>
      <c r="G355">
        <v>33.949999999999989</v>
      </c>
      <c r="H355">
        <v>1.3579999999999997</v>
      </c>
      <c r="I355">
        <v>2.2499999999999964</v>
      </c>
      <c r="J355">
        <v>7.8749999999999876</v>
      </c>
      <c r="K355">
        <v>10.999999999999988</v>
      </c>
    </row>
    <row r="356" spans="1:11" x14ac:dyDescent="0.25">
      <c r="A356" s="374">
        <v>46239</v>
      </c>
      <c r="B356" t="s">
        <v>28</v>
      </c>
      <c r="C356" t="s">
        <v>202</v>
      </c>
      <c r="D356" t="s">
        <v>123</v>
      </c>
      <c r="E356">
        <v>1.395</v>
      </c>
      <c r="F356">
        <v>7.7500000000000124</v>
      </c>
      <c r="G356">
        <v>41.7</v>
      </c>
      <c r="H356">
        <v>1.6680000000000001</v>
      </c>
      <c r="I356">
        <v>2.2499999999999964</v>
      </c>
      <c r="J356" t="s">
        <v>41</v>
      </c>
      <c r="K356" t="s">
        <v>41</v>
      </c>
    </row>
    <row r="357" spans="1:11" x14ac:dyDescent="0.25">
      <c r="A357" s="374">
        <v>46239</v>
      </c>
      <c r="B357" t="s">
        <v>15</v>
      </c>
      <c r="C357" t="s">
        <v>195</v>
      </c>
      <c r="D357" t="s">
        <v>122</v>
      </c>
      <c r="E357">
        <v>1.4750000000000001</v>
      </c>
      <c r="F357">
        <v>8.0000000000000071</v>
      </c>
      <c r="G357">
        <v>49.70000000000001</v>
      </c>
      <c r="H357">
        <v>1.9880000000000004</v>
      </c>
      <c r="I357">
        <v>1.2500000000000178</v>
      </c>
      <c r="J357" t="s">
        <v>41</v>
      </c>
      <c r="K357" t="s">
        <v>41</v>
      </c>
    </row>
    <row r="358" spans="1:11" x14ac:dyDescent="0.25">
      <c r="A358" s="374">
        <v>46239</v>
      </c>
      <c r="B358" t="s">
        <v>16</v>
      </c>
      <c r="C358" t="s">
        <v>208</v>
      </c>
      <c r="D358" t="s">
        <v>209</v>
      </c>
      <c r="E358">
        <v>1.5349999999999999</v>
      </c>
      <c r="F358">
        <v>5.9999999999999831</v>
      </c>
      <c r="G358">
        <v>55.699999999999996</v>
      </c>
      <c r="H358">
        <v>2.2279999999999998</v>
      </c>
      <c r="I358">
        <v>1.3749999999999929</v>
      </c>
      <c r="J358" t="s">
        <v>41</v>
      </c>
      <c r="K358" t="s">
        <v>41</v>
      </c>
    </row>
    <row r="359" spans="1:11" x14ac:dyDescent="0.25">
      <c r="A359" s="374">
        <v>46239</v>
      </c>
      <c r="B359" t="s">
        <v>18</v>
      </c>
      <c r="C359" t="s">
        <v>210</v>
      </c>
      <c r="D359" t="s">
        <v>207</v>
      </c>
      <c r="E359">
        <v>1.59</v>
      </c>
      <c r="F359">
        <v>5.500000000000016</v>
      </c>
      <c r="G359">
        <v>61.20000000000001</v>
      </c>
      <c r="H359">
        <v>2.4480000000000004</v>
      </c>
      <c r="I359">
        <v>1.3750000000000151</v>
      </c>
      <c r="J359" t="s">
        <v>41</v>
      </c>
      <c r="K359" t="s">
        <v>41</v>
      </c>
    </row>
    <row r="360" spans="1:11" x14ac:dyDescent="0.25">
      <c r="A360" s="374">
        <v>46239</v>
      </c>
      <c r="B360" t="s">
        <v>19</v>
      </c>
      <c r="C360" t="s">
        <v>211</v>
      </c>
      <c r="D360" t="s">
        <v>212</v>
      </c>
      <c r="E360">
        <v>1.6837500000000001</v>
      </c>
      <c r="F360">
        <v>9.375</v>
      </c>
      <c r="G360">
        <v>70.575000000000017</v>
      </c>
      <c r="H360">
        <v>2.8230000000000008</v>
      </c>
      <c r="I360">
        <v>4.6250000000000124</v>
      </c>
      <c r="J360" t="s">
        <v>41</v>
      </c>
      <c r="K360" t="s">
        <v>41</v>
      </c>
    </row>
    <row r="361" spans="1:11" x14ac:dyDescent="0.25">
      <c r="A361" s="374">
        <v>46239</v>
      </c>
      <c r="I361">
        <v>0</v>
      </c>
      <c r="J361">
        <v>0</v>
      </c>
      <c r="K361">
        <v>0</v>
      </c>
    </row>
    <row r="362" spans="1:11" x14ac:dyDescent="0.25">
      <c r="A362" s="374">
        <v>46239</v>
      </c>
      <c r="I362">
        <v>0</v>
      </c>
      <c r="J362">
        <v>0</v>
      </c>
      <c r="K362">
        <v>0</v>
      </c>
    </row>
    <row r="363" spans="1:11" x14ac:dyDescent="0.25">
      <c r="A363" s="374">
        <v>46239</v>
      </c>
      <c r="I363">
        <v>0</v>
      </c>
      <c r="J363">
        <v>0</v>
      </c>
      <c r="K363">
        <v>0</v>
      </c>
    </row>
    <row r="364" spans="1:11" x14ac:dyDescent="0.25">
      <c r="A364" s="374">
        <v>46239</v>
      </c>
      <c r="I364">
        <v>0</v>
      </c>
      <c r="J364">
        <v>0</v>
      </c>
      <c r="K364">
        <v>0</v>
      </c>
    </row>
    <row r="365" spans="1:11" x14ac:dyDescent="0.25">
      <c r="A365" s="374">
        <v>46240</v>
      </c>
      <c r="B365" t="s">
        <v>10</v>
      </c>
      <c r="C365" t="s">
        <v>183</v>
      </c>
      <c r="D365" t="s">
        <v>184</v>
      </c>
      <c r="E365">
        <v>1.1375</v>
      </c>
      <c r="F365">
        <v>15.949999999999998</v>
      </c>
      <c r="G365">
        <v>15.949999999999998</v>
      </c>
      <c r="H365">
        <v>0.6379999999999999</v>
      </c>
      <c r="I365">
        <v>0.24999999999999467</v>
      </c>
      <c r="J365">
        <v>9.7499999999999929</v>
      </c>
      <c r="K365">
        <v>10.250000000000004</v>
      </c>
    </row>
    <row r="366" spans="1:11" x14ac:dyDescent="0.25">
      <c r="A366" s="374">
        <v>46240</v>
      </c>
      <c r="B366" t="s">
        <v>12</v>
      </c>
      <c r="C366" t="s">
        <v>185</v>
      </c>
      <c r="D366" t="s">
        <v>180</v>
      </c>
      <c r="E366">
        <v>1.2212499999999999</v>
      </c>
      <c r="F366">
        <v>8.375</v>
      </c>
      <c r="G366">
        <v>24.324999999999996</v>
      </c>
      <c r="H366">
        <v>0.97299999999999986</v>
      </c>
      <c r="I366">
        <v>-0.12499999999999734</v>
      </c>
      <c r="J366">
        <v>4.6249999999999902</v>
      </c>
      <c r="K366">
        <v>8.9999999999999858</v>
      </c>
    </row>
    <row r="367" spans="1:11" x14ac:dyDescent="0.25">
      <c r="A367" s="374">
        <v>46240</v>
      </c>
      <c r="B367" t="s">
        <v>13</v>
      </c>
      <c r="C367" t="s">
        <v>187</v>
      </c>
      <c r="D367" t="s">
        <v>194</v>
      </c>
      <c r="E367">
        <v>1.3162499999999999</v>
      </c>
      <c r="F367">
        <v>9.4999999999999964</v>
      </c>
      <c r="G367">
        <v>33.824999999999996</v>
      </c>
      <c r="H367">
        <v>1.3529999999999998</v>
      </c>
      <c r="I367">
        <v>-0.12499999999999734</v>
      </c>
      <c r="J367">
        <v>7.2500000000000009</v>
      </c>
      <c r="K367">
        <v>11.124999999999986</v>
      </c>
    </row>
    <row r="368" spans="1:11" x14ac:dyDescent="0.25">
      <c r="A368" s="374">
        <v>46240</v>
      </c>
      <c r="B368" t="s">
        <v>28</v>
      </c>
      <c r="C368" t="s">
        <v>202</v>
      </c>
      <c r="D368" t="s">
        <v>123</v>
      </c>
      <c r="E368">
        <v>1.4037500000000001</v>
      </c>
      <c r="F368">
        <v>8.7500000000000142</v>
      </c>
      <c r="G368">
        <v>42.57500000000001</v>
      </c>
      <c r="H368">
        <v>1.7030000000000003</v>
      </c>
      <c r="I368">
        <v>0.87500000000000355</v>
      </c>
      <c r="J368" t="s">
        <v>41</v>
      </c>
      <c r="K368" t="s">
        <v>41</v>
      </c>
    </row>
    <row r="369" spans="1:11" x14ac:dyDescent="0.25">
      <c r="A369" s="374">
        <v>46240</v>
      </c>
      <c r="B369" t="s">
        <v>15</v>
      </c>
      <c r="C369" t="s">
        <v>195</v>
      </c>
      <c r="D369" t="s">
        <v>122</v>
      </c>
      <c r="E369">
        <v>1.4862500000000001</v>
      </c>
      <c r="F369">
        <v>8.2500000000000018</v>
      </c>
      <c r="G369">
        <v>50.82500000000001</v>
      </c>
      <c r="H369">
        <v>2.0330000000000004</v>
      </c>
      <c r="I369">
        <v>1.1249999999999982</v>
      </c>
      <c r="J369" t="s">
        <v>41</v>
      </c>
      <c r="K369" t="s">
        <v>41</v>
      </c>
    </row>
    <row r="370" spans="1:11" x14ac:dyDescent="0.25">
      <c r="A370" s="374">
        <v>46240</v>
      </c>
      <c r="B370" t="s">
        <v>16</v>
      </c>
      <c r="C370" t="s">
        <v>208</v>
      </c>
      <c r="D370" t="s">
        <v>209</v>
      </c>
      <c r="E370">
        <v>1.5525</v>
      </c>
      <c r="F370">
        <v>6.624999999999992</v>
      </c>
      <c r="G370">
        <v>57.45</v>
      </c>
      <c r="H370">
        <v>2.298</v>
      </c>
      <c r="I370">
        <v>1.7500000000000071</v>
      </c>
      <c r="J370" t="s">
        <v>41</v>
      </c>
      <c r="K370" t="s">
        <v>41</v>
      </c>
    </row>
    <row r="371" spans="1:11" x14ac:dyDescent="0.25">
      <c r="A371" s="374">
        <v>46240</v>
      </c>
      <c r="B371" t="s">
        <v>18</v>
      </c>
      <c r="C371" t="s">
        <v>210</v>
      </c>
      <c r="D371" t="s">
        <v>207</v>
      </c>
      <c r="E371">
        <v>1.6025</v>
      </c>
      <c r="F371">
        <v>5.0000000000000044</v>
      </c>
      <c r="G371">
        <v>62.45</v>
      </c>
      <c r="H371">
        <v>2.4980000000000002</v>
      </c>
      <c r="I371">
        <v>1.2499999999999956</v>
      </c>
      <c r="J371" t="s">
        <v>41</v>
      </c>
      <c r="K371" t="s">
        <v>41</v>
      </c>
    </row>
    <row r="372" spans="1:11" x14ac:dyDescent="0.25">
      <c r="A372" s="374">
        <v>46240</v>
      </c>
      <c r="B372" t="s">
        <v>19</v>
      </c>
      <c r="C372" t="s">
        <v>211</v>
      </c>
      <c r="D372" t="s">
        <v>212</v>
      </c>
      <c r="E372">
        <v>1.67625</v>
      </c>
      <c r="F372">
        <v>7.3749999999999982</v>
      </c>
      <c r="G372">
        <v>69.825000000000003</v>
      </c>
      <c r="H372">
        <v>2.7930000000000001</v>
      </c>
      <c r="I372">
        <v>-0.75000000000000622</v>
      </c>
      <c r="J372" t="s">
        <v>41</v>
      </c>
      <c r="K372" t="s">
        <v>41</v>
      </c>
    </row>
    <row r="373" spans="1:11" x14ac:dyDescent="0.25">
      <c r="A373" s="374">
        <v>46240</v>
      </c>
      <c r="I373">
        <v>0</v>
      </c>
      <c r="J373">
        <v>0</v>
      </c>
      <c r="K373">
        <v>0</v>
      </c>
    </row>
    <row r="374" spans="1:11" x14ac:dyDescent="0.25">
      <c r="A374" s="374">
        <v>46240</v>
      </c>
      <c r="I374">
        <v>0</v>
      </c>
      <c r="J374">
        <v>0</v>
      </c>
      <c r="K374">
        <v>0</v>
      </c>
    </row>
    <row r="375" spans="1:11" x14ac:dyDescent="0.25">
      <c r="A375" s="374">
        <v>46240</v>
      </c>
      <c r="I375">
        <v>0</v>
      </c>
      <c r="J375">
        <v>0</v>
      </c>
      <c r="K375">
        <v>0</v>
      </c>
    </row>
    <row r="376" spans="1:11" x14ac:dyDescent="0.25">
      <c r="A376" s="374">
        <v>46240</v>
      </c>
      <c r="I376">
        <v>0</v>
      </c>
      <c r="J376">
        <v>0</v>
      </c>
      <c r="K376">
        <v>0</v>
      </c>
    </row>
    <row r="377" spans="1:11" x14ac:dyDescent="0.25">
      <c r="A377" s="374">
        <v>46241</v>
      </c>
      <c r="B377" t="s">
        <v>10</v>
      </c>
      <c r="C377" t="s">
        <v>183</v>
      </c>
      <c r="D377" t="s">
        <v>184</v>
      </c>
      <c r="E377">
        <v>1.1425000000000001</v>
      </c>
      <c r="F377">
        <v>16.250000000000007</v>
      </c>
      <c r="G377">
        <v>16.250000000000007</v>
      </c>
      <c r="H377">
        <v>0.65000000000000024</v>
      </c>
      <c r="I377">
        <v>0.50000000000001155</v>
      </c>
      <c r="J377">
        <v>16.250000000000007</v>
      </c>
      <c r="K377">
        <v>10.750000000000014</v>
      </c>
    </row>
    <row r="378" spans="1:11" x14ac:dyDescent="0.25">
      <c r="A378" s="374">
        <v>46241</v>
      </c>
      <c r="B378" t="s">
        <v>12</v>
      </c>
      <c r="C378" t="s">
        <v>185</v>
      </c>
      <c r="D378" t="s">
        <v>180</v>
      </c>
      <c r="E378">
        <v>1.21875</v>
      </c>
      <c r="F378">
        <v>7.6249999999999929</v>
      </c>
      <c r="G378">
        <v>23.875</v>
      </c>
      <c r="H378">
        <v>0.95499999999999996</v>
      </c>
      <c r="I378">
        <v>-0.24999999999999467</v>
      </c>
      <c r="J378">
        <v>13.749999999999996</v>
      </c>
      <c r="K378">
        <v>8.375</v>
      </c>
    </row>
    <row r="379" spans="1:11" x14ac:dyDescent="0.25">
      <c r="A379" s="374">
        <v>46241</v>
      </c>
      <c r="B379" t="s">
        <v>13</v>
      </c>
      <c r="C379" t="s">
        <v>187</v>
      </c>
      <c r="D379" t="s">
        <v>194</v>
      </c>
      <c r="E379">
        <v>1.33</v>
      </c>
      <c r="F379">
        <v>11.125000000000007</v>
      </c>
      <c r="G379">
        <v>35.000000000000007</v>
      </c>
      <c r="H379">
        <v>1.4000000000000004</v>
      </c>
      <c r="I379">
        <v>1.3750000000000151</v>
      </c>
      <c r="J379">
        <v>12.875000000000014</v>
      </c>
      <c r="K379">
        <v>11.875000000000014</v>
      </c>
    </row>
    <row r="380" spans="1:11" x14ac:dyDescent="0.25">
      <c r="A380" s="374">
        <v>46241</v>
      </c>
      <c r="B380" t="s">
        <v>28</v>
      </c>
      <c r="C380" t="s">
        <v>202</v>
      </c>
      <c r="D380" t="s">
        <v>123</v>
      </c>
      <c r="E380">
        <v>1.42875</v>
      </c>
      <c r="F380">
        <v>9.8749999999999893</v>
      </c>
      <c r="G380">
        <v>44.875</v>
      </c>
      <c r="H380">
        <v>1.7949999999999999</v>
      </c>
      <c r="I380">
        <v>2.4999999999999911</v>
      </c>
      <c r="J380" t="s">
        <v>41</v>
      </c>
      <c r="K380" t="s">
        <v>41</v>
      </c>
    </row>
    <row r="381" spans="1:11" x14ac:dyDescent="0.25">
      <c r="A381" s="374">
        <v>46241</v>
      </c>
      <c r="B381" t="s">
        <v>15</v>
      </c>
      <c r="C381" t="s">
        <v>195</v>
      </c>
      <c r="D381" t="s">
        <v>122</v>
      </c>
      <c r="E381">
        <v>1.51125</v>
      </c>
      <c r="F381">
        <v>8.2500000000000018</v>
      </c>
      <c r="G381">
        <v>53.125</v>
      </c>
      <c r="H381">
        <v>2.125</v>
      </c>
      <c r="I381">
        <v>2.4999999999999911</v>
      </c>
      <c r="J381" t="s">
        <v>41</v>
      </c>
      <c r="K381" t="s">
        <v>41</v>
      </c>
    </row>
    <row r="382" spans="1:11" x14ac:dyDescent="0.25">
      <c r="A382" s="374">
        <v>46241</v>
      </c>
      <c r="B382" t="s">
        <v>16</v>
      </c>
      <c r="C382" t="s">
        <v>208</v>
      </c>
      <c r="D382" t="s">
        <v>209</v>
      </c>
      <c r="E382">
        <v>1.5912500000000001</v>
      </c>
      <c r="F382">
        <v>8.0000000000000071</v>
      </c>
      <c r="G382">
        <v>61.125000000000007</v>
      </c>
      <c r="H382">
        <v>2.4450000000000003</v>
      </c>
      <c r="I382">
        <v>3.8750000000000062</v>
      </c>
      <c r="J382" t="s">
        <v>41</v>
      </c>
      <c r="K382" t="s">
        <v>41</v>
      </c>
    </row>
    <row r="383" spans="1:11" x14ac:dyDescent="0.25">
      <c r="A383" s="374">
        <v>46241</v>
      </c>
      <c r="B383" t="s">
        <v>18</v>
      </c>
      <c r="C383" t="s">
        <v>210</v>
      </c>
      <c r="D383" t="s">
        <v>207</v>
      </c>
      <c r="E383">
        <v>1.65</v>
      </c>
      <c r="F383">
        <v>5.8749999999999858</v>
      </c>
      <c r="G383">
        <v>67</v>
      </c>
      <c r="H383">
        <v>2.68</v>
      </c>
      <c r="I383">
        <v>4.7499999999999876</v>
      </c>
      <c r="J383" t="s">
        <v>41</v>
      </c>
      <c r="K383" t="s">
        <v>41</v>
      </c>
    </row>
    <row r="384" spans="1:11" x14ac:dyDescent="0.25">
      <c r="A384" s="374">
        <v>46241</v>
      </c>
      <c r="B384" t="s">
        <v>19</v>
      </c>
      <c r="C384" t="s">
        <v>211</v>
      </c>
      <c r="D384" t="s">
        <v>212</v>
      </c>
      <c r="E384">
        <v>1.7224999999999999</v>
      </c>
      <c r="F384">
        <v>7.2500000000000009</v>
      </c>
      <c r="G384">
        <v>74.25</v>
      </c>
      <c r="H384">
        <v>2.97</v>
      </c>
      <c r="I384">
        <v>4.6249999999999902</v>
      </c>
      <c r="J384" t="s">
        <v>41</v>
      </c>
      <c r="K384" t="s">
        <v>41</v>
      </c>
    </row>
    <row r="385" spans="1:11" x14ac:dyDescent="0.25">
      <c r="A385" s="374">
        <v>46241</v>
      </c>
      <c r="I385">
        <v>0</v>
      </c>
      <c r="J385">
        <v>0</v>
      </c>
      <c r="K385">
        <v>0</v>
      </c>
    </row>
    <row r="386" spans="1:11" x14ac:dyDescent="0.25">
      <c r="A386" s="374">
        <v>46241</v>
      </c>
      <c r="I386">
        <v>0</v>
      </c>
      <c r="J386">
        <v>0</v>
      </c>
      <c r="K386">
        <v>0</v>
      </c>
    </row>
    <row r="387" spans="1:11" x14ac:dyDescent="0.25">
      <c r="A387" s="374">
        <v>46241</v>
      </c>
      <c r="I387">
        <v>0</v>
      </c>
      <c r="J387">
        <v>0</v>
      </c>
      <c r="K387">
        <v>0</v>
      </c>
    </row>
    <row r="388" spans="1:11" x14ac:dyDescent="0.25">
      <c r="A388" s="374">
        <v>46241</v>
      </c>
      <c r="I388">
        <v>0</v>
      </c>
      <c r="J388">
        <v>0</v>
      </c>
      <c r="K388">
        <v>0</v>
      </c>
    </row>
    <row r="389" spans="1:11" x14ac:dyDescent="0.25">
      <c r="A389" s="374">
        <v>46244</v>
      </c>
      <c r="B389" t="s">
        <v>10</v>
      </c>
      <c r="C389" t="s">
        <v>183</v>
      </c>
      <c r="D389" t="s">
        <v>184</v>
      </c>
      <c r="E389">
        <v>1.1387499999999999</v>
      </c>
      <c r="F389">
        <v>16.174999999999994</v>
      </c>
      <c r="G389">
        <v>16.174999999999994</v>
      </c>
      <c r="H389">
        <v>0.6469999999999998</v>
      </c>
      <c r="I389">
        <v>-0.37500000000001421</v>
      </c>
      <c r="J389">
        <v>3.2499999999999973</v>
      </c>
      <c r="K389">
        <v>9.8749999999999893</v>
      </c>
    </row>
    <row r="390" spans="1:11" x14ac:dyDescent="0.25">
      <c r="A390" s="374">
        <v>46244</v>
      </c>
      <c r="B390" t="s">
        <v>12</v>
      </c>
      <c r="C390" t="s">
        <v>185</v>
      </c>
      <c r="D390" t="s">
        <v>180</v>
      </c>
      <c r="E390">
        <v>1.2162500000000001</v>
      </c>
      <c r="F390">
        <v>7.7500000000000124</v>
      </c>
      <c r="G390">
        <v>23.925000000000008</v>
      </c>
      <c r="H390">
        <v>0.95700000000000029</v>
      </c>
      <c r="I390">
        <v>-0.24999999999999467</v>
      </c>
      <c r="J390">
        <v>0.24999999999999467</v>
      </c>
      <c r="K390">
        <v>7.3749999999999982</v>
      </c>
    </row>
    <row r="391" spans="1:11" x14ac:dyDescent="0.25">
      <c r="A391" s="374">
        <v>46244</v>
      </c>
      <c r="B391" t="s">
        <v>13</v>
      </c>
      <c r="C391" t="s">
        <v>187</v>
      </c>
      <c r="D391" t="s">
        <v>194</v>
      </c>
      <c r="E391">
        <v>1.3412500000000001</v>
      </c>
      <c r="F391">
        <v>12.5</v>
      </c>
      <c r="G391">
        <v>36.425000000000004</v>
      </c>
      <c r="H391">
        <v>1.4570000000000001</v>
      </c>
      <c r="I391">
        <v>1.1249999999999982</v>
      </c>
      <c r="J391">
        <v>4.5000000000000151</v>
      </c>
      <c r="K391">
        <v>12.250000000000005</v>
      </c>
    </row>
    <row r="392" spans="1:11" x14ac:dyDescent="0.25">
      <c r="A392" s="374">
        <v>46244</v>
      </c>
      <c r="B392" t="s">
        <v>28</v>
      </c>
      <c r="C392" t="s">
        <v>202</v>
      </c>
      <c r="D392" t="s">
        <v>123</v>
      </c>
      <c r="E392">
        <v>1.43625</v>
      </c>
      <c r="F392">
        <v>9.4999999999999964</v>
      </c>
      <c r="G392">
        <v>45.925000000000004</v>
      </c>
      <c r="H392">
        <v>1.8370000000000002</v>
      </c>
      <c r="I392">
        <v>0.75000000000000622</v>
      </c>
      <c r="J392" t="s">
        <v>41</v>
      </c>
      <c r="K392" t="s">
        <v>41</v>
      </c>
    </row>
    <row r="393" spans="1:11" x14ac:dyDescent="0.25">
      <c r="A393" s="374">
        <v>46244</v>
      </c>
      <c r="B393" t="s">
        <v>15</v>
      </c>
      <c r="C393" t="s">
        <v>195</v>
      </c>
      <c r="D393" t="s">
        <v>122</v>
      </c>
      <c r="E393">
        <v>1.5225</v>
      </c>
      <c r="F393">
        <v>8.6249999999999929</v>
      </c>
      <c r="G393">
        <v>54.55</v>
      </c>
      <c r="H393">
        <v>2.1819999999999999</v>
      </c>
      <c r="I393">
        <v>1.1249999999999982</v>
      </c>
      <c r="J393" t="s">
        <v>41</v>
      </c>
      <c r="K393" t="s">
        <v>41</v>
      </c>
    </row>
    <row r="394" spans="1:11" x14ac:dyDescent="0.25">
      <c r="A394" s="374">
        <v>46244</v>
      </c>
      <c r="B394" t="s">
        <v>16</v>
      </c>
      <c r="C394" t="s">
        <v>208</v>
      </c>
      <c r="D394" t="s">
        <v>209</v>
      </c>
      <c r="E394">
        <v>1.59375</v>
      </c>
      <c r="F394">
        <v>7.1250000000000036</v>
      </c>
      <c r="G394">
        <v>61.675000000000004</v>
      </c>
      <c r="H394">
        <v>2.4670000000000001</v>
      </c>
      <c r="I394">
        <v>0.24999999999999467</v>
      </c>
      <c r="J394" t="s">
        <v>41</v>
      </c>
      <c r="K394" t="s">
        <v>41</v>
      </c>
    </row>
    <row r="395" spans="1:11" x14ac:dyDescent="0.25">
      <c r="A395" s="374">
        <v>46244</v>
      </c>
      <c r="B395" t="s">
        <v>18</v>
      </c>
      <c r="C395" t="s">
        <v>210</v>
      </c>
      <c r="D395" t="s">
        <v>207</v>
      </c>
      <c r="E395">
        <v>1.655</v>
      </c>
      <c r="F395">
        <v>6.1250000000000027</v>
      </c>
      <c r="G395">
        <v>67.800000000000011</v>
      </c>
      <c r="H395">
        <v>2.7120000000000006</v>
      </c>
      <c r="I395">
        <v>0.50000000000001155</v>
      </c>
      <c r="J395" t="s">
        <v>41</v>
      </c>
      <c r="K395" t="s">
        <v>41</v>
      </c>
    </row>
    <row r="396" spans="1:11" x14ac:dyDescent="0.25">
      <c r="A396" s="374">
        <v>46244</v>
      </c>
      <c r="B396" t="s">
        <v>19</v>
      </c>
      <c r="C396" t="s">
        <v>211</v>
      </c>
      <c r="D396" t="s">
        <v>212</v>
      </c>
      <c r="E396">
        <v>1.7275</v>
      </c>
      <c r="F396">
        <v>7.2500000000000009</v>
      </c>
      <c r="G396">
        <v>75.050000000000011</v>
      </c>
      <c r="H396">
        <v>3.0020000000000007</v>
      </c>
      <c r="I396">
        <v>0.50000000000001155</v>
      </c>
      <c r="J396" t="s">
        <v>41</v>
      </c>
      <c r="K396" t="s">
        <v>41</v>
      </c>
    </row>
    <row r="397" spans="1:11" x14ac:dyDescent="0.25">
      <c r="A397" s="374">
        <v>46244</v>
      </c>
      <c r="I397">
        <v>0</v>
      </c>
      <c r="J397">
        <v>0</v>
      </c>
      <c r="K397">
        <v>0</v>
      </c>
    </row>
    <row r="398" spans="1:11" x14ac:dyDescent="0.25">
      <c r="A398" s="374">
        <v>46244</v>
      </c>
      <c r="I398">
        <v>0</v>
      </c>
      <c r="J398">
        <v>0</v>
      </c>
      <c r="K398">
        <v>0</v>
      </c>
    </row>
    <row r="399" spans="1:11" x14ac:dyDescent="0.25">
      <c r="A399" s="374">
        <v>46244</v>
      </c>
      <c r="I399">
        <v>0</v>
      </c>
      <c r="J399">
        <v>0</v>
      </c>
      <c r="K399">
        <v>0</v>
      </c>
    </row>
    <row r="400" spans="1:11" x14ac:dyDescent="0.25">
      <c r="A400" s="374">
        <v>46244</v>
      </c>
      <c r="I400">
        <v>0</v>
      </c>
      <c r="J400">
        <v>0</v>
      </c>
      <c r="K400">
        <v>0</v>
      </c>
    </row>
    <row r="401" spans="1:11" x14ac:dyDescent="0.25">
      <c r="A401" s="374">
        <v>46245</v>
      </c>
      <c r="B401" t="s">
        <v>10</v>
      </c>
      <c r="C401" t="s">
        <v>183</v>
      </c>
      <c r="D401" t="s">
        <v>184</v>
      </c>
      <c r="E401">
        <v>1.1387499999999999</v>
      </c>
      <c r="F401">
        <v>16.174999999999994</v>
      </c>
      <c r="G401">
        <v>16.174999999999994</v>
      </c>
      <c r="H401">
        <v>0.6469999999999998</v>
      </c>
      <c r="I401">
        <v>0</v>
      </c>
      <c r="J401">
        <v>3.6249999999999893</v>
      </c>
      <c r="K401">
        <v>9.8749999999999893</v>
      </c>
    </row>
    <row r="402" spans="1:11" x14ac:dyDescent="0.25">
      <c r="A402" s="374">
        <v>46245</v>
      </c>
      <c r="B402" t="s">
        <v>12</v>
      </c>
      <c r="C402" t="s">
        <v>185</v>
      </c>
      <c r="D402" t="s">
        <v>180</v>
      </c>
      <c r="E402">
        <v>1.2162500000000001</v>
      </c>
      <c r="F402">
        <v>7.7500000000000124</v>
      </c>
      <c r="G402">
        <v>23.925000000000008</v>
      </c>
      <c r="H402">
        <v>0.95700000000000029</v>
      </c>
      <c r="I402">
        <v>0</v>
      </c>
      <c r="J402">
        <v>0.87500000000000355</v>
      </c>
      <c r="K402">
        <v>7.1250000000000036</v>
      </c>
    </row>
    <row r="403" spans="1:11" x14ac:dyDescent="0.25">
      <c r="A403" s="374">
        <v>46245</v>
      </c>
      <c r="B403" t="s">
        <v>13</v>
      </c>
      <c r="C403" t="s">
        <v>187</v>
      </c>
      <c r="D403" t="s">
        <v>194</v>
      </c>
      <c r="E403">
        <v>1.3412500000000001</v>
      </c>
      <c r="F403">
        <v>12.5</v>
      </c>
      <c r="G403">
        <v>36.425000000000004</v>
      </c>
      <c r="H403">
        <v>1.4570000000000001</v>
      </c>
      <c r="I403">
        <v>0</v>
      </c>
      <c r="J403">
        <v>4.6250000000000124</v>
      </c>
      <c r="K403">
        <v>12.125000000000007</v>
      </c>
    </row>
    <row r="404" spans="1:11" x14ac:dyDescent="0.25">
      <c r="A404" s="374">
        <v>46245</v>
      </c>
      <c r="B404" t="s">
        <v>28</v>
      </c>
      <c r="C404" t="s">
        <v>202</v>
      </c>
      <c r="D404" t="s">
        <v>123</v>
      </c>
      <c r="E404">
        <v>1.43625</v>
      </c>
      <c r="F404">
        <v>9.4999999999999964</v>
      </c>
      <c r="G404">
        <v>45.925000000000004</v>
      </c>
      <c r="H404">
        <v>1.8370000000000002</v>
      </c>
      <c r="I404">
        <v>0</v>
      </c>
      <c r="J404">
        <v>6.3749999999999973</v>
      </c>
      <c r="K404" t="s">
        <v>41</v>
      </c>
    </row>
    <row r="405" spans="1:11" x14ac:dyDescent="0.25">
      <c r="A405" s="374">
        <v>46245</v>
      </c>
      <c r="B405" t="s">
        <v>15</v>
      </c>
      <c r="C405" t="s">
        <v>195</v>
      </c>
      <c r="D405" t="s">
        <v>122</v>
      </c>
      <c r="E405">
        <v>1.5225</v>
      </c>
      <c r="F405">
        <v>8.6249999999999929</v>
      </c>
      <c r="G405">
        <v>54.55</v>
      </c>
      <c r="H405">
        <v>2.1819999999999999</v>
      </c>
      <c r="I405">
        <v>0</v>
      </c>
      <c r="J405">
        <v>6.0000000000000053</v>
      </c>
      <c r="K405" t="s">
        <v>41</v>
      </c>
    </row>
    <row r="406" spans="1:11" x14ac:dyDescent="0.25">
      <c r="A406" s="374">
        <v>46245</v>
      </c>
      <c r="B406" t="s">
        <v>16</v>
      </c>
      <c r="C406" t="s">
        <v>208</v>
      </c>
      <c r="D406" t="s">
        <v>209</v>
      </c>
      <c r="E406">
        <v>1.59375</v>
      </c>
      <c r="F406">
        <v>7.1250000000000036</v>
      </c>
      <c r="G406">
        <v>61.675000000000004</v>
      </c>
      <c r="H406">
        <v>2.4670000000000001</v>
      </c>
      <c r="I406">
        <v>0</v>
      </c>
      <c r="J406">
        <v>7.2500000000000009</v>
      </c>
      <c r="K406" t="s">
        <v>41</v>
      </c>
    </row>
    <row r="407" spans="1:11" x14ac:dyDescent="0.25">
      <c r="A407" s="374">
        <v>46245</v>
      </c>
      <c r="B407" t="s">
        <v>18</v>
      </c>
      <c r="C407" t="s">
        <v>210</v>
      </c>
      <c r="D407" t="s">
        <v>207</v>
      </c>
      <c r="E407">
        <v>1.655</v>
      </c>
      <c r="F407">
        <v>6.1250000000000027</v>
      </c>
      <c r="G407">
        <v>67.800000000000011</v>
      </c>
      <c r="H407">
        <v>2.7120000000000006</v>
      </c>
      <c r="I407">
        <v>0</v>
      </c>
      <c r="J407">
        <v>7.8750000000000098</v>
      </c>
      <c r="K407" t="s">
        <v>41</v>
      </c>
    </row>
    <row r="408" spans="1:11" x14ac:dyDescent="0.25">
      <c r="A408" s="374">
        <v>46245</v>
      </c>
      <c r="B408" t="s">
        <v>19</v>
      </c>
      <c r="C408" t="s">
        <v>211</v>
      </c>
      <c r="D408" t="s">
        <v>212</v>
      </c>
      <c r="E408">
        <v>1.7275</v>
      </c>
      <c r="F408">
        <v>7.2500000000000009</v>
      </c>
      <c r="G408">
        <v>75.050000000000011</v>
      </c>
      <c r="H408">
        <v>3.0020000000000007</v>
      </c>
      <c r="I408">
        <v>0</v>
      </c>
      <c r="J408">
        <v>9.0000000000000071</v>
      </c>
      <c r="K408" t="s">
        <v>41</v>
      </c>
    </row>
    <row r="409" spans="1:11" x14ac:dyDescent="0.25">
      <c r="A409" s="374">
        <v>46245</v>
      </c>
      <c r="I409">
        <v>0</v>
      </c>
      <c r="J409">
        <v>0</v>
      </c>
      <c r="K409">
        <v>0</v>
      </c>
    </row>
    <row r="410" spans="1:11" x14ac:dyDescent="0.25">
      <c r="A410" s="374">
        <v>46245</v>
      </c>
      <c r="I410">
        <v>0</v>
      </c>
      <c r="J410">
        <v>0</v>
      </c>
      <c r="K410">
        <v>0</v>
      </c>
    </row>
    <row r="411" spans="1:11" x14ac:dyDescent="0.25">
      <c r="A411" s="374">
        <v>46245</v>
      </c>
      <c r="I411">
        <v>0</v>
      </c>
      <c r="J411">
        <v>0</v>
      </c>
      <c r="K411">
        <v>0</v>
      </c>
    </row>
    <row r="412" spans="1:11" x14ac:dyDescent="0.25">
      <c r="A412" s="374">
        <v>46245</v>
      </c>
      <c r="I412">
        <v>0</v>
      </c>
      <c r="J412">
        <v>0</v>
      </c>
      <c r="K412">
        <v>0</v>
      </c>
    </row>
    <row r="413" spans="1:11" x14ac:dyDescent="0.25">
      <c r="A413" s="374">
        <v>46246</v>
      </c>
      <c r="B413" t="s">
        <v>10</v>
      </c>
      <c r="C413" t="s">
        <v>183</v>
      </c>
      <c r="D413" t="s">
        <v>184</v>
      </c>
      <c r="E413">
        <v>1.1737500000000001</v>
      </c>
      <c r="F413">
        <v>19.675000000000008</v>
      </c>
      <c r="G413">
        <v>19.675000000000008</v>
      </c>
      <c r="H413">
        <v>0.78700000000000037</v>
      </c>
      <c r="I413">
        <v>3.5000000000000142</v>
      </c>
      <c r="J413">
        <v>3.8750000000000062</v>
      </c>
      <c r="K413">
        <v>13.375000000000004</v>
      </c>
    </row>
    <row r="414" spans="1:11" x14ac:dyDescent="0.25">
      <c r="A414" s="374">
        <v>46246</v>
      </c>
      <c r="B414" t="s">
        <v>12</v>
      </c>
      <c r="C414" t="s">
        <v>185</v>
      </c>
      <c r="D414" t="s">
        <v>180</v>
      </c>
      <c r="E414">
        <v>1.22875</v>
      </c>
      <c r="F414">
        <v>5.4999999999999938</v>
      </c>
      <c r="G414">
        <v>25.175000000000004</v>
      </c>
      <c r="H414">
        <v>1.0070000000000001</v>
      </c>
      <c r="I414">
        <v>1.2499999999999956</v>
      </c>
      <c r="J414">
        <v>0.62500000000000888</v>
      </c>
      <c r="K414">
        <v>8.6249999999999929</v>
      </c>
    </row>
    <row r="415" spans="1:11" x14ac:dyDescent="0.25">
      <c r="A415" s="374">
        <v>46246</v>
      </c>
      <c r="B415" t="s">
        <v>13</v>
      </c>
      <c r="C415" t="s">
        <v>187</v>
      </c>
      <c r="D415" t="s">
        <v>194</v>
      </c>
      <c r="E415">
        <v>1.37</v>
      </c>
      <c r="F415">
        <v>14.125000000000011</v>
      </c>
      <c r="G415">
        <v>39.300000000000011</v>
      </c>
      <c r="H415">
        <v>1.5720000000000005</v>
      </c>
      <c r="I415">
        <v>2.8750000000000053</v>
      </c>
      <c r="J415">
        <v>5.2500000000000213</v>
      </c>
      <c r="K415">
        <v>15.125000000000011</v>
      </c>
    </row>
    <row r="416" spans="1:11" x14ac:dyDescent="0.25">
      <c r="A416" s="374">
        <v>46246</v>
      </c>
      <c r="B416" t="s">
        <v>28</v>
      </c>
      <c r="C416" t="s">
        <v>202</v>
      </c>
      <c r="D416" t="s">
        <v>123</v>
      </c>
      <c r="E416">
        <v>1.4624999999999999</v>
      </c>
      <c r="F416">
        <v>9.2499999999999805</v>
      </c>
      <c r="G416">
        <v>48.54999999999999</v>
      </c>
      <c r="H416">
        <v>1.9419999999999995</v>
      </c>
      <c r="I416">
        <v>2.6249999999999885</v>
      </c>
      <c r="J416">
        <v>6.7499999999999893</v>
      </c>
      <c r="K416" t="s">
        <v>41</v>
      </c>
    </row>
    <row r="417" spans="1:11" x14ac:dyDescent="0.25">
      <c r="A417" s="374">
        <v>46246</v>
      </c>
      <c r="B417" t="s">
        <v>15</v>
      </c>
      <c r="C417" t="s">
        <v>195</v>
      </c>
      <c r="D417" t="s">
        <v>122</v>
      </c>
      <c r="E417">
        <v>1.5575000000000001</v>
      </c>
      <c r="F417">
        <v>9.5000000000000195</v>
      </c>
      <c r="G417">
        <v>58.050000000000011</v>
      </c>
      <c r="H417">
        <v>2.3220000000000005</v>
      </c>
      <c r="I417">
        <v>3.5000000000000142</v>
      </c>
      <c r="J417">
        <v>8.2500000000000018</v>
      </c>
      <c r="K417" t="s">
        <v>41</v>
      </c>
    </row>
    <row r="418" spans="1:11" x14ac:dyDescent="0.25">
      <c r="A418" s="374">
        <v>46246</v>
      </c>
      <c r="B418" t="s">
        <v>16</v>
      </c>
      <c r="C418" t="s">
        <v>208</v>
      </c>
      <c r="D418" t="s">
        <v>209</v>
      </c>
      <c r="E418">
        <v>1.6387499999999999</v>
      </c>
      <c r="F418">
        <v>8.1249999999999822</v>
      </c>
      <c r="G418">
        <v>66.174999999999997</v>
      </c>
      <c r="H418">
        <v>2.6469999999999998</v>
      </c>
      <c r="I418">
        <v>4.4999999999999929</v>
      </c>
      <c r="J418">
        <v>10.375</v>
      </c>
      <c r="K418" t="s">
        <v>41</v>
      </c>
    </row>
    <row r="419" spans="1:11" x14ac:dyDescent="0.25">
      <c r="A419" s="374">
        <v>46246</v>
      </c>
      <c r="B419" t="s">
        <v>18</v>
      </c>
      <c r="C419" t="s">
        <v>210</v>
      </c>
      <c r="D419" t="s">
        <v>207</v>
      </c>
      <c r="E419">
        <v>1.7012499999999999</v>
      </c>
      <c r="F419">
        <v>6.25</v>
      </c>
      <c r="G419">
        <v>72.424999999999997</v>
      </c>
      <c r="H419">
        <v>2.8969999999999998</v>
      </c>
      <c r="I419">
        <v>4.6249999999999902</v>
      </c>
      <c r="J419">
        <v>11.124999999999986</v>
      </c>
      <c r="K419" t="s">
        <v>41</v>
      </c>
    </row>
    <row r="420" spans="1:11" x14ac:dyDescent="0.25">
      <c r="A420" s="374">
        <v>46246</v>
      </c>
      <c r="B420" t="s">
        <v>19</v>
      </c>
      <c r="C420" t="s">
        <v>211</v>
      </c>
      <c r="D420" t="s">
        <v>212</v>
      </c>
      <c r="E420">
        <v>1.76125</v>
      </c>
      <c r="F420">
        <v>6.0000000000000053</v>
      </c>
      <c r="G420">
        <v>78.424999999999997</v>
      </c>
      <c r="H420">
        <v>3.137</v>
      </c>
      <c r="I420">
        <v>3.3749999999999947</v>
      </c>
      <c r="J420">
        <v>7.7499999999999902</v>
      </c>
      <c r="K420" t="s">
        <v>41</v>
      </c>
    </row>
    <row r="421" spans="1:11" x14ac:dyDescent="0.25">
      <c r="A421" s="374">
        <v>46246</v>
      </c>
      <c r="I421">
        <v>0</v>
      </c>
      <c r="J421">
        <v>0</v>
      </c>
      <c r="K421">
        <v>0</v>
      </c>
    </row>
    <row r="422" spans="1:11" x14ac:dyDescent="0.25">
      <c r="A422" s="374">
        <v>46246</v>
      </c>
      <c r="I422">
        <v>0</v>
      </c>
      <c r="J422">
        <v>0</v>
      </c>
      <c r="K422">
        <v>0</v>
      </c>
    </row>
    <row r="423" spans="1:11" x14ac:dyDescent="0.25">
      <c r="A423" s="374">
        <v>46246</v>
      </c>
      <c r="I423">
        <v>0</v>
      </c>
      <c r="J423">
        <v>0</v>
      </c>
      <c r="K423">
        <v>0</v>
      </c>
    </row>
    <row r="424" spans="1:11" x14ac:dyDescent="0.25">
      <c r="A424" s="374">
        <v>46246</v>
      </c>
      <c r="I424">
        <v>0</v>
      </c>
      <c r="J424">
        <v>0</v>
      </c>
      <c r="K424">
        <v>0</v>
      </c>
    </row>
    <row r="425" spans="1:11" x14ac:dyDescent="0.25">
      <c r="A425" s="374">
        <v>46247</v>
      </c>
      <c r="B425" t="s">
        <v>10</v>
      </c>
      <c r="C425" t="s">
        <v>183</v>
      </c>
      <c r="D425" t="s">
        <v>184</v>
      </c>
      <c r="E425">
        <v>1.16875</v>
      </c>
      <c r="F425">
        <v>19.174999999999997</v>
      </c>
      <c r="G425">
        <v>19.174999999999997</v>
      </c>
      <c r="H425">
        <v>0.7669999999999999</v>
      </c>
      <c r="I425">
        <v>-0.50000000000001155</v>
      </c>
      <c r="J425">
        <v>3.125</v>
      </c>
      <c r="K425">
        <v>12.624999999999996</v>
      </c>
    </row>
    <row r="426" spans="1:11" x14ac:dyDescent="0.25">
      <c r="A426" s="374">
        <v>46247</v>
      </c>
      <c r="B426" t="s">
        <v>12</v>
      </c>
      <c r="C426" t="s">
        <v>185</v>
      </c>
      <c r="D426" t="s">
        <v>180</v>
      </c>
      <c r="E426">
        <v>1.23</v>
      </c>
      <c r="F426">
        <v>6.1250000000000027</v>
      </c>
      <c r="G426">
        <v>25.3</v>
      </c>
      <c r="H426">
        <v>1.012</v>
      </c>
      <c r="I426">
        <v>0.12499999999999734</v>
      </c>
      <c r="J426">
        <v>0.87500000000000355</v>
      </c>
      <c r="K426">
        <v>8.1250000000000036</v>
      </c>
    </row>
    <row r="427" spans="1:11" x14ac:dyDescent="0.25">
      <c r="A427" s="374">
        <v>46247</v>
      </c>
      <c r="B427" t="s">
        <v>13</v>
      </c>
      <c r="C427" t="s">
        <v>187</v>
      </c>
      <c r="D427" t="s">
        <v>194</v>
      </c>
      <c r="E427">
        <v>1.3712500000000001</v>
      </c>
      <c r="F427">
        <v>14.125000000000011</v>
      </c>
      <c r="G427">
        <v>39.425000000000011</v>
      </c>
      <c r="H427">
        <v>1.5770000000000004</v>
      </c>
      <c r="I427">
        <v>0.12499999999999734</v>
      </c>
      <c r="J427">
        <v>5.500000000000016</v>
      </c>
      <c r="K427">
        <v>14.375000000000004</v>
      </c>
    </row>
    <row r="428" spans="1:11" x14ac:dyDescent="0.25">
      <c r="A428" s="374">
        <v>46247</v>
      </c>
      <c r="B428" t="s">
        <v>28</v>
      </c>
      <c r="C428" t="s">
        <v>202</v>
      </c>
      <c r="D428" t="s">
        <v>123</v>
      </c>
      <c r="E428">
        <v>1.4637500000000001</v>
      </c>
      <c r="F428">
        <v>9.2500000000000036</v>
      </c>
      <c r="G428">
        <v>48.675000000000011</v>
      </c>
      <c r="H428">
        <v>1.9470000000000005</v>
      </c>
      <c r="I428">
        <v>0.12500000000001954</v>
      </c>
      <c r="J428">
        <v>6.0000000000000053</v>
      </c>
      <c r="K428" t="s">
        <v>41</v>
      </c>
    </row>
    <row r="429" spans="1:11" x14ac:dyDescent="0.25">
      <c r="A429" s="374">
        <v>46247</v>
      </c>
      <c r="B429" t="s">
        <v>15</v>
      </c>
      <c r="C429" t="s">
        <v>195</v>
      </c>
      <c r="D429" t="s">
        <v>122</v>
      </c>
      <c r="E429">
        <v>1.56125</v>
      </c>
      <c r="F429">
        <v>9.7499999999999929</v>
      </c>
      <c r="G429">
        <v>58.425000000000004</v>
      </c>
      <c r="H429">
        <v>2.3370000000000002</v>
      </c>
      <c r="I429">
        <v>0.37499999999999201</v>
      </c>
      <c r="J429">
        <v>7.4999999999999956</v>
      </c>
      <c r="K429" t="s">
        <v>41</v>
      </c>
    </row>
    <row r="430" spans="1:11" x14ac:dyDescent="0.25">
      <c r="A430" s="374">
        <v>46247</v>
      </c>
      <c r="B430" t="s">
        <v>16</v>
      </c>
      <c r="C430" t="s">
        <v>208</v>
      </c>
      <c r="D430" t="s">
        <v>209</v>
      </c>
      <c r="E430">
        <v>1.6425000000000001</v>
      </c>
      <c r="F430">
        <v>8.1250000000000036</v>
      </c>
      <c r="G430">
        <v>66.550000000000011</v>
      </c>
      <c r="H430">
        <v>2.6620000000000004</v>
      </c>
      <c r="I430">
        <v>0.37500000000001421</v>
      </c>
      <c r="J430">
        <v>9.0000000000000071</v>
      </c>
      <c r="K430" t="s">
        <v>41</v>
      </c>
    </row>
    <row r="431" spans="1:11" x14ac:dyDescent="0.25">
      <c r="A431" s="374">
        <v>46247</v>
      </c>
      <c r="B431" t="s">
        <v>18</v>
      </c>
      <c r="C431" t="s">
        <v>210</v>
      </c>
      <c r="D431" t="s">
        <v>207</v>
      </c>
      <c r="E431">
        <v>1.70875</v>
      </c>
      <c r="F431">
        <v>6.624999999999992</v>
      </c>
      <c r="G431">
        <v>73.174999999999997</v>
      </c>
      <c r="H431">
        <v>2.927</v>
      </c>
      <c r="I431">
        <v>0.75000000000000622</v>
      </c>
      <c r="J431">
        <v>10.624999999999996</v>
      </c>
      <c r="K431" t="s">
        <v>41</v>
      </c>
    </row>
    <row r="432" spans="1:11" x14ac:dyDescent="0.25">
      <c r="A432" s="374">
        <v>46247</v>
      </c>
      <c r="B432" t="s">
        <v>19</v>
      </c>
      <c r="C432" t="s">
        <v>211</v>
      </c>
      <c r="D432" t="s">
        <v>212</v>
      </c>
      <c r="E432">
        <v>1.7725</v>
      </c>
      <c r="F432">
        <v>6.3749999999999973</v>
      </c>
      <c r="G432">
        <v>79.55</v>
      </c>
      <c r="H432">
        <v>3.1819999999999999</v>
      </c>
      <c r="I432">
        <v>1.1249999999999982</v>
      </c>
      <c r="J432">
        <v>9.6249999999999947</v>
      </c>
      <c r="K432" t="s">
        <v>41</v>
      </c>
    </row>
    <row r="433" spans="1:11" x14ac:dyDescent="0.25">
      <c r="A433" s="374">
        <v>46247</v>
      </c>
      <c r="I433">
        <v>0</v>
      </c>
      <c r="J433">
        <v>0</v>
      </c>
      <c r="K433">
        <v>0</v>
      </c>
    </row>
    <row r="434" spans="1:11" x14ac:dyDescent="0.25">
      <c r="A434" s="374">
        <v>46247</v>
      </c>
      <c r="I434">
        <v>0</v>
      </c>
      <c r="J434">
        <v>0</v>
      </c>
      <c r="K434">
        <v>0</v>
      </c>
    </row>
    <row r="435" spans="1:11" x14ac:dyDescent="0.25">
      <c r="A435" s="374">
        <v>46247</v>
      </c>
      <c r="I435">
        <v>0</v>
      </c>
      <c r="J435">
        <v>0</v>
      </c>
      <c r="K435">
        <v>0</v>
      </c>
    </row>
    <row r="436" spans="1:11" x14ac:dyDescent="0.25">
      <c r="A436" s="374">
        <v>46247</v>
      </c>
      <c r="I436">
        <v>0</v>
      </c>
      <c r="J436">
        <v>0</v>
      </c>
      <c r="K436">
        <v>0</v>
      </c>
    </row>
    <row r="437" spans="1:11" x14ac:dyDescent="0.25">
      <c r="A437" s="374">
        <v>46248</v>
      </c>
      <c r="B437" t="s">
        <v>10</v>
      </c>
      <c r="C437" t="s">
        <v>183</v>
      </c>
      <c r="D437" t="s">
        <v>184</v>
      </c>
      <c r="E437">
        <v>1.17875</v>
      </c>
      <c r="F437">
        <v>20.174999999999997</v>
      </c>
      <c r="G437">
        <v>20.174999999999997</v>
      </c>
      <c r="H437">
        <v>0.80699999999999994</v>
      </c>
      <c r="I437">
        <v>1.0000000000000009</v>
      </c>
      <c r="J437">
        <v>3.6249999999999893</v>
      </c>
      <c r="K437">
        <v>13.375000000000004</v>
      </c>
    </row>
    <row r="438" spans="1:11" x14ac:dyDescent="0.25">
      <c r="A438" s="374">
        <v>46248</v>
      </c>
      <c r="B438" t="s">
        <v>12</v>
      </c>
      <c r="C438" t="s">
        <v>185</v>
      </c>
      <c r="D438" t="s">
        <v>180</v>
      </c>
      <c r="E438">
        <v>1.2450000000000001</v>
      </c>
      <c r="F438">
        <v>6.6250000000000142</v>
      </c>
      <c r="G438">
        <v>26.800000000000011</v>
      </c>
      <c r="H438">
        <v>1.0720000000000005</v>
      </c>
      <c r="I438">
        <v>1.5000000000000124</v>
      </c>
      <c r="J438">
        <v>2.6250000000000107</v>
      </c>
      <c r="K438">
        <v>9.0000000000000071</v>
      </c>
    </row>
    <row r="439" spans="1:11" x14ac:dyDescent="0.25">
      <c r="A439" s="374">
        <v>46248</v>
      </c>
      <c r="B439" t="s">
        <v>13</v>
      </c>
      <c r="C439" t="s">
        <v>187</v>
      </c>
      <c r="D439" t="s">
        <v>194</v>
      </c>
      <c r="E439">
        <v>1.38375</v>
      </c>
      <c r="F439">
        <v>13.874999999999993</v>
      </c>
      <c r="G439">
        <v>40.675000000000004</v>
      </c>
      <c r="H439">
        <v>1.6270000000000002</v>
      </c>
      <c r="I439">
        <v>1.2499999999999956</v>
      </c>
      <c r="J439">
        <v>5.3749999999999964</v>
      </c>
      <c r="K439">
        <v>15.874999999999995</v>
      </c>
    </row>
    <row r="440" spans="1:11" x14ac:dyDescent="0.25">
      <c r="A440" s="374">
        <v>46248</v>
      </c>
      <c r="B440" t="s">
        <v>28</v>
      </c>
      <c r="C440" t="s">
        <v>202</v>
      </c>
      <c r="D440" t="s">
        <v>123</v>
      </c>
      <c r="E440">
        <v>1.4737499999999999</v>
      </c>
      <c r="F440">
        <v>8.9999999999999858</v>
      </c>
      <c r="G440">
        <v>49.67499999999999</v>
      </c>
      <c r="H440">
        <v>1.9869999999999997</v>
      </c>
      <c r="I440">
        <v>0.99999999999997868</v>
      </c>
      <c r="J440">
        <v>4.4999999999999929</v>
      </c>
      <c r="K440" t="s">
        <v>41</v>
      </c>
    </row>
    <row r="441" spans="1:11" x14ac:dyDescent="0.25">
      <c r="A441" s="374">
        <v>46248</v>
      </c>
      <c r="B441" t="s">
        <v>15</v>
      </c>
      <c r="C441" t="s">
        <v>195</v>
      </c>
      <c r="D441" t="s">
        <v>122</v>
      </c>
      <c r="E441">
        <v>1.57125</v>
      </c>
      <c r="F441">
        <v>9.7500000000000142</v>
      </c>
      <c r="G441">
        <v>59.425000000000004</v>
      </c>
      <c r="H441">
        <v>2.3770000000000002</v>
      </c>
      <c r="I441">
        <v>1.0000000000000009</v>
      </c>
      <c r="J441">
        <v>6.0000000000000053</v>
      </c>
      <c r="K441" t="s">
        <v>41</v>
      </c>
    </row>
    <row r="442" spans="1:11" x14ac:dyDescent="0.25">
      <c r="A442" s="374">
        <v>46248</v>
      </c>
      <c r="B442" t="s">
        <v>16</v>
      </c>
      <c r="C442" t="s">
        <v>208</v>
      </c>
      <c r="D442" t="s">
        <v>209</v>
      </c>
      <c r="E442">
        <v>1.65</v>
      </c>
      <c r="F442">
        <v>7.8749999999999876</v>
      </c>
      <c r="G442">
        <v>67.3</v>
      </c>
      <c r="H442">
        <v>2.6919999999999997</v>
      </c>
      <c r="I442">
        <v>0.74999999999998401</v>
      </c>
      <c r="J442">
        <v>5.8749999999999858</v>
      </c>
      <c r="K442" t="s">
        <v>41</v>
      </c>
    </row>
    <row r="443" spans="1:11" x14ac:dyDescent="0.25">
      <c r="A443" s="374">
        <v>46248</v>
      </c>
      <c r="B443" t="s">
        <v>18</v>
      </c>
      <c r="C443" t="s">
        <v>210</v>
      </c>
      <c r="D443" t="s">
        <v>207</v>
      </c>
      <c r="E443">
        <v>1.7124999999999999</v>
      </c>
      <c r="F443">
        <v>6.25</v>
      </c>
      <c r="G443">
        <v>73.55</v>
      </c>
      <c r="H443">
        <v>2.9419999999999997</v>
      </c>
      <c r="I443">
        <v>0.37499999999999201</v>
      </c>
      <c r="J443">
        <v>6.25</v>
      </c>
      <c r="K443" t="s">
        <v>41</v>
      </c>
    </row>
    <row r="444" spans="1:11" x14ac:dyDescent="0.25">
      <c r="A444" s="374">
        <v>46248</v>
      </c>
      <c r="B444" t="s">
        <v>19</v>
      </c>
      <c r="C444" t="s">
        <v>211</v>
      </c>
      <c r="D444" t="s">
        <v>212</v>
      </c>
      <c r="E444">
        <v>1.77125</v>
      </c>
      <c r="F444">
        <v>5.875000000000008</v>
      </c>
      <c r="G444">
        <v>79.424999999999997</v>
      </c>
      <c r="H444">
        <v>3.177</v>
      </c>
      <c r="I444">
        <v>-0.12499999999999734</v>
      </c>
      <c r="J444">
        <v>4.8750000000000071</v>
      </c>
      <c r="K444" t="s">
        <v>41</v>
      </c>
    </row>
    <row r="445" spans="1:11" x14ac:dyDescent="0.25">
      <c r="A445" s="374">
        <v>46248</v>
      </c>
      <c r="I445">
        <v>0</v>
      </c>
      <c r="J445">
        <v>0</v>
      </c>
      <c r="K445">
        <v>0</v>
      </c>
    </row>
    <row r="446" spans="1:11" x14ac:dyDescent="0.25">
      <c r="A446" s="374">
        <v>46248</v>
      </c>
      <c r="I446">
        <v>0</v>
      </c>
      <c r="J446">
        <v>0</v>
      </c>
      <c r="K446">
        <v>0</v>
      </c>
    </row>
    <row r="447" spans="1:11" x14ac:dyDescent="0.25">
      <c r="A447" s="374">
        <v>46248</v>
      </c>
      <c r="I447">
        <v>0</v>
      </c>
      <c r="J447">
        <v>0</v>
      </c>
      <c r="K447">
        <v>0</v>
      </c>
    </row>
    <row r="448" spans="1:11" x14ac:dyDescent="0.25">
      <c r="A448" s="374">
        <v>46248</v>
      </c>
      <c r="I448">
        <v>0</v>
      </c>
      <c r="J448">
        <v>0</v>
      </c>
      <c r="K448">
        <v>0</v>
      </c>
    </row>
    <row r="449" spans="1:11" x14ac:dyDescent="0.25">
      <c r="A449" s="374">
        <v>46251</v>
      </c>
      <c r="B449" t="s">
        <v>10</v>
      </c>
      <c r="C449" t="s">
        <v>183</v>
      </c>
      <c r="D449" t="s">
        <v>184</v>
      </c>
      <c r="E449">
        <v>1.17</v>
      </c>
      <c r="F449">
        <v>19.299999999999994</v>
      </c>
      <c r="G449">
        <v>19.299999999999994</v>
      </c>
      <c r="H449">
        <v>0.7719999999999998</v>
      </c>
      <c r="I449">
        <v>-0.87500000000000355</v>
      </c>
      <c r="J449">
        <v>3.125</v>
      </c>
      <c r="K449">
        <v>13.5</v>
      </c>
    </row>
    <row r="450" spans="1:11" x14ac:dyDescent="0.25">
      <c r="A450" s="374">
        <v>46251</v>
      </c>
      <c r="B450" t="s">
        <v>12</v>
      </c>
      <c r="C450" t="s">
        <v>185</v>
      </c>
      <c r="D450" t="s">
        <v>180</v>
      </c>
      <c r="E450">
        <v>1.2437499999999999</v>
      </c>
      <c r="F450">
        <v>7.3749999999999982</v>
      </c>
      <c r="G450">
        <v>26.674999999999994</v>
      </c>
      <c r="H450">
        <v>1.0669999999999997</v>
      </c>
      <c r="I450">
        <v>-0.12500000000001954</v>
      </c>
      <c r="J450">
        <v>2.7499999999999858</v>
      </c>
      <c r="K450">
        <v>9.7499999999999929</v>
      </c>
    </row>
    <row r="451" spans="1:11" x14ac:dyDescent="0.25">
      <c r="A451" s="374">
        <v>46251</v>
      </c>
      <c r="B451" t="s">
        <v>13</v>
      </c>
      <c r="C451" t="s">
        <v>187</v>
      </c>
      <c r="D451" t="s">
        <v>194</v>
      </c>
      <c r="E451">
        <v>1.3825000000000001</v>
      </c>
      <c r="F451">
        <v>13.875000000000014</v>
      </c>
      <c r="G451">
        <v>40.550000000000011</v>
      </c>
      <c r="H451">
        <v>1.6220000000000006</v>
      </c>
      <c r="I451">
        <v>-0.12499999999999734</v>
      </c>
      <c r="J451">
        <v>4.1250000000000009</v>
      </c>
      <c r="K451">
        <v>17.000000000000014</v>
      </c>
    </row>
    <row r="452" spans="1:11" x14ac:dyDescent="0.25">
      <c r="A452" s="374">
        <v>46251</v>
      </c>
      <c r="B452" t="s">
        <v>28</v>
      </c>
      <c r="C452" t="s">
        <v>202</v>
      </c>
      <c r="D452" t="s">
        <v>123</v>
      </c>
      <c r="E452">
        <v>1.4762500000000001</v>
      </c>
      <c r="F452">
        <v>9.375</v>
      </c>
      <c r="G452">
        <v>49.925000000000011</v>
      </c>
      <c r="H452">
        <v>1.9970000000000006</v>
      </c>
      <c r="I452">
        <v>0.25000000000001688</v>
      </c>
      <c r="J452">
        <v>4.0000000000000036</v>
      </c>
      <c r="K452" t="s">
        <v>41</v>
      </c>
    </row>
    <row r="453" spans="1:11" x14ac:dyDescent="0.25">
      <c r="A453" s="374">
        <v>46251</v>
      </c>
      <c r="B453" t="s">
        <v>15</v>
      </c>
      <c r="C453" t="s">
        <v>195</v>
      </c>
      <c r="D453" t="s">
        <v>122</v>
      </c>
      <c r="E453">
        <v>1.58125</v>
      </c>
      <c r="F453">
        <v>10.499999999999998</v>
      </c>
      <c r="G453">
        <v>60.425000000000004</v>
      </c>
      <c r="H453">
        <v>2.4170000000000003</v>
      </c>
      <c r="I453">
        <v>1.0000000000000009</v>
      </c>
      <c r="J453">
        <v>5.875000000000008</v>
      </c>
      <c r="K453" t="s">
        <v>41</v>
      </c>
    </row>
    <row r="454" spans="1:11" x14ac:dyDescent="0.25">
      <c r="A454" s="374">
        <v>46251</v>
      </c>
      <c r="B454" t="s">
        <v>16</v>
      </c>
      <c r="C454" t="s">
        <v>208</v>
      </c>
      <c r="D454" t="s">
        <v>209</v>
      </c>
      <c r="E454">
        <v>1.6575</v>
      </c>
      <c r="F454">
        <v>7.6249999999999929</v>
      </c>
      <c r="G454">
        <v>68.05</v>
      </c>
      <c r="H454">
        <v>2.722</v>
      </c>
      <c r="I454">
        <v>0.75000000000000622</v>
      </c>
      <c r="J454">
        <v>6.3749999999999973</v>
      </c>
      <c r="K454" t="s">
        <v>41</v>
      </c>
    </row>
    <row r="455" spans="1:11" x14ac:dyDescent="0.25">
      <c r="A455" s="374">
        <v>46251</v>
      </c>
      <c r="B455" t="s">
        <v>18</v>
      </c>
      <c r="C455" t="s">
        <v>210</v>
      </c>
      <c r="D455" t="s">
        <v>207</v>
      </c>
      <c r="E455">
        <v>1.71875</v>
      </c>
      <c r="F455">
        <v>6.1250000000000027</v>
      </c>
      <c r="G455">
        <v>74.174999999999997</v>
      </c>
      <c r="H455">
        <v>2.9670000000000001</v>
      </c>
      <c r="I455">
        <v>0.62500000000000888</v>
      </c>
      <c r="J455">
        <v>6.3749999999999973</v>
      </c>
      <c r="K455" t="s">
        <v>41</v>
      </c>
    </row>
    <row r="456" spans="1:11" x14ac:dyDescent="0.25">
      <c r="A456" s="374">
        <v>46251</v>
      </c>
      <c r="B456" t="s">
        <v>19</v>
      </c>
      <c r="C456" t="s">
        <v>211</v>
      </c>
      <c r="D456" t="s">
        <v>212</v>
      </c>
      <c r="E456">
        <v>1.78</v>
      </c>
      <c r="F456">
        <v>6.1250000000000027</v>
      </c>
      <c r="G456">
        <v>80.300000000000011</v>
      </c>
      <c r="H456">
        <v>3.2120000000000006</v>
      </c>
      <c r="I456">
        <v>0.87500000000000355</v>
      </c>
      <c r="J456">
        <v>5.2499999999999991</v>
      </c>
      <c r="K456" t="s">
        <v>41</v>
      </c>
    </row>
    <row r="457" spans="1:11" x14ac:dyDescent="0.25">
      <c r="A457" s="374">
        <v>46251</v>
      </c>
      <c r="I457">
        <v>0</v>
      </c>
      <c r="J457">
        <v>0</v>
      </c>
      <c r="K457">
        <v>0</v>
      </c>
    </row>
    <row r="458" spans="1:11" x14ac:dyDescent="0.25">
      <c r="A458" s="374">
        <v>46251</v>
      </c>
      <c r="I458">
        <v>0</v>
      </c>
      <c r="J458">
        <v>0</v>
      </c>
      <c r="K458">
        <v>0</v>
      </c>
    </row>
    <row r="459" spans="1:11" x14ac:dyDescent="0.25">
      <c r="A459" s="374">
        <v>46251</v>
      </c>
      <c r="I459">
        <v>0</v>
      </c>
      <c r="J459">
        <v>0</v>
      </c>
      <c r="K459">
        <v>0</v>
      </c>
    </row>
    <row r="460" spans="1:11" x14ac:dyDescent="0.25">
      <c r="A460" s="374">
        <v>46251</v>
      </c>
      <c r="I460">
        <v>0</v>
      </c>
      <c r="J460">
        <v>0</v>
      </c>
      <c r="K460">
        <v>0</v>
      </c>
    </row>
    <row r="461" spans="1:11" x14ac:dyDescent="0.25">
      <c r="A461" s="374">
        <v>46252</v>
      </c>
      <c r="B461" t="s">
        <v>10</v>
      </c>
      <c r="C461" t="s">
        <v>183</v>
      </c>
      <c r="D461" t="s">
        <v>184</v>
      </c>
      <c r="E461">
        <v>1.18</v>
      </c>
      <c r="F461">
        <v>20.299999999999997</v>
      </c>
      <c r="G461">
        <v>20.299999999999997</v>
      </c>
      <c r="H461">
        <v>0.81199999999999983</v>
      </c>
      <c r="I461">
        <v>1.0000000000000009</v>
      </c>
      <c r="J461">
        <v>4.1250000000000009</v>
      </c>
      <c r="K461">
        <v>13.874999999999993</v>
      </c>
    </row>
    <row r="462" spans="1:11" x14ac:dyDescent="0.25">
      <c r="A462" s="374">
        <v>46252</v>
      </c>
      <c r="B462" t="s">
        <v>12</v>
      </c>
      <c r="C462" t="s">
        <v>185</v>
      </c>
      <c r="D462" t="s">
        <v>180</v>
      </c>
      <c r="E462">
        <v>1.24</v>
      </c>
      <c r="F462">
        <v>6.0000000000000053</v>
      </c>
      <c r="G462">
        <v>26.3</v>
      </c>
      <c r="H462">
        <v>1.052</v>
      </c>
      <c r="I462">
        <v>-0.37499999999999201</v>
      </c>
      <c r="J462">
        <v>2.3749999999999938</v>
      </c>
      <c r="K462">
        <v>8.8749999999999893</v>
      </c>
    </row>
    <row r="463" spans="1:11" x14ac:dyDescent="0.25">
      <c r="A463" s="374">
        <v>46252</v>
      </c>
      <c r="B463" t="s">
        <v>13</v>
      </c>
      <c r="C463" t="s">
        <v>187</v>
      </c>
      <c r="D463" t="s">
        <v>194</v>
      </c>
      <c r="E463">
        <v>1.3687499999999999</v>
      </c>
      <c r="F463">
        <v>12.874999999999993</v>
      </c>
      <c r="G463">
        <v>39.17499999999999</v>
      </c>
      <c r="H463">
        <v>1.5669999999999995</v>
      </c>
      <c r="I463">
        <v>-1.3750000000000151</v>
      </c>
      <c r="J463">
        <v>2.7499999999999858</v>
      </c>
      <c r="K463">
        <v>14.749999999999996</v>
      </c>
    </row>
    <row r="464" spans="1:11" x14ac:dyDescent="0.25">
      <c r="A464" s="374">
        <v>46252</v>
      </c>
      <c r="B464" t="s">
        <v>28</v>
      </c>
      <c r="C464" t="s">
        <v>202</v>
      </c>
      <c r="D464" t="s">
        <v>123</v>
      </c>
      <c r="E464">
        <v>1.4612499999999999</v>
      </c>
      <c r="F464">
        <v>9.2500000000000036</v>
      </c>
      <c r="G464">
        <v>48.424999999999997</v>
      </c>
      <c r="H464">
        <v>1.9369999999999998</v>
      </c>
      <c r="I464">
        <v>-1.5000000000000124</v>
      </c>
      <c r="J464">
        <v>2.4999999999999911</v>
      </c>
      <c r="K464" t="s">
        <v>41</v>
      </c>
    </row>
    <row r="465" spans="1:11" x14ac:dyDescent="0.25">
      <c r="A465" s="374">
        <v>46252</v>
      </c>
      <c r="B465" t="s">
        <v>15</v>
      </c>
      <c r="C465" t="s">
        <v>195</v>
      </c>
      <c r="D465" t="s">
        <v>122</v>
      </c>
      <c r="E465">
        <v>1.56375</v>
      </c>
      <c r="F465">
        <v>10.250000000000004</v>
      </c>
      <c r="G465">
        <v>58.674999999999997</v>
      </c>
      <c r="H465">
        <v>2.347</v>
      </c>
      <c r="I465">
        <v>-1.7500000000000071</v>
      </c>
      <c r="J465">
        <v>4.1250000000000009</v>
      </c>
      <c r="K465" t="s">
        <v>41</v>
      </c>
    </row>
    <row r="466" spans="1:11" x14ac:dyDescent="0.25">
      <c r="A466" s="374">
        <v>46252</v>
      </c>
      <c r="B466" t="s">
        <v>16</v>
      </c>
      <c r="C466" t="s">
        <v>208</v>
      </c>
      <c r="D466" t="s">
        <v>209</v>
      </c>
      <c r="E466">
        <v>1.6425000000000001</v>
      </c>
      <c r="F466">
        <v>7.8750000000000098</v>
      </c>
      <c r="G466">
        <v>66.550000000000011</v>
      </c>
      <c r="H466">
        <v>2.6620000000000004</v>
      </c>
      <c r="I466">
        <v>-1.4999999999999902</v>
      </c>
      <c r="J466">
        <v>4.8750000000000071</v>
      </c>
      <c r="K466" t="s">
        <v>41</v>
      </c>
    </row>
    <row r="467" spans="1:11" x14ac:dyDescent="0.25">
      <c r="A467" s="374">
        <v>46252</v>
      </c>
      <c r="B467" t="s">
        <v>18</v>
      </c>
      <c r="C467" t="s">
        <v>210</v>
      </c>
      <c r="D467" t="s">
        <v>207</v>
      </c>
      <c r="E467">
        <v>1.7124999999999999</v>
      </c>
      <c r="F467">
        <v>6.999999999999984</v>
      </c>
      <c r="G467">
        <v>73.55</v>
      </c>
      <c r="H467">
        <v>2.9419999999999997</v>
      </c>
      <c r="I467">
        <v>-0.62500000000000888</v>
      </c>
      <c r="J467">
        <v>5.7499999999999885</v>
      </c>
      <c r="K467" t="s">
        <v>41</v>
      </c>
    </row>
    <row r="468" spans="1:11" x14ac:dyDescent="0.25">
      <c r="A468" s="374">
        <v>46252</v>
      </c>
      <c r="B468" t="s">
        <v>19</v>
      </c>
      <c r="C468" t="s">
        <v>211</v>
      </c>
      <c r="D468" t="s">
        <v>212</v>
      </c>
      <c r="E468">
        <v>1.7737499999999999</v>
      </c>
      <c r="F468">
        <v>6.1250000000000027</v>
      </c>
      <c r="G468">
        <v>79.674999999999997</v>
      </c>
      <c r="H468">
        <v>3.1869999999999998</v>
      </c>
      <c r="I468">
        <v>-0.62500000000000888</v>
      </c>
      <c r="J468">
        <v>4.6249999999999902</v>
      </c>
      <c r="K468" t="s">
        <v>41</v>
      </c>
    </row>
    <row r="469" spans="1:11" x14ac:dyDescent="0.25">
      <c r="A469" s="374">
        <v>46252</v>
      </c>
      <c r="I469">
        <v>0</v>
      </c>
      <c r="J469">
        <v>0</v>
      </c>
      <c r="K469">
        <v>0</v>
      </c>
    </row>
    <row r="470" spans="1:11" x14ac:dyDescent="0.25">
      <c r="A470" s="374">
        <v>46252</v>
      </c>
      <c r="I470">
        <v>0</v>
      </c>
      <c r="J470">
        <v>0</v>
      </c>
      <c r="K470">
        <v>0</v>
      </c>
    </row>
    <row r="471" spans="1:11" x14ac:dyDescent="0.25">
      <c r="A471" s="374">
        <v>46252</v>
      </c>
      <c r="I471">
        <v>0</v>
      </c>
      <c r="J471">
        <v>0</v>
      </c>
      <c r="K471">
        <v>0</v>
      </c>
    </row>
    <row r="472" spans="1:11" x14ac:dyDescent="0.25">
      <c r="A472" s="374">
        <v>46252</v>
      </c>
      <c r="I472">
        <v>0</v>
      </c>
      <c r="J472">
        <v>0</v>
      </c>
      <c r="K472">
        <v>0</v>
      </c>
    </row>
    <row r="473" spans="1:11" x14ac:dyDescent="0.25">
      <c r="A473" s="374">
        <v>46253</v>
      </c>
      <c r="B473" t="s">
        <v>10</v>
      </c>
      <c r="C473" t="s">
        <v>183</v>
      </c>
      <c r="D473" t="s">
        <v>184</v>
      </c>
      <c r="E473">
        <v>1.1737500000000001</v>
      </c>
      <c r="F473">
        <v>19.675000000000008</v>
      </c>
      <c r="G473">
        <v>19.675000000000008</v>
      </c>
      <c r="H473">
        <v>0.78700000000000037</v>
      </c>
      <c r="I473">
        <v>-0.62499999999998668</v>
      </c>
      <c r="J473">
        <v>0</v>
      </c>
      <c r="K473">
        <v>13.875000000000014</v>
      </c>
    </row>
    <row r="474" spans="1:11" x14ac:dyDescent="0.25">
      <c r="A474" s="374">
        <v>46253</v>
      </c>
      <c r="B474" t="s">
        <v>12</v>
      </c>
      <c r="C474" t="s">
        <v>185</v>
      </c>
      <c r="D474" t="s">
        <v>180</v>
      </c>
      <c r="E474">
        <v>1.2362500000000001</v>
      </c>
      <c r="F474">
        <v>6.25</v>
      </c>
      <c r="G474">
        <v>25.925000000000008</v>
      </c>
      <c r="H474">
        <v>1.0370000000000004</v>
      </c>
      <c r="I474">
        <v>-0.37499999999999201</v>
      </c>
      <c r="J474">
        <v>0.75000000000000622</v>
      </c>
      <c r="K474">
        <v>9.0000000000000071</v>
      </c>
    </row>
    <row r="475" spans="1:11" x14ac:dyDescent="0.25">
      <c r="A475" s="374">
        <v>46253</v>
      </c>
      <c r="B475" t="s">
        <v>13</v>
      </c>
      <c r="C475" t="s">
        <v>187</v>
      </c>
      <c r="D475" t="s">
        <v>194</v>
      </c>
      <c r="E475">
        <v>1.36625</v>
      </c>
      <c r="F475">
        <v>12.999999999999989</v>
      </c>
      <c r="G475">
        <v>38.924999999999997</v>
      </c>
      <c r="H475">
        <v>1.5569999999999999</v>
      </c>
      <c r="I475">
        <v>-0.24999999999999467</v>
      </c>
      <c r="J475">
        <v>-0.37500000000001421</v>
      </c>
      <c r="K475">
        <v>15.375000000000005</v>
      </c>
    </row>
    <row r="476" spans="1:11" x14ac:dyDescent="0.25">
      <c r="A476" s="374">
        <v>46253</v>
      </c>
      <c r="B476" t="s">
        <v>28</v>
      </c>
      <c r="C476" t="s">
        <v>202</v>
      </c>
      <c r="D476" t="s">
        <v>123</v>
      </c>
      <c r="E476">
        <v>1.45875</v>
      </c>
      <c r="F476">
        <v>9.2500000000000036</v>
      </c>
      <c r="G476">
        <v>48.175000000000004</v>
      </c>
      <c r="H476">
        <v>1.9270000000000003</v>
      </c>
      <c r="I476">
        <v>-0.24999999999999467</v>
      </c>
      <c r="J476">
        <v>-0.37499999999999201</v>
      </c>
      <c r="K476" t="s">
        <v>41</v>
      </c>
    </row>
    <row r="477" spans="1:11" x14ac:dyDescent="0.25">
      <c r="A477" s="374">
        <v>46253</v>
      </c>
      <c r="B477" t="s">
        <v>15</v>
      </c>
      <c r="C477" t="s">
        <v>195</v>
      </c>
      <c r="D477" t="s">
        <v>122</v>
      </c>
      <c r="E477">
        <v>1.56</v>
      </c>
      <c r="F477">
        <v>10.125000000000007</v>
      </c>
      <c r="G477">
        <v>58.300000000000004</v>
      </c>
      <c r="H477">
        <v>2.3320000000000003</v>
      </c>
      <c r="I477">
        <v>-0.37499999999999201</v>
      </c>
      <c r="J477">
        <v>0.24999999999999467</v>
      </c>
      <c r="K477" t="s">
        <v>41</v>
      </c>
    </row>
    <row r="478" spans="1:11" x14ac:dyDescent="0.25">
      <c r="A478" s="374">
        <v>46253</v>
      </c>
      <c r="B478" t="s">
        <v>16</v>
      </c>
      <c r="C478" t="s">
        <v>208</v>
      </c>
      <c r="D478" t="s">
        <v>209</v>
      </c>
      <c r="E478">
        <v>1.6375</v>
      </c>
      <c r="F478">
        <v>7.7499999999999902</v>
      </c>
      <c r="G478">
        <v>66.05</v>
      </c>
      <c r="H478">
        <v>2.6419999999999999</v>
      </c>
      <c r="I478">
        <v>-0.50000000000001155</v>
      </c>
      <c r="J478">
        <v>-0.12499999999999734</v>
      </c>
      <c r="K478" t="s">
        <v>41</v>
      </c>
    </row>
    <row r="479" spans="1:11" x14ac:dyDescent="0.25">
      <c r="A479" s="374">
        <v>46253</v>
      </c>
      <c r="B479" t="s">
        <v>18</v>
      </c>
      <c r="C479" t="s">
        <v>210</v>
      </c>
      <c r="D479" t="s">
        <v>207</v>
      </c>
      <c r="E479">
        <v>1.7075</v>
      </c>
      <c r="F479">
        <v>7.0000000000000062</v>
      </c>
      <c r="G479">
        <v>73.05</v>
      </c>
      <c r="H479">
        <v>2.9219999999999997</v>
      </c>
      <c r="I479">
        <v>-0.49999999999998934</v>
      </c>
      <c r="J479">
        <v>0.62500000000000888</v>
      </c>
      <c r="K479" t="s">
        <v>41</v>
      </c>
    </row>
    <row r="480" spans="1:11" x14ac:dyDescent="0.25">
      <c r="A480" s="374">
        <v>46253</v>
      </c>
      <c r="B480" t="s">
        <v>19</v>
      </c>
      <c r="C480" t="s">
        <v>211</v>
      </c>
      <c r="D480" t="s">
        <v>212</v>
      </c>
      <c r="E480">
        <v>1.76875</v>
      </c>
      <c r="F480">
        <v>6.1250000000000027</v>
      </c>
      <c r="G480">
        <v>79.175000000000011</v>
      </c>
      <c r="H480">
        <v>3.1670000000000003</v>
      </c>
      <c r="I480">
        <v>-0.49999999999998934</v>
      </c>
      <c r="J480">
        <v>0.75000000000000622</v>
      </c>
      <c r="K480" t="s">
        <v>41</v>
      </c>
    </row>
    <row r="481" spans="1:11" x14ac:dyDescent="0.25">
      <c r="A481" s="374">
        <v>46253</v>
      </c>
      <c r="I481">
        <v>0</v>
      </c>
      <c r="J481">
        <v>0</v>
      </c>
      <c r="K481">
        <v>0</v>
      </c>
    </row>
    <row r="482" spans="1:11" x14ac:dyDescent="0.25">
      <c r="A482" s="374">
        <v>46253</v>
      </c>
      <c r="I482">
        <v>0</v>
      </c>
      <c r="J482">
        <v>0</v>
      </c>
      <c r="K482">
        <v>0</v>
      </c>
    </row>
    <row r="483" spans="1:11" x14ac:dyDescent="0.25">
      <c r="A483" s="374">
        <v>46253</v>
      </c>
      <c r="I483">
        <v>0</v>
      </c>
      <c r="J483">
        <v>0</v>
      </c>
      <c r="K483">
        <v>0</v>
      </c>
    </row>
    <row r="484" spans="1:11" x14ac:dyDescent="0.25">
      <c r="A484" s="374">
        <v>46253</v>
      </c>
      <c r="I484">
        <v>0</v>
      </c>
      <c r="J484">
        <v>0</v>
      </c>
      <c r="K484">
        <v>0</v>
      </c>
    </row>
  </sheetData>
  <hyperlinks>
    <hyperlink ref="I1" r:id="rId1" display="https://www.worldsport.ge/ge/page/186696_realma-pogbas-damatebistvis-fexburteli-unda-gayidos?fbclid=IwAR1Q8_AuVjfuFyEqRQbAPIWQl1LwCJxT8yrAB4_5wAq_JUjGwmGboJ4jIZo" xr:uid="{C4323E88-B978-48FD-8166-6114447D98D9}"/>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317B7-1E5F-4B63-92B2-7CE55C54E0F8}">
  <sheetPr codeName="Sheet15"/>
  <dimension ref="A1:V480"/>
  <sheetViews>
    <sheetView workbookViewId="0">
      <pane ySplit="1" topLeftCell="A442" activePane="bottomLeft" state="frozen"/>
      <selection pane="bottomLeft" activeCell="A469" sqref="A469:K480"/>
    </sheetView>
  </sheetViews>
  <sheetFormatPr defaultRowHeight="15" x14ac:dyDescent="0.25"/>
  <cols>
    <col min="1" max="1" width="17.28515625" customWidth="1"/>
    <col min="2" max="2" width="12.85546875" customWidth="1"/>
    <col min="3" max="3" width="14.140625" customWidth="1"/>
    <col min="4" max="4" width="12.7109375" customWidth="1"/>
    <col min="6" max="6" width="14.42578125" customWidth="1"/>
    <col min="7" max="7" width="20.42578125" customWidth="1"/>
    <col min="8" max="8" width="12" customWidth="1"/>
    <col min="9" max="9" width="10.7109375" customWidth="1"/>
    <col min="10" max="10" width="11.28515625" customWidth="1"/>
    <col min="11" max="11" width="11.42578125" customWidth="1"/>
    <col min="14" max="14" width="10.7109375" bestFit="1" customWidth="1"/>
    <col min="16" max="16" width="10.7109375" bestFit="1" customWidth="1"/>
  </cols>
  <sheetData>
    <row r="1" spans="1:22" ht="18.75" x14ac:dyDescent="0.3">
      <c r="A1" s="410" t="s">
        <v>24</v>
      </c>
      <c r="B1" s="411" t="s">
        <v>3</v>
      </c>
      <c r="C1" s="411" t="s">
        <v>4</v>
      </c>
      <c r="D1" s="411" t="s">
        <v>5</v>
      </c>
      <c r="E1" s="411" t="s">
        <v>6</v>
      </c>
      <c r="F1" s="411" t="s">
        <v>20</v>
      </c>
      <c r="G1" s="411" t="s">
        <v>7</v>
      </c>
      <c r="H1" s="411" t="s">
        <v>8</v>
      </c>
      <c r="I1" s="412" t="s">
        <v>21</v>
      </c>
      <c r="J1" s="411" t="s">
        <v>22</v>
      </c>
      <c r="K1" s="413" t="s">
        <v>23</v>
      </c>
    </row>
    <row r="2" spans="1:22" x14ac:dyDescent="0.25">
      <c r="A2" s="374">
        <v>46195</v>
      </c>
      <c r="B2" t="s">
        <v>18</v>
      </c>
      <c r="C2" s="294">
        <v>46197</v>
      </c>
      <c r="D2" s="294">
        <v>46260</v>
      </c>
      <c r="E2">
        <v>1.65</v>
      </c>
      <c r="N2" t="s">
        <v>66</v>
      </c>
      <c r="P2" t="s">
        <v>67</v>
      </c>
      <c r="R2" t="s">
        <v>186</v>
      </c>
    </row>
    <row r="3" spans="1:22" x14ac:dyDescent="0.25">
      <c r="A3" s="374">
        <v>46195</v>
      </c>
      <c r="B3" t="s">
        <v>9</v>
      </c>
      <c r="C3" s="294">
        <v>46260</v>
      </c>
      <c r="D3" s="294">
        <v>46295</v>
      </c>
      <c r="E3">
        <v>1.675</v>
      </c>
      <c r="N3" s="294">
        <v>46197</v>
      </c>
      <c r="P3" s="294">
        <v>46260</v>
      </c>
      <c r="R3">
        <v>1.65</v>
      </c>
    </row>
    <row r="4" spans="1:22" x14ac:dyDescent="0.25">
      <c r="A4" s="374">
        <v>46195</v>
      </c>
      <c r="B4" t="s">
        <v>10</v>
      </c>
      <c r="C4" s="294">
        <v>46295</v>
      </c>
      <c r="D4" s="294">
        <v>46337</v>
      </c>
      <c r="E4">
        <v>1.732</v>
      </c>
      <c r="N4" s="294">
        <v>46260</v>
      </c>
      <c r="P4" s="294">
        <v>46295</v>
      </c>
      <c r="R4">
        <v>1.675</v>
      </c>
    </row>
    <row r="5" spans="1:22" x14ac:dyDescent="0.25">
      <c r="A5" s="374">
        <v>46195</v>
      </c>
      <c r="B5" t="s">
        <v>12</v>
      </c>
      <c r="C5" s="294">
        <v>46337</v>
      </c>
      <c r="D5" s="294">
        <v>46379</v>
      </c>
      <c r="E5">
        <v>1.8080000000000001</v>
      </c>
      <c r="N5" s="294">
        <v>46295</v>
      </c>
      <c r="P5" s="294">
        <v>46337</v>
      </c>
      <c r="R5">
        <v>1.732</v>
      </c>
    </row>
    <row r="6" spans="1:22" x14ac:dyDescent="0.25">
      <c r="A6" s="374">
        <v>46196</v>
      </c>
      <c r="B6" t="s">
        <v>18</v>
      </c>
      <c r="C6" s="294">
        <v>46197</v>
      </c>
      <c r="D6" s="294">
        <v>46260</v>
      </c>
      <c r="E6">
        <v>1.651</v>
      </c>
      <c r="I6">
        <v>-0.157</v>
      </c>
      <c r="N6" s="294">
        <v>46337</v>
      </c>
      <c r="P6" s="294">
        <v>46379</v>
      </c>
      <c r="R6">
        <v>1.8080000000000001</v>
      </c>
    </row>
    <row r="7" spans="1:22" x14ac:dyDescent="0.25">
      <c r="A7" s="374">
        <v>46196</v>
      </c>
      <c r="B7" t="s">
        <v>9</v>
      </c>
      <c r="C7" s="294">
        <v>46260</v>
      </c>
      <c r="D7" s="294">
        <v>46295</v>
      </c>
      <c r="E7">
        <v>1.6819999999999999</v>
      </c>
      <c r="I7">
        <v>7.0000000000000001E-3</v>
      </c>
    </row>
    <row r="8" spans="1:22" x14ac:dyDescent="0.25">
      <c r="A8" s="374">
        <v>46196</v>
      </c>
      <c r="B8" t="s">
        <v>10</v>
      </c>
      <c r="C8" s="294">
        <v>46295</v>
      </c>
      <c r="D8" s="294">
        <v>46337</v>
      </c>
      <c r="E8">
        <v>1.762</v>
      </c>
      <c r="I8">
        <v>0.03</v>
      </c>
      <c r="N8" t="s">
        <v>66</v>
      </c>
      <c r="P8" t="s">
        <v>67</v>
      </c>
      <c r="R8" t="s">
        <v>68</v>
      </c>
      <c r="T8" t="s">
        <v>69</v>
      </c>
    </row>
    <row r="9" spans="1:22" x14ac:dyDescent="0.25">
      <c r="A9" s="374">
        <v>46196</v>
      </c>
      <c r="B9" t="s">
        <v>12</v>
      </c>
      <c r="C9" s="294">
        <v>46337</v>
      </c>
      <c r="D9" s="294">
        <v>46379</v>
      </c>
      <c r="E9">
        <v>1.2949999999999999</v>
      </c>
      <c r="I9">
        <v>-0.51300000000000001</v>
      </c>
      <c r="N9" s="294">
        <v>46197</v>
      </c>
      <c r="P9" s="294">
        <v>46260</v>
      </c>
      <c r="R9">
        <v>1.651</v>
      </c>
      <c r="T9">
        <v>-0.157</v>
      </c>
    </row>
    <row r="10" spans="1:22" x14ac:dyDescent="0.25">
      <c r="A10" s="374">
        <v>46197</v>
      </c>
      <c r="B10" t="s">
        <v>18</v>
      </c>
      <c r="C10" s="294">
        <v>46197</v>
      </c>
      <c r="D10" s="294">
        <v>46260</v>
      </c>
      <c r="E10">
        <v>1.643</v>
      </c>
      <c r="I10">
        <v>0.34799999999999998</v>
      </c>
      <c r="N10" s="294">
        <v>46260</v>
      </c>
      <c r="P10" s="294">
        <v>46295</v>
      </c>
      <c r="R10">
        <v>1.6819999999999999</v>
      </c>
      <c r="T10">
        <v>7.0000000000000001E-3</v>
      </c>
    </row>
    <row r="11" spans="1:22" x14ac:dyDescent="0.25">
      <c r="A11" s="374">
        <v>46197</v>
      </c>
      <c r="B11" t="s">
        <v>9</v>
      </c>
      <c r="C11" s="294">
        <v>46260</v>
      </c>
      <c r="D11" s="294">
        <v>46295</v>
      </c>
      <c r="E11">
        <v>1.647</v>
      </c>
      <c r="I11">
        <v>-3.5000000000000003E-2</v>
      </c>
      <c r="N11" s="294">
        <v>46295</v>
      </c>
      <c r="P11" s="294">
        <v>46337</v>
      </c>
      <c r="R11">
        <v>1.762</v>
      </c>
      <c r="T11">
        <v>0.03</v>
      </c>
    </row>
    <row r="12" spans="1:22" x14ac:dyDescent="0.25">
      <c r="A12" s="374">
        <v>46197</v>
      </c>
      <c r="B12" t="s">
        <v>10</v>
      </c>
      <c r="C12" s="294">
        <v>46295</v>
      </c>
      <c r="D12" s="294">
        <v>46337</v>
      </c>
      <c r="E12">
        <v>1.6890000000000001</v>
      </c>
      <c r="I12">
        <v>-7.2999999999999995E-2</v>
      </c>
      <c r="N12" s="294">
        <v>46337</v>
      </c>
      <c r="P12" s="294">
        <v>46379</v>
      </c>
      <c r="R12">
        <v>1.2949999999999999</v>
      </c>
      <c r="T12">
        <v>-0.51300000000000001</v>
      </c>
    </row>
    <row r="13" spans="1:22" x14ac:dyDescent="0.25">
      <c r="A13" s="374">
        <v>46197</v>
      </c>
      <c r="B13" t="s">
        <v>12</v>
      </c>
      <c r="C13" s="294">
        <v>46337</v>
      </c>
      <c r="D13" s="294">
        <v>46379</v>
      </c>
      <c r="E13">
        <v>1.7190000000000001</v>
      </c>
      <c r="I13">
        <v>0.42399999999999999</v>
      </c>
    </row>
    <row r="14" spans="1:22" x14ac:dyDescent="0.25">
      <c r="A14" s="374">
        <v>46198</v>
      </c>
      <c r="B14" t="s">
        <v>18</v>
      </c>
      <c r="C14" s="294">
        <v>46197</v>
      </c>
      <c r="D14" s="294">
        <v>46260</v>
      </c>
      <c r="E14">
        <v>1.6479999999999999</v>
      </c>
      <c r="I14">
        <v>-7.0999999999999994E-2</v>
      </c>
      <c r="N14" t="s">
        <v>66</v>
      </c>
      <c r="P14" t="s">
        <v>67</v>
      </c>
      <c r="R14" t="s">
        <v>68</v>
      </c>
      <c r="T14" t="s">
        <v>69</v>
      </c>
      <c r="V14" t="s">
        <v>92</v>
      </c>
    </row>
    <row r="15" spans="1:22" x14ac:dyDescent="0.25">
      <c r="A15" s="374">
        <v>46198</v>
      </c>
      <c r="B15" t="s">
        <v>9</v>
      </c>
      <c r="C15" s="294">
        <v>46260</v>
      </c>
      <c r="D15" s="294">
        <v>46295</v>
      </c>
      <c r="E15">
        <v>1.65</v>
      </c>
      <c r="I15">
        <v>3.0000000000000001E-3</v>
      </c>
      <c r="N15" s="294">
        <v>46197</v>
      </c>
      <c r="P15" s="294">
        <v>46260</v>
      </c>
      <c r="R15">
        <v>1.643</v>
      </c>
      <c r="T15">
        <v>0.34799999999999998</v>
      </c>
      <c r="V15">
        <v>0</v>
      </c>
    </row>
    <row r="16" spans="1:22" x14ac:dyDescent="0.25">
      <c r="A16" s="374">
        <v>46198</v>
      </c>
      <c r="B16" t="s">
        <v>10</v>
      </c>
      <c r="C16" s="294">
        <v>46295</v>
      </c>
      <c r="D16" s="294">
        <v>46337</v>
      </c>
      <c r="E16">
        <v>1.69</v>
      </c>
      <c r="I16">
        <v>1E-3</v>
      </c>
      <c r="N16" s="294">
        <v>46260</v>
      </c>
      <c r="P16" s="294">
        <v>46295</v>
      </c>
      <c r="R16">
        <v>1.647</v>
      </c>
      <c r="T16">
        <v>-3.5000000000000003E-2</v>
      </c>
      <c r="U16">
        <v>0</v>
      </c>
    </row>
    <row r="17" spans="1:22" x14ac:dyDescent="0.25">
      <c r="A17" s="374">
        <v>46198</v>
      </c>
      <c r="B17" t="s">
        <v>12</v>
      </c>
      <c r="C17" s="294">
        <v>46337</v>
      </c>
      <c r="D17" s="294">
        <v>46379</v>
      </c>
      <c r="E17">
        <v>1.7170000000000001</v>
      </c>
      <c r="I17">
        <v>-2E-3</v>
      </c>
      <c r="N17" s="294">
        <v>46295</v>
      </c>
      <c r="P17" s="294">
        <v>46337</v>
      </c>
      <c r="R17">
        <v>1.6890000000000001</v>
      </c>
      <c r="T17">
        <v>-7.2999999999999995E-2</v>
      </c>
      <c r="U17">
        <v>-1E-3</v>
      </c>
    </row>
    <row r="18" spans="1:22" x14ac:dyDescent="0.25">
      <c r="A18" s="374">
        <v>46199</v>
      </c>
      <c r="B18" t="s">
        <v>18</v>
      </c>
      <c r="C18" s="294">
        <v>46197</v>
      </c>
      <c r="D18" s="294">
        <v>46260</v>
      </c>
      <c r="E18">
        <v>1.653</v>
      </c>
      <c r="I18">
        <v>-6.6000000000000003E-2</v>
      </c>
      <c r="N18" s="294">
        <v>46337</v>
      </c>
      <c r="P18" s="294">
        <v>46379</v>
      </c>
      <c r="R18">
        <v>1.7190000000000001</v>
      </c>
      <c r="T18">
        <v>0.42399999999999999</v>
      </c>
      <c r="V18">
        <v>4.0000000000000001E-3</v>
      </c>
    </row>
    <row r="19" spans="1:22" x14ac:dyDescent="0.25">
      <c r="A19" s="374">
        <v>46199</v>
      </c>
      <c r="B19" t="s">
        <v>9</v>
      </c>
      <c r="C19" s="294">
        <v>46260</v>
      </c>
      <c r="D19" s="294">
        <v>46295</v>
      </c>
      <c r="E19">
        <v>1.649</v>
      </c>
      <c r="I19">
        <v>2E-3</v>
      </c>
    </row>
    <row r="20" spans="1:22" x14ac:dyDescent="0.25">
      <c r="A20" s="374">
        <v>46199</v>
      </c>
      <c r="B20" t="s">
        <v>10</v>
      </c>
      <c r="C20" s="294">
        <v>46295</v>
      </c>
      <c r="D20" s="294">
        <v>46337</v>
      </c>
      <c r="E20">
        <v>1.6890000000000001</v>
      </c>
      <c r="I20">
        <v>0</v>
      </c>
      <c r="N20" t="s">
        <v>66</v>
      </c>
      <c r="P20" t="s">
        <v>67</v>
      </c>
      <c r="R20" t="s">
        <v>68</v>
      </c>
      <c r="T20" t="s">
        <v>69</v>
      </c>
    </row>
    <row r="21" spans="1:22" x14ac:dyDescent="0.25">
      <c r="A21" s="374">
        <v>46199</v>
      </c>
      <c r="B21" t="s">
        <v>12</v>
      </c>
      <c r="C21" s="294">
        <v>46337</v>
      </c>
      <c r="D21" s="294">
        <v>46379</v>
      </c>
      <c r="E21">
        <v>1.714</v>
      </c>
      <c r="I21">
        <v>-5.0000000000000001E-3</v>
      </c>
      <c r="N21" s="294">
        <v>46197</v>
      </c>
      <c r="P21" s="294">
        <v>46260</v>
      </c>
      <c r="R21">
        <v>1.6479999999999999</v>
      </c>
      <c r="T21">
        <v>-7.0999999999999994E-2</v>
      </c>
    </row>
    <row r="22" spans="1:22" x14ac:dyDescent="0.25">
      <c r="A22" s="374">
        <v>46202</v>
      </c>
      <c r="B22" t="s">
        <v>9</v>
      </c>
      <c r="C22" s="294">
        <v>46260</v>
      </c>
      <c r="D22" s="294">
        <v>46295</v>
      </c>
      <c r="E22">
        <v>1.64993979102775</v>
      </c>
      <c r="F22">
        <v>-0.30602089722500114</v>
      </c>
      <c r="G22">
        <v>-0.30602089722500114</v>
      </c>
      <c r="H22">
        <v>-1.2240835889000046E-2</v>
      </c>
      <c r="I22">
        <v>9.3979102774999212E-2</v>
      </c>
      <c r="J22">
        <v>-2.5060208972250031</v>
      </c>
      <c r="K22" t="s">
        <v>41</v>
      </c>
      <c r="N22" s="294">
        <v>46260</v>
      </c>
      <c r="P22" s="294">
        <v>46295</v>
      </c>
      <c r="R22">
        <v>1.65</v>
      </c>
      <c r="T22">
        <v>3.0000000000000001E-3</v>
      </c>
    </row>
    <row r="23" spans="1:22" x14ac:dyDescent="0.25">
      <c r="A23" s="374">
        <v>46202</v>
      </c>
      <c r="B23" t="s">
        <v>10</v>
      </c>
      <c r="C23" s="294">
        <v>46295</v>
      </c>
      <c r="D23" s="294">
        <v>46337</v>
      </c>
      <c r="E23">
        <v>1.68886591878347</v>
      </c>
      <c r="F23">
        <v>3.8926127755720019</v>
      </c>
      <c r="G23">
        <v>3.5865918783470008</v>
      </c>
      <c r="H23">
        <v>0.14346367513388003</v>
      </c>
      <c r="I23">
        <v>-1.3408121653002425E-2</v>
      </c>
      <c r="J23">
        <v>-4.3134081216529951</v>
      </c>
      <c r="K23" t="s">
        <v>41</v>
      </c>
      <c r="N23" s="294">
        <v>46295</v>
      </c>
      <c r="P23" s="294">
        <v>46337</v>
      </c>
      <c r="R23">
        <v>1.69</v>
      </c>
      <c r="T23">
        <v>1E-3</v>
      </c>
    </row>
    <row r="24" spans="1:22" x14ac:dyDescent="0.25">
      <c r="A24" s="374">
        <v>46202</v>
      </c>
      <c r="B24" t="s">
        <v>12</v>
      </c>
      <c r="C24" s="294">
        <v>46337</v>
      </c>
      <c r="D24" s="294">
        <v>46379</v>
      </c>
      <c r="E24">
        <v>1.7158349531817401</v>
      </c>
      <c r="F24">
        <v>2.6969034398270031</v>
      </c>
      <c r="G24">
        <v>6.2834953181740039</v>
      </c>
      <c r="H24">
        <v>0.25133981272696015</v>
      </c>
      <c r="I24">
        <v>0.18349531817400955</v>
      </c>
      <c r="J24">
        <v>-9.2165046818259988</v>
      </c>
      <c r="K24" t="s">
        <v>41</v>
      </c>
      <c r="N24" s="294">
        <v>46337</v>
      </c>
      <c r="P24" s="294">
        <v>46379</v>
      </c>
      <c r="R24">
        <v>1.7170000000000001</v>
      </c>
      <c r="T24">
        <v>-2E-3</v>
      </c>
    </row>
    <row r="25" spans="1:22" x14ac:dyDescent="0.25">
      <c r="A25" s="374">
        <v>46202</v>
      </c>
      <c r="B25" t="s">
        <v>13</v>
      </c>
      <c r="C25" s="294">
        <v>46379</v>
      </c>
      <c r="D25" s="294">
        <v>46421</v>
      </c>
      <c r="E25">
        <v>1.7602459114986999</v>
      </c>
      <c r="F25">
        <v>4.4410958316959848</v>
      </c>
      <c r="G25">
        <v>10.724591149869989</v>
      </c>
      <c r="H25">
        <v>0.42898364599479955</v>
      </c>
      <c r="I25" t="s">
        <v>41</v>
      </c>
      <c r="J25" t="s">
        <v>41</v>
      </c>
      <c r="K25" t="s">
        <v>41</v>
      </c>
    </row>
    <row r="26" spans="1:22" x14ac:dyDescent="0.25">
      <c r="A26" s="374">
        <v>46202</v>
      </c>
      <c r="B26" t="s">
        <v>14</v>
      </c>
      <c r="C26" s="294">
        <v>46421</v>
      </c>
      <c r="D26" s="294">
        <v>46470</v>
      </c>
      <c r="E26">
        <v>1.8003499372216101</v>
      </c>
      <c r="F26">
        <v>4.0104025722910164</v>
      </c>
      <c r="G26">
        <v>14.734993722161004</v>
      </c>
      <c r="H26">
        <v>0.5893997488864402</v>
      </c>
      <c r="I26" t="s">
        <v>41</v>
      </c>
      <c r="J26" t="s">
        <v>41</v>
      </c>
      <c r="K26" t="s">
        <v>41</v>
      </c>
      <c r="N26" t="s">
        <v>66</v>
      </c>
      <c r="P26" t="s">
        <v>67</v>
      </c>
      <c r="R26" t="s">
        <v>68</v>
      </c>
      <c r="T26" t="s">
        <v>69</v>
      </c>
    </row>
    <row r="27" spans="1:22" x14ac:dyDescent="0.25">
      <c r="A27" s="374">
        <v>46202</v>
      </c>
      <c r="C27" s="294"/>
      <c r="D27" s="294"/>
      <c r="I27" t="s">
        <v>41</v>
      </c>
      <c r="J27" t="s">
        <v>41</v>
      </c>
      <c r="K27" t="s">
        <v>41</v>
      </c>
      <c r="N27" s="294">
        <v>46197</v>
      </c>
      <c r="P27" s="294">
        <v>46260</v>
      </c>
      <c r="R27">
        <v>1.653</v>
      </c>
      <c r="T27">
        <v>-6.6000000000000003E-2</v>
      </c>
    </row>
    <row r="28" spans="1:22" x14ac:dyDescent="0.25">
      <c r="A28" s="374">
        <v>46202</v>
      </c>
      <c r="C28" s="294"/>
      <c r="D28" s="294"/>
      <c r="I28" t="s">
        <v>41</v>
      </c>
      <c r="J28" t="s">
        <v>41</v>
      </c>
      <c r="K28" t="s">
        <v>41</v>
      </c>
      <c r="N28" s="294">
        <v>46260</v>
      </c>
      <c r="P28" s="294">
        <v>46295</v>
      </c>
      <c r="R28">
        <v>1.649</v>
      </c>
      <c r="T28">
        <v>2E-3</v>
      </c>
    </row>
    <row r="29" spans="1:22" x14ac:dyDescent="0.25">
      <c r="A29" s="374">
        <v>46202</v>
      </c>
      <c r="C29" s="294"/>
      <c r="D29" s="294"/>
      <c r="I29" t="s">
        <v>41</v>
      </c>
      <c r="J29" t="s">
        <v>41</v>
      </c>
      <c r="K29" t="s">
        <v>41</v>
      </c>
      <c r="N29" s="294">
        <v>46295</v>
      </c>
      <c r="P29" s="294">
        <v>46337</v>
      </c>
      <c r="R29">
        <v>1.6890000000000001</v>
      </c>
      <c r="T29">
        <v>0</v>
      </c>
    </row>
    <row r="30" spans="1:22" x14ac:dyDescent="0.25">
      <c r="A30" s="374">
        <v>46202</v>
      </c>
      <c r="C30" s="294"/>
      <c r="D30" s="294"/>
      <c r="I30" t="s">
        <v>41</v>
      </c>
      <c r="J30" t="s">
        <v>41</v>
      </c>
      <c r="K30" t="s">
        <v>41</v>
      </c>
      <c r="N30" s="294">
        <v>46337</v>
      </c>
      <c r="P30" s="294">
        <v>46379</v>
      </c>
      <c r="R30">
        <v>1.714</v>
      </c>
      <c r="T30">
        <v>-5.0000000000000001E-3</v>
      </c>
    </row>
    <row r="31" spans="1:22" x14ac:dyDescent="0.25">
      <c r="A31" s="374">
        <v>46202</v>
      </c>
      <c r="C31" s="294"/>
      <c r="D31" s="294"/>
      <c r="I31" t="s">
        <v>41</v>
      </c>
      <c r="J31" t="s">
        <v>41</v>
      </c>
      <c r="K31" t="s">
        <v>41</v>
      </c>
    </row>
    <row r="32" spans="1:22" x14ac:dyDescent="0.25">
      <c r="A32" s="374">
        <v>46202</v>
      </c>
      <c r="C32" s="294"/>
      <c r="D32" s="294"/>
      <c r="I32" t="s">
        <v>41</v>
      </c>
      <c r="J32" t="s">
        <v>41</v>
      </c>
      <c r="K32" t="s">
        <v>41</v>
      </c>
    </row>
    <row r="33" spans="1:11" x14ac:dyDescent="0.25">
      <c r="A33" s="374">
        <v>46202</v>
      </c>
      <c r="C33" s="294"/>
      <c r="D33" s="294"/>
      <c r="I33" t="s">
        <v>41</v>
      </c>
      <c r="J33" t="s">
        <v>41</v>
      </c>
      <c r="K33" t="s">
        <v>41</v>
      </c>
    </row>
    <row r="34" spans="1:11" x14ac:dyDescent="0.25">
      <c r="A34" s="374">
        <v>46202</v>
      </c>
      <c r="B34" t="s">
        <v>9</v>
      </c>
      <c r="C34" s="294">
        <v>46260</v>
      </c>
      <c r="D34" s="294">
        <v>46295</v>
      </c>
      <c r="E34">
        <v>1.64993979102775</v>
      </c>
      <c r="F34">
        <v>-0.30602089722500114</v>
      </c>
      <c r="G34">
        <v>-0.30602089722500114</v>
      </c>
      <c r="H34">
        <v>-1.2240835889000046E-2</v>
      </c>
      <c r="I34">
        <v>9.3979102774999212E-2</v>
      </c>
      <c r="J34">
        <v>-2.5060208972250031</v>
      </c>
      <c r="K34" t="s">
        <v>41</v>
      </c>
    </row>
    <row r="35" spans="1:11" x14ac:dyDescent="0.25">
      <c r="A35" s="374">
        <v>46202</v>
      </c>
      <c r="B35" t="s">
        <v>10</v>
      </c>
      <c r="C35" s="294">
        <v>46295</v>
      </c>
      <c r="D35" s="294">
        <v>46337</v>
      </c>
      <c r="E35">
        <v>1.68886591878347</v>
      </c>
      <c r="F35">
        <v>3.8926127755720019</v>
      </c>
      <c r="G35">
        <v>3.5865918783470008</v>
      </c>
      <c r="H35">
        <v>0.14346367513388003</v>
      </c>
      <c r="I35">
        <v>-1.3408121653002425E-2</v>
      </c>
      <c r="J35">
        <v>-4.3134081216529951</v>
      </c>
      <c r="K35" t="s">
        <v>41</v>
      </c>
    </row>
    <row r="36" spans="1:11" x14ac:dyDescent="0.25">
      <c r="A36" s="374">
        <v>46202</v>
      </c>
      <c r="B36" t="s">
        <v>12</v>
      </c>
      <c r="C36" s="294">
        <v>46337</v>
      </c>
      <c r="D36" s="294">
        <v>46379</v>
      </c>
      <c r="E36">
        <v>1.7158349531817401</v>
      </c>
      <c r="F36">
        <v>2.6969034398270031</v>
      </c>
      <c r="G36">
        <v>6.2834953181740039</v>
      </c>
      <c r="H36">
        <v>0.25133981272696015</v>
      </c>
      <c r="I36">
        <v>0.18349531817400955</v>
      </c>
      <c r="J36">
        <v>-9.2165046818259988</v>
      </c>
      <c r="K36" t="s">
        <v>41</v>
      </c>
    </row>
    <row r="37" spans="1:11" x14ac:dyDescent="0.25">
      <c r="A37" s="374">
        <v>46202</v>
      </c>
      <c r="B37" t="s">
        <v>13</v>
      </c>
      <c r="C37" s="294">
        <v>46379</v>
      </c>
      <c r="D37" s="294">
        <v>46421</v>
      </c>
      <c r="E37">
        <v>1.7602459114986999</v>
      </c>
      <c r="F37">
        <v>4.4410958316959848</v>
      </c>
      <c r="G37">
        <v>10.724591149869989</v>
      </c>
      <c r="H37">
        <v>0.42898364599479955</v>
      </c>
      <c r="I37" t="s">
        <v>41</v>
      </c>
      <c r="J37" t="s">
        <v>41</v>
      </c>
      <c r="K37" t="s">
        <v>41</v>
      </c>
    </row>
    <row r="38" spans="1:11" x14ac:dyDescent="0.25">
      <c r="A38" s="374">
        <v>46202</v>
      </c>
      <c r="B38" t="s">
        <v>14</v>
      </c>
      <c r="C38" s="294">
        <v>46421</v>
      </c>
      <c r="D38" s="294">
        <v>46470</v>
      </c>
      <c r="E38">
        <v>1.8003499372216101</v>
      </c>
      <c r="F38">
        <v>4.0104025722910164</v>
      </c>
      <c r="G38">
        <v>14.734993722161004</v>
      </c>
      <c r="H38">
        <v>0.5893997488864402</v>
      </c>
      <c r="I38" t="s">
        <v>41</v>
      </c>
      <c r="J38" t="s">
        <v>41</v>
      </c>
      <c r="K38" t="s">
        <v>41</v>
      </c>
    </row>
    <row r="39" spans="1:11" x14ac:dyDescent="0.25">
      <c r="A39" s="374">
        <v>46202</v>
      </c>
      <c r="C39" s="294"/>
      <c r="D39" s="294"/>
      <c r="I39" t="s">
        <v>41</v>
      </c>
      <c r="J39" t="s">
        <v>41</v>
      </c>
      <c r="K39" t="s">
        <v>41</v>
      </c>
    </row>
    <row r="40" spans="1:11" x14ac:dyDescent="0.25">
      <c r="A40" s="374">
        <v>46202</v>
      </c>
      <c r="C40" s="294"/>
      <c r="D40" s="294"/>
      <c r="I40" t="s">
        <v>41</v>
      </c>
      <c r="J40" t="s">
        <v>41</v>
      </c>
      <c r="K40" t="s">
        <v>41</v>
      </c>
    </row>
    <row r="41" spans="1:11" x14ac:dyDescent="0.25">
      <c r="A41" s="374">
        <v>46202</v>
      </c>
      <c r="C41" s="294"/>
      <c r="D41" s="294"/>
      <c r="I41" t="s">
        <v>41</v>
      </c>
      <c r="J41" t="s">
        <v>41</v>
      </c>
      <c r="K41" t="s">
        <v>41</v>
      </c>
    </row>
    <row r="42" spans="1:11" x14ac:dyDescent="0.25">
      <c r="A42" s="374">
        <v>46202</v>
      </c>
      <c r="C42" s="294"/>
      <c r="D42" s="294"/>
      <c r="I42" t="s">
        <v>41</v>
      </c>
      <c r="J42" t="s">
        <v>41</v>
      </c>
      <c r="K42" t="s">
        <v>41</v>
      </c>
    </row>
    <row r="43" spans="1:11" x14ac:dyDescent="0.25">
      <c r="A43" s="374">
        <v>46202</v>
      </c>
      <c r="C43" s="294"/>
      <c r="D43" s="294"/>
      <c r="I43" t="s">
        <v>41</v>
      </c>
      <c r="J43" t="s">
        <v>41</v>
      </c>
      <c r="K43" t="s">
        <v>41</v>
      </c>
    </row>
    <row r="44" spans="1:11" x14ac:dyDescent="0.25">
      <c r="A44" s="374">
        <v>46202</v>
      </c>
      <c r="C44" s="294"/>
      <c r="D44" s="294"/>
      <c r="I44" t="s">
        <v>41</v>
      </c>
      <c r="J44" t="s">
        <v>41</v>
      </c>
      <c r="K44" t="s">
        <v>41</v>
      </c>
    </row>
    <row r="45" spans="1:11" x14ac:dyDescent="0.25">
      <c r="A45" s="374">
        <v>46202</v>
      </c>
      <c r="C45" s="294"/>
      <c r="D45" s="294"/>
      <c r="I45" t="s">
        <v>41</v>
      </c>
      <c r="J45" t="s">
        <v>41</v>
      </c>
      <c r="K45" t="s">
        <v>41</v>
      </c>
    </row>
    <row r="46" spans="1:11" x14ac:dyDescent="0.25">
      <c r="A46" s="374">
        <v>46203</v>
      </c>
      <c r="B46" t="s">
        <v>9</v>
      </c>
      <c r="C46" s="294">
        <v>46260</v>
      </c>
      <c r="D46" s="294">
        <v>46295</v>
      </c>
      <c r="E46">
        <v>1.6508533547883899</v>
      </c>
      <c r="F46">
        <v>-3.0146645211610146</v>
      </c>
      <c r="G46">
        <v>-3.0146645211610146</v>
      </c>
      <c r="H46">
        <v>-0.12058658084644058</v>
      </c>
      <c r="I46">
        <v>9.1356376063989053E-2</v>
      </c>
      <c r="J46">
        <v>-3.1146645211610036</v>
      </c>
      <c r="K46" t="s">
        <v>41</v>
      </c>
    </row>
    <row r="47" spans="1:11" x14ac:dyDescent="0.25">
      <c r="A47" s="374">
        <v>46203</v>
      </c>
      <c r="B47" t="s">
        <v>10</v>
      </c>
      <c r="C47" s="294">
        <v>46295</v>
      </c>
      <c r="D47" s="294">
        <v>46337</v>
      </c>
      <c r="E47">
        <v>1.68953260326329</v>
      </c>
      <c r="F47">
        <v>3.8679248474900119</v>
      </c>
      <c r="G47">
        <v>0.85326032632899729</v>
      </c>
      <c r="H47">
        <v>3.4130413053159891E-2</v>
      </c>
      <c r="I47">
        <v>6.6668447981999002E-2</v>
      </c>
      <c r="J47">
        <v>-7.2467396736709988</v>
      </c>
      <c r="K47" t="s">
        <v>41</v>
      </c>
    </row>
    <row r="48" spans="1:11" x14ac:dyDescent="0.25">
      <c r="A48" s="374">
        <v>46203</v>
      </c>
      <c r="B48" t="s">
        <v>12</v>
      </c>
      <c r="C48" s="294">
        <v>46337</v>
      </c>
      <c r="D48" s="294">
        <v>46379</v>
      </c>
      <c r="E48">
        <v>1.7144757156833701</v>
      </c>
      <c r="F48">
        <v>2.4943112420080071</v>
      </c>
      <c r="G48">
        <v>3.3475715683370044</v>
      </c>
      <c r="H48">
        <v>0.13390286273348018</v>
      </c>
      <c r="I48">
        <v>-0.13592374983699695</v>
      </c>
      <c r="J48">
        <v>41.947571568337018</v>
      </c>
      <c r="K48" t="s">
        <v>41</v>
      </c>
    </row>
    <row r="49" spans="1:11" x14ac:dyDescent="0.25">
      <c r="A49" s="374">
        <v>46203</v>
      </c>
      <c r="B49" t="s">
        <v>13</v>
      </c>
      <c r="C49" s="294">
        <v>46379</v>
      </c>
      <c r="D49" s="294">
        <v>46421</v>
      </c>
      <c r="E49">
        <v>1.75328334824514</v>
      </c>
      <c r="F49">
        <v>3.8807632561769889</v>
      </c>
      <c r="G49">
        <v>7.2283348245139933</v>
      </c>
      <c r="H49">
        <v>0.28913339298055973</v>
      </c>
      <c r="I49">
        <v>-0.6962563253559928</v>
      </c>
      <c r="J49" t="s">
        <v>41</v>
      </c>
      <c r="K49" t="s">
        <v>41</v>
      </c>
    </row>
    <row r="50" spans="1:11" x14ac:dyDescent="0.25">
      <c r="A50" s="374">
        <v>46203</v>
      </c>
      <c r="B50" t="s">
        <v>14</v>
      </c>
      <c r="C50" s="294">
        <v>46421</v>
      </c>
      <c r="D50" s="294">
        <v>46470</v>
      </c>
      <c r="E50">
        <v>1.78845042490912</v>
      </c>
      <c r="F50">
        <v>3.5167076663980001</v>
      </c>
      <c r="G50">
        <v>10.745042490911993</v>
      </c>
      <c r="H50">
        <v>0.42980169963647974</v>
      </c>
      <c r="I50">
        <v>-1.189951231249009</v>
      </c>
      <c r="J50" t="s">
        <v>41</v>
      </c>
      <c r="K50" t="s">
        <v>41</v>
      </c>
    </row>
    <row r="51" spans="1:11" x14ac:dyDescent="0.25">
      <c r="A51" s="374">
        <v>46203</v>
      </c>
      <c r="C51" s="294"/>
      <c r="D51" s="294"/>
      <c r="I51">
        <v>0</v>
      </c>
      <c r="J51" t="s">
        <v>41</v>
      </c>
      <c r="K51" t="s">
        <v>41</v>
      </c>
    </row>
    <row r="52" spans="1:11" x14ac:dyDescent="0.25">
      <c r="A52" s="374">
        <v>46203</v>
      </c>
      <c r="C52" s="294"/>
      <c r="D52" s="294"/>
      <c r="I52">
        <v>0</v>
      </c>
      <c r="J52" t="s">
        <v>41</v>
      </c>
      <c r="K52" t="s">
        <v>41</v>
      </c>
    </row>
    <row r="53" spans="1:11" x14ac:dyDescent="0.25">
      <c r="A53" s="374">
        <v>46203</v>
      </c>
      <c r="C53" s="294"/>
      <c r="D53" s="294"/>
      <c r="I53">
        <v>0</v>
      </c>
      <c r="J53" t="s">
        <v>41</v>
      </c>
      <c r="K53" t="s">
        <v>41</v>
      </c>
    </row>
    <row r="54" spans="1:11" x14ac:dyDescent="0.25">
      <c r="A54" s="374">
        <v>46203</v>
      </c>
      <c r="C54" s="294"/>
      <c r="D54" s="294"/>
      <c r="I54">
        <v>0</v>
      </c>
      <c r="J54" t="s">
        <v>41</v>
      </c>
      <c r="K54" t="s">
        <v>41</v>
      </c>
    </row>
    <row r="55" spans="1:11" x14ac:dyDescent="0.25">
      <c r="A55" s="374">
        <v>46203</v>
      </c>
      <c r="C55" s="294"/>
      <c r="D55" s="294"/>
      <c r="I55">
        <v>0</v>
      </c>
      <c r="J55" t="s">
        <v>41</v>
      </c>
      <c r="K55" t="s">
        <v>41</v>
      </c>
    </row>
    <row r="56" spans="1:11" x14ac:dyDescent="0.25">
      <c r="A56" s="374">
        <v>46203</v>
      </c>
      <c r="C56" s="294"/>
      <c r="D56" s="294"/>
      <c r="I56">
        <v>0</v>
      </c>
      <c r="J56" t="s">
        <v>41</v>
      </c>
      <c r="K56" t="s">
        <v>41</v>
      </c>
    </row>
    <row r="57" spans="1:11" x14ac:dyDescent="0.25">
      <c r="A57" s="374">
        <v>46203</v>
      </c>
      <c r="C57" s="294"/>
      <c r="D57" s="294"/>
      <c r="I57">
        <v>0</v>
      </c>
      <c r="J57" t="s">
        <v>41</v>
      </c>
      <c r="K57" t="s">
        <v>41</v>
      </c>
    </row>
    <row r="58" spans="1:11" x14ac:dyDescent="0.25">
      <c r="A58" s="374">
        <v>46204</v>
      </c>
      <c r="B58" t="s">
        <v>9</v>
      </c>
      <c r="C58" s="294">
        <v>46260</v>
      </c>
      <c r="D58" s="294">
        <v>46295</v>
      </c>
      <c r="E58">
        <v>1.6487228225872099</v>
      </c>
      <c r="F58">
        <v>-1.6277177412790111</v>
      </c>
      <c r="G58">
        <v>-1.6277177412790111</v>
      </c>
      <c r="H58">
        <v>-6.5108709651160446E-2</v>
      </c>
      <c r="I58">
        <v>-0.21305322011799799</v>
      </c>
      <c r="J58">
        <v>0.17228225872099046</v>
      </c>
      <c r="K58" t="s">
        <v>41</v>
      </c>
    </row>
    <row r="59" spans="1:11" x14ac:dyDescent="0.25">
      <c r="A59" s="374">
        <v>46204</v>
      </c>
      <c r="B59" t="s">
        <v>10</v>
      </c>
      <c r="C59" s="294">
        <v>46295</v>
      </c>
      <c r="D59" s="294">
        <v>46337</v>
      </c>
      <c r="E59">
        <v>1.68636582276945</v>
      </c>
      <c r="F59">
        <v>3.7643000182240094</v>
      </c>
      <c r="G59">
        <v>2.1365822769449982</v>
      </c>
      <c r="H59">
        <v>8.546329107779993E-2</v>
      </c>
      <c r="I59">
        <v>-0.31667804938400046</v>
      </c>
      <c r="J59">
        <v>-0.26341772305500388</v>
      </c>
      <c r="K59" t="s">
        <v>41</v>
      </c>
    </row>
    <row r="60" spans="1:11" x14ac:dyDescent="0.25">
      <c r="A60" s="374">
        <v>46204</v>
      </c>
      <c r="B60" t="s">
        <v>12</v>
      </c>
      <c r="C60" s="294">
        <v>46337</v>
      </c>
      <c r="D60" s="294">
        <v>46379</v>
      </c>
      <c r="E60">
        <v>1.71295112781561</v>
      </c>
      <c r="F60">
        <v>2.6585305046159968</v>
      </c>
      <c r="G60">
        <v>4.7951127815609951</v>
      </c>
      <c r="H60">
        <v>0.1918045112624398</v>
      </c>
      <c r="I60">
        <v>-0.15245878677601077</v>
      </c>
      <c r="J60">
        <v>-0.60488721843900972</v>
      </c>
      <c r="K60" t="s">
        <v>41</v>
      </c>
    </row>
    <row r="61" spans="1:11" x14ac:dyDescent="0.25">
      <c r="A61" s="374">
        <v>46204</v>
      </c>
      <c r="B61" t="s">
        <v>13</v>
      </c>
      <c r="C61" s="294">
        <v>46379</v>
      </c>
      <c r="D61" s="294">
        <v>46421</v>
      </c>
      <c r="E61">
        <v>1.7377065654477999</v>
      </c>
      <c r="F61">
        <v>2.4755437632189903</v>
      </c>
      <c r="G61">
        <v>7.2706565447799854</v>
      </c>
      <c r="H61">
        <v>0.29082626179119941</v>
      </c>
      <c r="I61">
        <v>-1.5576782797340094</v>
      </c>
      <c r="J61" t="s">
        <v>41</v>
      </c>
      <c r="K61" t="s">
        <v>41</v>
      </c>
    </row>
    <row r="62" spans="1:11" x14ac:dyDescent="0.25">
      <c r="A62" s="374">
        <v>46204</v>
      </c>
      <c r="B62" t="s">
        <v>14</v>
      </c>
      <c r="C62" s="294">
        <v>46421</v>
      </c>
      <c r="D62" s="294">
        <v>46470</v>
      </c>
      <c r="E62">
        <v>1.7519826387822499</v>
      </c>
      <c r="F62">
        <v>1.4276073334450023</v>
      </c>
      <c r="G62">
        <v>8.6982638782249886</v>
      </c>
      <c r="H62">
        <v>0.34793055512899956</v>
      </c>
      <c r="I62">
        <v>-3.6467786126870072</v>
      </c>
      <c r="J62" t="s">
        <v>41</v>
      </c>
      <c r="K62" t="s">
        <v>41</v>
      </c>
    </row>
    <row r="63" spans="1:11" x14ac:dyDescent="0.25">
      <c r="A63" s="374">
        <v>46204</v>
      </c>
      <c r="C63" s="294"/>
      <c r="D63" s="294"/>
      <c r="I63">
        <v>0</v>
      </c>
      <c r="J63" t="s">
        <v>41</v>
      </c>
      <c r="K63" t="s">
        <v>41</v>
      </c>
    </row>
    <row r="64" spans="1:11" x14ac:dyDescent="0.25">
      <c r="A64" s="374">
        <v>46204</v>
      </c>
      <c r="C64" s="294"/>
      <c r="D64" s="294"/>
      <c r="I64">
        <v>0</v>
      </c>
      <c r="J64" t="s">
        <v>41</v>
      </c>
      <c r="K64" t="s">
        <v>41</v>
      </c>
    </row>
    <row r="65" spans="1:11" x14ac:dyDescent="0.25">
      <c r="A65" s="374">
        <v>46204</v>
      </c>
      <c r="C65" s="294"/>
      <c r="D65" s="294"/>
      <c r="I65">
        <v>0</v>
      </c>
      <c r="J65" t="s">
        <v>41</v>
      </c>
      <c r="K65" t="s">
        <v>41</v>
      </c>
    </row>
    <row r="66" spans="1:11" x14ac:dyDescent="0.25">
      <c r="A66" s="374">
        <v>46204</v>
      </c>
      <c r="C66" s="294"/>
      <c r="D66" s="294"/>
      <c r="I66">
        <v>0</v>
      </c>
      <c r="J66" t="s">
        <v>41</v>
      </c>
      <c r="K66" t="s">
        <v>41</v>
      </c>
    </row>
    <row r="67" spans="1:11" x14ac:dyDescent="0.25">
      <c r="A67" s="374">
        <v>46204</v>
      </c>
      <c r="C67" s="294"/>
      <c r="D67" s="294"/>
      <c r="I67">
        <v>0</v>
      </c>
      <c r="J67" t="s">
        <v>41</v>
      </c>
      <c r="K67" t="s">
        <v>41</v>
      </c>
    </row>
    <row r="68" spans="1:11" x14ac:dyDescent="0.25">
      <c r="A68" s="374">
        <v>46204</v>
      </c>
      <c r="C68" s="294"/>
      <c r="D68" s="294"/>
      <c r="I68">
        <v>0</v>
      </c>
      <c r="J68" t="s">
        <v>41</v>
      </c>
      <c r="K68" t="s">
        <v>41</v>
      </c>
    </row>
    <row r="69" spans="1:11" x14ac:dyDescent="0.25">
      <c r="A69" s="374">
        <v>46204</v>
      </c>
      <c r="C69" s="294"/>
      <c r="D69" s="294"/>
      <c r="I69">
        <v>0</v>
      </c>
      <c r="J69" t="s">
        <v>41</v>
      </c>
      <c r="K69" t="s">
        <v>41</v>
      </c>
    </row>
    <row r="70" spans="1:11" x14ac:dyDescent="0.25">
      <c r="A70" s="374">
        <v>46205</v>
      </c>
      <c r="B70" t="s">
        <v>9</v>
      </c>
      <c r="C70" s="294">
        <v>46260</v>
      </c>
      <c r="D70" s="294">
        <v>46295</v>
      </c>
      <c r="E70">
        <v>1.6496567714967401</v>
      </c>
      <c r="F70">
        <v>1.5656771496740163</v>
      </c>
      <c r="G70">
        <v>1.5656771496740163</v>
      </c>
      <c r="H70">
        <v>6.2627085986960651E-2</v>
      </c>
      <c r="I70">
        <v>9.3394890953013565E-2</v>
      </c>
      <c r="J70">
        <v>-3.4322850325985144E-2</v>
      </c>
      <c r="K70" t="s">
        <v>41</v>
      </c>
    </row>
    <row r="71" spans="1:11" x14ac:dyDescent="0.25">
      <c r="A71" s="374">
        <v>46205</v>
      </c>
      <c r="B71" t="s">
        <v>10</v>
      </c>
      <c r="C71" s="294">
        <v>46295</v>
      </c>
      <c r="D71" s="294">
        <v>46337</v>
      </c>
      <c r="E71">
        <v>1.6858658667823601</v>
      </c>
      <c r="F71">
        <v>3.6209095285619997</v>
      </c>
      <c r="G71">
        <v>5.1865866782360159</v>
      </c>
      <c r="H71">
        <v>0.20746346712944064</v>
      </c>
      <c r="I71">
        <v>-4.999559870899617E-2</v>
      </c>
      <c r="J71">
        <v>-0.41341332176398904</v>
      </c>
      <c r="K71" t="s">
        <v>41</v>
      </c>
    </row>
    <row r="72" spans="1:11" x14ac:dyDescent="0.25">
      <c r="A72" s="374">
        <v>46205</v>
      </c>
      <c r="B72" t="s">
        <v>12</v>
      </c>
      <c r="C72" s="294">
        <v>46337</v>
      </c>
      <c r="D72" s="294">
        <v>46379</v>
      </c>
      <c r="E72">
        <v>1.70911824213972</v>
      </c>
      <c r="F72">
        <v>2.3252375357359911</v>
      </c>
      <c r="G72">
        <v>7.5118242139720071</v>
      </c>
      <c r="H72">
        <v>0.30047296855888028</v>
      </c>
      <c r="I72">
        <v>-0.38328856758900187</v>
      </c>
      <c r="J72">
        <v>-0.78817578602801142</v>
      </c>
      <c r="K72" t="s">
        <v>41</v>
      </c>
    </row>
    <row r="73" spans="1:11" x14ac:dyDescent="0.25">
      <c r="A73" s="374">
        <v>46205</v>
      </c>
      <c r="B73" t="s">
        <v>13</v>
      </c>
      <c r="C73" s="294">
        <v>46379</v>
      </c>
      <c r="D73" s="294">
        <v>46421</v>
      </c>
      <c r="E73">
        <v>1.7297092727494401</v>
      </c>
      <c r="F73">
        <v>2.0591030609720118</v>
      </c>
      <c r="G73">
        <v>9.5709272749440188</v>
      </c>
      <c r="H73">
        <v>0.38283709099776075</v>
      </c>
      <c r="I73">
        <v>-0.79972926983598036</v>
      </c>
      <c r="J73" t="s">
        <v>41</v>
      </c>
      <c r="K73" t="s">
        <v>41</v>
      </c>
    </row>
    <row r="74" spans="1:11" x14ac:dyDescent="0.25">
      <c r="A74" s="374">
        <v>46205</v>
      </c>
      <c r="B74" t="s">
        <v>14</v>
      </c>
      <c r="C74" s="294">
        <v>46421</v>
      </c>
      <c r="D74" s="294">
        <v>46470</v>
      </c>
      <c r="E74">
        <v>1.75091791147381</v>
      </c>
      <c r="F74">
        <v>2.1208638724369955</v>
      </c>
      <c r="G74">
        <v>11.691791147381014</v>
      </c>
      <c r="H74">
        <v>0.46767164589524057</v>
      </c>
      <c r="I74">
        <v>-0.10647273084398723</v>
      </c>
      <c r="J74" t="s">
        <v>41</v>
      </c>
      <c r="K74" t="s">
        <v>41</v>
      </c>
    </row>
    <row r="75" spans="1:11" x14ac:dyDescent="0.25">
      <c r="A75" s="374">
        <v>46205</v>
      </c>
      <c r="C75" s="294"/>
      <c r="D75" s="294"/>
      <c r="I75">
        <v>0</v>
      </c>
      <c r="J75" t="s">
        <v>41</v>
      </c>
      <c r="K75" t="s">
        <v>41</v>
      </c>
    </row>
    <row r="76" spans="1:11" x14ac:dyDescent="0.25">
      <c r="A76" s="374">
        <v>46205</v>
      </c>
      <c r="C76" s="294"/>
      <c r="D76" s="294"/>
      <c r="I76">
        <v>0</v>
      </c>
      <c r="J76" t="s">
        <v>41</v>
      </c>
      <c r="K76" t="s">
        <v>41</v>
      </c>
    </row>
    <row r="77" spans="1:11" x14ac:dyDescent="0.25">
      <c r="A77" s="374">
        <v>46205</v>
      </c>
      <c r="C77" s="294"/>
      <c r="D77" s="294"/>
      <c r="I77">
        <v>0</v>
      </c>
      <c r="J77" t="s">
        <v>41</v>
      </c>
      <c r="K77" t="s">
        <v>41</v>
      </c>
    </row>
    <row r="78" spans="1:11" x14ac:dyDescent="0.25">
      <c r="A78" s="374">
        <v>46205</v>
      </c>
      <c r="C78" s="294"/>
      <c r="D78" s="294"/>
      <c r="I78">
        <v>0</v>
      </c>
      <c r="J78" t="s">
        <v>41</v>
      </c>
      <c r="K78" t="s">
        <v>41</v>
      </c>
    </row>
    <row r="79" spans="1:11" x14ac:dyDescent="0.25">
      <c r="A79" s="374">
        <v>46205</v>
      </c>
      <c r="C79" s="294"/>
      <c r="D79" s="294"/>
      <c r="I79">
        <v>0</v>
      </c>
      <c r="J79" t="s">
        <v>41</v>
      </c>
      <c r="K79" t="s">
        <v>41</v>
      </c>
    </row>
    <row r="80" spans="1:11" x14ac:dyDescent="0.25">
      <c r="A80" s="374">
        <v>46205</v>
      </c>
      <c r="C80" s="294"/>
      <c r="D80" s="294"/>
      <c r="I80">
        <v>0</v>
      </c>
      <c r="J80" t="s">
        <v>41</v>
      </c>
      <c r="K80" t="s">
        <v>41</v>
      </c>
    </row>
    <row r="81" spans="1:11" x14ac:dyDescent="0.25">
      <c r="A81" s="374">
        <v>46205</v>
      </c>
      <c r="C81" s="294"/>
      <c r="D81" s="294"/>
      <c r="I81">
        <v>0</v>
      </c>
      <c r="J81" t="s">
        <v>41</v>
      </c>
      <c r="K81" t="s">
        <v>41</v>
      </c>
    </row>
    <row r="82" spans="1:11" x14ac:dyDescent="0.25">
      <c r="A82" s="374">
        <v>46206</v>
      </c>
      <c r="B82" t="s">
        <v>9</v>
      </c>
      <c r="C82" s="294">
        <v>46260</v>
      </c>
      <c r="D82" s="294">
        <v>46295</v>
      </c>
      <c r="E82">
        <v>1.65084511850017</v>
      </c>
      <c r="F82">
        <v>1.784511850017001</v>
      </c>
      <c r="G82">
        <v>1.784511850017001</v>
      </c>
      <c r="H82">
        <v>7.1380474000680039E-2</v>
      </c>
      <c r="I82">
        <v>0.1188347003429957</v>
      </c>
      <c r="J82">
        <v>0.18451185001699955</v>
      </c>
      <c r="K82" t="s">
        <v>41</v>
      </c>
    </row>
    <row r="83" spans="1:11" x14ac:dyDescent="0.25">
      <c r="A83" s="374">
        <v>46206</v>
      </c>
      <c r="B83" t="s">
        <v>10</v>
      </c>
      <c r="C83" s="294">
        <v>46295</v>
      </c>
      <c r="D83" s="294">
        <v>46337</v>
      </c>
      <c r="E83">
        <v>1.6880326143159501</v>
      </c>
      <c r="F83">
        <v>3.7187495815780069</v>
      </c>
      <c r="G83">
        <v>5.5032614315950079</v>
      </c>
      <c r="H83">
        <v>0.22013045726380032</v>
      </c>
      <c r="I83">
        <v>0.21667475335900299</v>
      </c>
      <c r="J83">
        <v>-9.6738568404997061E-2</v>
      </c>
      <c r="K83" t="s">
        <v>41</v>
      </c>
    </row>
    <row r="84" spans="1:11" x14ac:dyDescent="0.25">
      <c r="A84" s="374">
        <v>46206</v>
      </c>
      <c r="B84" t="s">
        <v>12</v>
      </c>
      <c r="C84" s="294">
        <v>46337</v>
      </c>
      <c r="D84" s="294">
        <v>46379</v>
      </c>
      <c r="E84">
        <v>1.7122846787806101</v>
      </c>
      <c r="F84">
        <v>2.4252064464659995</v>
      </c>
      <c r="G84">
        <v>7.9284678780610074</v>
      </c>
      <c r="H84">
        <v>0.3171387151224403</v>
      </c>
      <c r="I84">
        <v>0.31664366408901135</v>
      </c>
      <c r="J84">
        <v>-0.1715321219389887</v>
      </c>
      <c r="K84" t="s">
        <v>41</v>
      </c>
    </row>
    <row r="85" spans="1:11" x14ac:dyDescent="0.25">
      <c r="A85" s="374">
        <v>46206</v>
      </c>
      <c r="B85" t="s">
        <v>13</v>
      </c>
      <c r="C85" s="294">
        <v>46379</v>
      </c>
      <c r="D85" s="294">
        <v>46421</v>
      </c>
      <c r="E85">
        <v>1.7337079276433101</v>
      </c>
      <c r="F85">
        <v>2.1423248862699973</v>
      </c>
      <c r="G85">
        <v>10.070792764331005</v>
      </c>
      <c r="H85">
        <v>0.40283171057324019</v>
      </c>
      <c r="I85">
        <v>0.39986548938699684</v>
      </c>
      <c r="J85" t="s">
        <v>41</v>
      </c>
      <c r="K85" t="s">
        <v>41</v>
      </c>
    </row>
    <row r="86" spans="1:11" x14ac:dyDescent="0.25">
      <c r="A86" s="374">
        <v>46206</v>
      </c>
      <c r="B86" t="s">
        <v>14</v>
      </c>
      <c r="C86" s="294">
        <v>46421</v>
      </c>
      <c r="D86" s="294">
        <v>46470</v>
      </c>
      <c r="E86">
        <v>1.7598300885085401</v>
      </c>
      <c r="F86">
        <v>2.6122160865230004</v>
      </c>
      <c r="G86">
        <v>12.683008850854005</v>
      </c>
      <c r="H86">
        <v>0.5073203540341602</v>
      </c>
      <c r="I86">
        <v>0.89121770347300178</v>
      </c>
      <c r="J86" t="s">
        <v>41</v>
      </c>
      <c r="K86" t="s">
        <v>41</v>
      </c>
    </row>
    <row r="87" spans="1:11" x14ac:dyDescent="0.25">
      <c r="A87" s="374">
        <v>46206</v>
      </c>
      <c r="C87" s="294"/>
      <c r="D87" s="294"/>
      <c r="I87">
        <v>0</v>
      </c>
      <c r="J87" t="s">
        <v>41</v>
      </c>
      <c r="K87" t="s">
        <v>41</v>
      </c>
    </row>
    <row r="88" spans="1:11" x14ac:dyDescent="0.25">
      <c r="A88" s="374">
        <v>46206</v>
      </c>
      <c r="C88" s="294"/>
      <c r="D88" s="294"/>
      <c r="I88">
        <v>0</v>
      </c>
      <c r="J88" t="s">
        <v>41</v>
      </c>
      <c r="K88" t="s">
        <v>41</v>
      </c>
    </row>
    <row r="89" spans="1:11" x14ac:dyDescent="0.25">
      <c r="A89" s="374">
        <v>46206</v>
      </c>
      <c r="C89" s="294"/>
      <c r="D89" s="294"/>
      <c r="I89">
        <v>0</v>
      </c>
      <c r="J89" t="s">
        <v>41</v>
      </c>
      <c r="K89" t="s">
        <v>41</v>
      </c>
    </row>
    <row r="90" spans="1:11" x14ac:dyDescent="0.25">
      <c r="A90" s="374">
        <v>46206</v>
      </c>
      <c r="C90" s="294"/>
      <c r="D90" s="294"/>
      <c r="I90">
        <v>0</v>
      </c>
      <c r="J90" t="s">
        <v>41</v>
      </c>
      <c r="K90" t="s">
        <v>41</v>
      </c>
    </row>
    <row r="91" spans="1:11" x14ac:dyDescent="0.25">
      <c r="A91" s="374">
        <v>46206</v>
      </c>
      <c r="C91" s="294"/>
      <c r="D91" s="294"/>
      <c r="I91">
        <v>0</v>
      </c>
      <c r="J91" t="s">
        <v>41</v>
      </c>
      <c r="K91" t="s">
        <v>41</v>
      </c>
    </row>
    <row r="92" spans="1:11" x14ac:dyDescent="0.25">
      <c r="A92" s="374">
        <v>46206</v>
      </c>
      <c r="C92" s="294"/>
      <c r="D92" s="294"/>
      <c r="I92">
        <v>0</v>
      </c>
      <c r="J92" t="s">
        <v>41</v>
      </c>
      <c r="K92" t="s">
        <v>41</v>
      </c>
    </row>
    <row r="93" spans="1:11" x14ac:dyDescent="0.25">
      <c r="A93" s="374">
        <v>46206</v>
      </c>
      <c r="C93" s="294"/>
      <c r="D93" s="294"/>
      <c r="I93">
        <v>0</v>
      </c>
      <c r="J93" t="s">
        <v>41</v>
      </c>
      <c r="K93" t="s">
        <v>41</v>
      </c>
    </row>
    <row r="94" spans="1:11" x14ac:dyDescent="0.25">
      <c r="A94" s="374">
        <v>46209</v>
      </c>
      <c r="B94" t="s">
        <v>9</v>
      </c>
      <c r="C94" s="294">
        <v>46260</v>
      </c>
      <c r="D94" s="294">
        <v>46295</v>
      </c>
      <c r="E94">
        <v>1.65165433228963</v>
      </c>
      <c r="F94">
        <v>1.6654332289629981</v>
      </c>
      <c r="G94">
        <v>1.6654332289629981</v>
      </c>
      <c r="H94">
        <v>6.6617329158519922E-2</v>
      </c>
      <c r="I94">
        <v>8.0921378945997269E-2</v>
      </c>
      <c r="J94">
        <v>0.1714541261879976</v>
      </c>
      <c r="K94" t="s">
        <v>41</v>
      </c>
    </row>
    <row r="95" spans="1:11" x14ac:dyDescent="0.25">
      <c r="A95" s="374">
        <v>46209</v>
      </c>
      <c r="B95" t="s">
        <v>10</v>
      </c>
      <c r="C95" s="294">
        <v>46295</v>
      </c>
      <c r="D95" s="294">
        <v>46337</v>
      </c>
      <c r="E95">
        <v>1.6880326303907101</v>
      </c>
      <c r="F95">
        <v>3.6378298101080064</v>
      </c>
      <c r="G95">
        <v>5.3032630390710045</v>
      </c>
      <c r="H95">
        <v>0.21213052156284018</v>
      </c>
      <c r="I95">
        <v>1.607475996756591E-6</v>
      </c>
      <c r="J95">
        <v>-8.3328839275997879E-2</v>
      </c>
      <c r="K95" t="s">
        <v>41</v>
      </c>
    </row>
    <row r="96" spans="1:11" x14ac:dyDescent="0.25">
      <c r="A96" s="374">
        <v>46209</v>
      </c>
      <c r="B96" t="s">
        <v>12</v>
      </c>
      <c r="C96" s="294">
        <v>46337</v>
      </c>
      <c r="D96" s="294">
        <v>46379</v>
      </c>
      <c r="E96">
        <v>1.7122846709521999</v>
      </c>
      <c r="F96">
        <v>2.4252040561489885</v>
      </c>
      <c r="G96">
        <v>7.728467095219993</v>
      </c>
      <c r="H96">
        <v>0.30913868380879972</v>
      </c>
      <c r="I96">
        <v>-7.8284101423520269E-7</v>
      </c>
      <c r="J96">
        <v>-0.35502822295401248</v>
      </c>
      <c r="K96" t="s">
        <v>41</v>
      </c>
    </row>
    <row r="97" spans="1:11" x14ac:dyDescent="0.25">
      <c r="A97" s="374">
        <v>46209</v>
      </c>
      <c r="B97" t="s">
        <v>13</v>
      </c>
      <c r="C97" s="294">
        <v>46379</v>
      </c>
      <c r="D97" s="294">
        <v>46421</v>
      </c>
      <c r="E97">
        <v>1.7337079281887799</v>
      </c>
      <c r="F97">
        <v>2.1423257236580007</v>
      </c>
      <c r="G97">
        <v>9.8707928188779945</v>
      </c>
      <c r="H97">
        <v>0.3948317127551198</v>
      </c>
      <c r="I97">
        <v>5.4546989147752356E-8</v>
      </c>
      <c r="J97">
        <v>-2.6537983309919966</v>
      </c>
      <c r="K97" t="s">
        <v>41</v>
      </c>
    </row>
    <row r="98" spans="1:11" x14ac:dyDescent="0.25">
      <c r="A98" s="374">
        <v>46209</v>
      </c>
      <c r="B98" t="s">
        <v>14</v>
      </c>
      <c r="C98" s="294">
        <v>46421</v>
      </c>
      <c r="D98" s="294">
        <v>46470</v>
      </c>
      <c r="E98">
        <v>1.7614179142439199</v>
      </c>
      <c r="F98">
        <v>2.7709986055139968</v>
      </c>
      <c r="G98">
        <v>12.64179142439199</v>
      </c>
      <c r="H98">
        <v>0.50567165697567962</v>
      </c>
      <c r="I98">
        <v>0.15878257353798553</v>
      </c>
      <c r="J98">
        <v>-3.8932022977690162</v>
      </c>
      <c r="K98" t="s">
        <v>41</v>
      </c>
    </row>
    <row r="99" spans="1:11" x14ac:dyDescent="0.25">
      <c r="A99" s="374">
        <v>46209</v>
      </c>
      <c r="C99" s="294"/>
      <c r="D99" s="294"/>
      <c r="I99">
        <v>0</v>
      </c>
      <c r="J99">
        <v>0</v>
      </c>
      <c r="K99" t="s">
        <v>41</v>
      </c>
    </row>
    <row r="100" spans="1:11" x14ac:dyDescent="0.25">
      <c r="A100" s="374">
        <v>46209</v>
      </c>
      <c r="C100" s="294"/>
      <c r="D100" s="294"/>
      <c r="I100">
        <v>0</v>
      </c>
      <c r="J100">
        <v>0</v>
      </c>
      <c r="K100" t="s">
        <v>41</v>
      </c>
    </row>
    <row r="101" spans="1:11" x14ac:dyDescent="0.25">
      <c r="A101" s="374">
        <v>46209</v>
      </c>
      <c r="C101" s="294"/>
      <c r="D101" s="294"/>
      <c r="I101">
        <v>0</v>
      </c>
      <c r="J101">
        <v>0</v>
      </c>
      <c r="K101" t="s">
        <v>41</v>
      </c>
    </row>
    <row r="102" spans="1:11" x14ac:dyDescent="0.25">
      <c r="A102" s="374">
        <v>46209</v>
      </c>
      <c r="C102" s="294"/>
      <c r="D102" s="294"/>
      <c r="I102">
        <v>0</v>
      </c>
      <c r="J102">
        <v>0</v>
      </c>
      <c r="K102" t="s">
        <v>41</v>
      </c>
    </row>
    <row r="103" spans="1:11" x14ac:dyDescent="0.25">
      <c r="A103" s="374">
        <v>46209</v>
      </c>
      <c r="C103" s="294"/>
      <c r="D103" s="294"/>
      <c r="I103">
        <v>0</v>
      </c>
      <c r="J103">
        <v>0</v>
      </c>
      <c r="K103" t="s">
        <v>41</v>
      </c>
    </row>
    <row r="104" spans="1:11" x14ac:dyDescent="0.25">
      <c r="A104" s="374">
        <v>46209</v>
      </c>
      <c r="C104" s="294"/>
      <c r="D104" s="294"/>
      <c r="I104">
        <v>0</v>
      </c>
      <c r="J104">
        <v>0</v>
      </c>
      <c r="K104" t="s">
        <v>41</v>
      </c>
    </row>
    <row r="105" spans="1:11" x14ac:dyDescent="0.25">
      <c r="A105" s="374">
        <v>46209</v>
      </c>
      <c r="C105" s="294"/>
      <c r="D105" s="294"/>
      <c r="I105">
        <v>0</v>
      </c>
      <c r="J105">
        <v>0</v>
      </c>
      <c r="K105" t="s">
        <v>41</v>
      </c>
    </row>
    <row r="106" spans="1:11" x14ac:dyDescent="0.25">
      <c r="A106" s="374">
        <v>46210</v>
      </c>
      <c r="B106" t="s">
        <v>9</v>
      </c>
      <c r="C106" s="294">
        <v>46260</v>
      </c>
      <c r="D106" s="294">
        <v>46295</v>
      </c>
      <c r="E106">
        <v>1.6550076438627299</v>
      </c>
      <c r="F106">
        <v>2.1007643862730019</v>
      </c>
      <c r="G106">
        <v>2.1007643862730019</v>
      </c>
      <c r="H106">
        <v>8.4030575450920075E-2</v>
      </c>
      <c r="I106">
        <v>0.33533115730999263</v>
      </c>
      <c r="J106">
        <v>0.41542890743400118</v>
      </c>
      <c r="K106" t="s">
        <v>41</v>
      </c>
    </row>
    <row r="107" spans="1:11" x14ac:dyDescent="0.25">
      <c r="A107" s="374">
        <v>46210</v>
      </c>
      <c r="B107" t="s">
        <v>10</v>
      </c>
      <c r="C107" s="294">
        <v>46295</v>
      </c>
      <c r="D107" s="294">
        <v>46337</v>
      </c>
      <c r="E107">
        <v>1.6935328061309001</v>
      </c>
      <c r="F107">
        <v>3.8525162268170154</v>
      </c>
      <c r="G107">
        <v>5.9532806130900173</v>
      </c>
      <c r="H107">
        <v>0.23813122452360069</v>
      </c>
      <c r="I107">
        <v>0.55001757401900164</v>
      </c>
      <c r="J107">
        <v>0.40002028676100476</v>
      </c>
      <c r="K107" t="s">
        <v>41</v>
      </c>
    </row>
    <row r="108" spans="1:11" x14ac:dyDescent="0.25">
      <c r="A108" s="374">
        <v>46210</v>
      </c>
      <c r="B108" t="s">
        <v>12</v>
      </c>
      <c r="C108" s="294">
        <v>46337</v>
      </c>
      <c r="D108" s="294">
        <v>46379</v>
      </c>
      <c r="E108">
        <v>1.72145050554276</v>
      </c>
      <c r="F108">
        <v>2.7917699411859953</v>
      </c>
      <c r="G108">
        <v>8.7450505542760126</v>
      </c>
      <c r="H108">
        <v>0.34980202217104051</v>
      </c>
      <c r="I108">
        <v>0.91658345905600846</v>
      </c>
      <c r="J108">
        <v>0.69747898593899293</v>
      </c>
      <c r="K108" t="s">
        <v>41</v>
      </c>
    </row>
    <row r="109" spans="1:11" x14ac:dyDescent="0.25">
      <c r="A109" s="374">
        <v>46210</v>
      </c>
      <c r="B109" t="s">
        <v>13</v>
      </c>
      <c r="C109" s="294">
        <v>46379</v>
      </c>
      <c r="D109" s="294">
        <v>46421</v>
      </c>
      <c r="E109">
        <v>1.7487028315386299</v>
      </c>
      <c r="F109">
        <v>2.7252325995869908</v>
      </c>
      <c r="G109">
        <v>11.470283153863004</v>
      </c>
      <c r="H109">
        <v>0.45881132615452019</v>
      </c>
      <c r="I109">
        <v>1.4994903349849986</v>
      </c>
      <c r="J109">
        <v>-0.45805167065100516</v>
      </c>
      <c r="K109" t="s">
        <v>41</v>
      </c>
    </row>
    <row r="110" spans="1:11" x14ac:dyDescent="0.25">
      <c r="A110" s="374">
        <v>46210</v>
      </c>
      <c r="B110" t="s">
        <v>14</v>
      </c>
      <c r="C110" s="294">
        <v>46421</v>
      </c>
      <c r="D110" s="294">
        <v>46470</v>
      </c>
      <c r="E110">
        <v>1.7810498614221999</v>
      </c>
      <c r="F110">
        <v>3.2347029883569967</v>
      </c>
      <c r="G110">
        <v>14.704986142220001</v>
      </c>
      <c r="H110">
        <v>0.5881994456888</v>
      </c>
      <c r="I110">
        <v>1.9631947178279985</v>
      </c>
      <c r="J110">
        <v>-0.74005634869200865</v>
      </c>
      <c r="K110" t="s">
        <v>41</v>
      </c>
    </row>
    <row r="111" spans="1:11" x14ac:dyDescent="0.25">
      <c r="A111" s="374">
        <v>46210</v>
      </c>
      <c r="C111" s="294"/>
      <c r="D111" s="294"/>
      <c r="I111">
        <v>0</v>
      </c>
      <c r="J111">
        <v>0</v>
      </c>
      <c r="K111" t="s">
        <v>41</v>
      </c>
    </row>
    <row r="112" spans="1:11" x14ac:dyDescent="0.25">
      <c r="A112" s="374">
        <v>46210</v>
      </c>
      <c r="C112" s="294"/>
      <c r="D112" s="294"/>
      <c r="I112">
        <v>0</v>
      </c>
      <c r="J112">
        <v>0</v>
      </c>
      <c r="K112" t="s">
        <v>41</v>
      </c>
    </row>
    <row r="113" spans="1:11" x14ac:dyDescent="0.25">
      <c r="A113" s="374">
        <v>46210</v>
      </c>
      <c r="C113" s="294"/>
      <c r="D113" s="294"/>
      <c r="I113">
        <v>0</v>
      </c>
      <c r="J113">
        <v>0</v>
      </c>
      <c r="K113" t="s">
        <v>41</v>
      </c>
    </row>
    <row r="114" spans="1:11" x14ac:dyDescent="0.25">
      <c r="A114" s="374">
        <v>46210</v>
      </c>
      <c r="C114" s="294"/>
      <c r="D114" s="294"/>
      <c r="I114">
        <v>0</v>
      </c>
      <c r="J114">
        <v>0</v>
      </c>
      <c r="K114" t="s">
        <v>41</v>
      </c>
    </row>
    <row r="115" spans="1:11" x14ac:dyDescent="0.25">
      <c r="A115" s="374">
        <v>46210</v>
      </c>
      <c r="C115" s="294"/>
      <c r="D115" s="294"/>
      <c r="I115">
        <v>0</v>
      </c>
      <c r="J115">
        <v>0</v>
      </c>
      <c r="K115" t="s">
        <v>41</v>
      </c>
    </row>
    <row r="116" spans="1:11" x14ac:dyDescent="0.25">
      <c r="A116" s="374">
        <v>46210</v>
      </c>
      <c r="C116" s="294"/>
      <c r="D116" s="294"/>
      <c r="I116">
        <v>0</v>
      </c>
      <c r="J116">
        <v>0</v>
      </c>
      <c r="K116" t="s">
        <v>41</v>
      </c>
    </row>
    <row r="117" spans="1:11" x14ac:dyDescent="0.25">
      <c r="A117" s="374">
        <v>46210</v>
      </c>
      <c r="C117" s="294"/>
      <c r="D117" s="294"/>
      <c r="I117">
        <v>0</v>
      </c>
      <c r="J117">
        <v>0</v>
      </c>
      <c r="K117" t="s">
        <v>41</v>
      </c>
    </row>
    <row r="118" spans="1:11" x14ac:dyDescent="0.25">
      <c r="A118" s="374">
        <v>46211</v>
      </c>
      <c r="B118" t="s">
        <v>9</v>
      </c>
      <c r="C118" s="294">
        <v>46260</v>
      </c>
      <c r="D118" s="294">
        <v>46295</v>
      </c>
      <c r="E118">
        <v>1.67874982383813</v>
      </c>
      <c r="F118">
        <v>4.6749823838130089</v>
      </c>
      <c r="G118">
        <v>4.6749823838130089</v>
      </c>
      <c r="H118">
        <v>0.18699929535252036</v>
      </c>
      <c r="I118">
        <v>2.3742179975400068</v>
      </c>
      <c r="J118">
        <v>3.002700125092006</v>
      </c>
      <c r="K118" t="s">
        <v>41</v>
      </c>
    </row>
    <row r="119" spans="1:11" x14ac:dyDescent="0.25">
      <c r="A119" s="374">
        <v>46211</v>
      </c>
      <c r="B119" t="s">
        <v>10</v>
      </c>
      <c r="C119" s="294">
        <v>46295</v>
      </c>
      <c r="D119" s="294">
        <v>46337</v>
      </c>
      <c r="E119">
        <v>1.7720377223380901</v>
      </c>
      <c r="F119">
        <v>9.32878984999601</v>
      </c>
      <c r="G119">
        <v>14.00377223380902</v>
      </c>
      <c r="H119">
        <v>0.56015088935236079</v>
      </c>
      <c r="I119">
        <v>7.8504916207190023</v>
      </c>
      <c r="J119">
        <v>8.5671899568640075</v>
      </c>
      <c r="K119" t="s">
        <v>41</v>
      </c>
    </row>
    <row r="120" spans="1:11" x14ac:dyDescent="0.25">
      <c r="A120" s="374">
        <v>46211</v>
      </c>
      <c r="B120" t="s">
        <v>12</v>
      </c>
      <c r="C120" s="294">
        <v>46337</v>
      </c>
      <c r="D120" s="294">
        <v>46379</v>
      </c>
      <c r="E120">
        <v>1.8921789635185799</v>
      </c>
      <c r="F120">
        <v>12.014124118048986</v>
      </c>
      <c r="G120">
        <v>26.017896351858006</v>
      </c>
      <c r="H120">
        <v>1.0407158540743202</v>
      </c>
      <c r="I120">
        <v>17.072845797581991</v>
      </c>
      <c r="J120">
        <v>17.922783570296996</v>
      </c>
      <c r="K120" t="s">
        <v>41</v>
      </c>
    </row>
    <row r="121" spans="1:11" x14ac:dyDescent="0.25">
      <c r="A121" s="374">
        <v>46211</v>
      </c>
      <c r="B121" t="s">
        <v>13</v>
      </c>
      <c r="C121" s="294">
        <v>46379</v>
      </c>
      <c r="D121" s="294">
        <v>46421</v>
      </c>
      <c r="E121">
        <v>2.1931834563905701</v>
      </c>
      <c r="F121">
        <v>30.100449287199016</v>
      </c>
      <c r="G121">
        <v>56.118345639057019</v>
      </c>
      <c r="H121">
        <v>2.2447338255622808</v>
      </c>
      <c r="I121">
        <v>44.448062485194015</v>
      </c>
      <c r="J121">
        <v>45.547689094277018</v>
      </c>
      <c r="K121" t="s">
        <v>41</v>
      </c>
    </row>
    <row r="122" spans="1:11" x14ac:dyDescent="0.25">
      <c r="A122" s="374">
        <v>46211</v>
      </c>
      <c r="B122" t="s">
        <v>14</v>
      </c>
      <c r="C122" s="294">
        <v>46421</v>
      </c>
      <c r="D122" s="294">
        <v>46470</v>
      </c>
      <c r="E122">
        <v>2.2510743123562702</v>
      </c>
      <c r="F122">
        <v>5.7890855965700094</v>
      </c>
      <c r="G122">
        <v>61.90743123562703</v>
      </c>
      <c r="H122">
        <v>2.4762972494250812</v>
      </c>
      <c r="I122">
        <v>47.002445093407033</v>
      </c>
      <c r="J122">
        <v>49.909167357402026</v>
      </c>
      <c r="K122" t="s">
        <v>41</v>
      </c>
    </row>
    <row r="123" spans="1:11" x14ac:dyDescent="0.25">
      <c r="A123" s="374">
        <v>46211</v>
      </c>
      <c r="C123" s="294"/>
      <c r="D123" s="294"/>
      <c r="I123">
        <v>0</v>
      </c>
      <c r="J123">
        <v>0</v>
      </c>
      <c r="K123" t="s">
        <v>41</v>
      </c>
    </row>
    <row r="124" spans="1:11" x14ac:dyDescent="0.25">
      <c r="A124" s="374">
        <v>46211</v>
      </c>
      <c r="C124" s="294"/>
      <c r="D124" s="294"/>
      <c r="I124">
        <v>0</v>
      </c>
      <c r="J124">
        <v>0</v>
      </c>
      <c r="K124" t="s">
        <v>41</v>
      </c>
    </row>
    <row r="125" spans="1:11" x14ac:dyDescent="0.25">
      <c r="A125" s="374">
        <v>46211</v>
      </c>
      <c r="C125" s="294"/>
      <c r="D125" s="294"/>
      <c r="I125">
        <v>0</v>
      </c>
      <c r="J125">
        <v>0</v>
      </c>
      <c r="K125" t="s">
        <v>41</v>
      </c>
    </row>
    <row r="126" spans="1:11" x14ac:dyDescent="0.25">
      <c r="A126" s="374">
        <v>46211</v>
      </c>
      <c r="C126" s="294"/>
      <c r="D126" s="294"/>
      <c r="I126">
        <v>0</v>
      </c>
      <c r="J126">
        <v>0</v>
      </c>
      <c r="K126" t="s">
        <v>41</v>
      </c>
    </row>
    <row r="127" spans="1:11" x14ac:dyDescent="0.25">
      <c r="A127" s="374">
        <v>46211</v>
      </c>
      <c r="C127" s="294"/>
      <c r="D127" s="294"/>
      <c r="I127">
        <v>0</v>
      </c>
      <c r="J127">
        <v>0</v>
      </c>
      <c r="K127" t="s">
        <v>41</v>
      </c>
    </row>
    <row r="128" spans="1:11" x14ac:dyDescent="0.25">
      <c r="A128" s="374">
        <v>46211</v>
      </c>
      <c r="C128" s="294"/>
      <c r="D128" s="294"/>
      <c r="I128">
        <v>0</v>
      </c>
      <c r="J128">
        <v>0</v>
      </c>
      <c r="K128" t="s">
        <v>41</v>
      </c>
    </row>
    <row r="129" spans="1:11" x14ac:dyDescent="0.25">
      <c r="A129" s="374">
        <v>46211</v>
      </c>
      <c r="C129" s="294"/>
      <c r="D129" s="294"/>
      <c r="I129">
        <v>0</v>
      </c>
      <c r="J129">
        <v>0</v>
      </c>
      <c r="K129" t="s">
        <v>41</v>
      </c>
    </row>
    <row r="130" spans="1:11" x14ac:dyDescent="0.25">
      <c r="A130" s="374">
        <v>46212</v>
      </c>
      <c r="B130" t="s">
        <v>9</v>
      </c>
      <c r="C130" s="294">
        <v>46260</v>
      </c>
      <c r="D130" s="294">
        <v>46295</v>
      </c>
      <c r="E130">
        <v>1.6770236599344299</v>
      </c>
    </row>
    <row r="131" spans="1:11" x14ac:dyDescent="0.25">
      <c r="A131" s="374">
        <v>46212</v>
      </c>
      <c r="B131" t="s">
        <v>10</v>
      </c>
      <c r="C131" s="294">
        <v>46295</v>
      </c>
      <c r="D131" s="294">
        <v>46337</v>
      </c>
      <c r="E131">
        <v>1.7632039997370601</v>
      </c>
    </row>
    <row r="132" spans="1:11" x14ac:dyDescent="0.25">
      <c r="A132" s="374">
        <v>46212</v>
      </c>
      <c r="B132" t="s">
        <v>12</v>
      </c>
      <c r="C132" s="294">
        <v>46337</v>
      </c>
      <c r="D132" s="294">
        <v>46379</v>
      </c>
      <c r="E132">
        <v>1.82992024490623</v>
      </c>
    </row>
    <row r="133" spans="1:11" x14ac:dyDescent="0.25">
      <c r="A133" s="374">
        <v>46213</v>
      </c>
      <c r="B133" t="s">
        <v>9</v>
      </c>
      <c r="C133" s="294">
        <v>46260</v>
      </c>
      <c r="D133" s="294">
        <v>46295</v>
      </c>
      <c r="E133">
        <v>1.6755350852069499</v>
      </c>
      <c r="F133">
        <v>5.2535085206949939</v>
      </c>
      <c r="G133">
        <v>5.2535085206949939</v>
      </c>
      <c r="H133">
        <v>0.21014034082779975</v>
      </c>
      <c r="I133">
        <v>-0.14885747274799854</v>
      </c>
      <c r="J133">
        <v>2.468996670677992</v>
      </c>
      <c r="K133" t="s">
        <v>41</v>
      </c>
    </row>
    <row r="134" spans="1:11" x14ac:dyDescent="0.25">
      <c r="A134" s="374">
        <v>46213</v>
      </c>
      <c r="B134" t="s">
        <v>10</v>
      </c>
      <c r="C134" s="294">
        <v>46295</v>
      </c>
      <c r="D134" s="294">
        <v>46337</v>
      </c>
      <c r="E134">
        <v>1.75303700971423</v>
      </c>
      <c r="F134">
        <v>7.7501924507280107</v>
      </c>
      <c r="G134">
        <v>13.003700971423005</v>
      </c>
      <c r="H134">
        <v>0.52014803885692018</v>
      </c>
      <c r="I134">
        <v>-1.0166990022830058</v>
      </c>
      <c r="J134">
        <v>6.5004395398279957</v>
      </c>
      <c r="K134" t="s">
        <v>41</v>
      </c>
    </row>
    <row r="135" spans="1:11" x14ac:dyDescent="0.25">
      <c r="A135" s="374">
        <v>46213</v>
      </c>
      <c r="B135" t="s">
        <v>12</v>
      </c>
      <c r="C135" s="294">
        <v>46337</v>
      </c>
      <c r="D135" s="294">
        <v>46379</v>
      </c>
      <c r="E135">
        <v>1.82371372694818</v>
      </c>
      <c r="F135">
        <v>7.0676717233949971</v>
      </c>
      <c r="G135">
        <v>20.071372694818002</v>
      </c>
      <c r="H135">
        <v>0.80285490779272006</v>
      </c>
      <c r="I135">
        <v>-0.62065179580499397</v>
      </c>
      <c r="J135">
        <v>11.142904816756992</v>
      </c>
      <c r="K135" t="s">
        <v>41</v>
      </c>
    </row>
    <row r="136" spans="1:11" x14ac:dyDescent="0.25">
      <c r="A136" s="374">
        <v>46213</v>
      </c>
      <c r="B136" t="s">
        <v>13</v>
      </c>
      <c r="C136" s="294">
        <v>46379</v>
      </c>
      <c r="D136" s="294">
        <v>46421</v>
      </c>
      <c r="E136">
        <v>1.8773296217079301</v>
      </c>
      <c r="F136">
        <v>5.3615894759750038</v>
      </c>
      <c r="G136">
        <v>25.432962170793004</v>
      </c>
      <c r="H136">
        <v>1.0173184868317202</v>
      </c>
      <c r="I136" t="s">
        <v>41</v>
      </c>
      <c r="J136">
        <v>14.362169406462</v>
      </c>
      <c r="K136" t="s">
        <v>41</v>
      </c>
    </row>
    <row r="137" spans="1:11" x14ac:dyDescent="0.25">
      <c r="A137" s="374">
        <v>46213</v>
      </c>
      <c r="B137" t="s">
        <v>14</v>
      </c>
      <c r="C137" s="294">
        <v>46421</v>
      </c>
      <c r="D137" s="294">
        <v>46470</v>
      </c>
      <c r="E137">
        <v>1.94046840115132</v>
      </c>
      <c r="F137">
        <v>6.313877944338997</v>
      </c>
      <c r="G137">
        <v>31.746840115132002</v>
      </c>
      <c r="H137">
        <v>1.2698736046052801</v>
      </c>
      <c r="I137" t="s">
        <v>41</v>
      </c>
      <c r="J137">
        <v>18.063831264277997</v>
      </c>
      <c r="K137" t="s">
        <v>41</v>
      </c>
    </row>
    <row r="138" spans="1:11" x14ac:dyDescent="0.25">
      <c r="A138" s="374">
        <v>46213</v>
      </c>
      <c r="C138" s="294"/>
      <c r="D138" s="294"/>
      <c r="I138" t="s">
        <v>41</v>
      </c>
      <c r="J138">
        <v>0</v>
      </c>
      <c r="K138" t="s">
        <v>41</v>
      </c>
    </row>
    <row r="139" spans="1:11" x14ac:dyDescent="0.25">
      <c r="A139" s="374">
        <v>46213</v>
      </c>
      <c r="C139" s="294"/>
      <c r="D139" s="294"/>
      <c r="I139" t="s">
        <v>41</v>
      </c>
      <c r="J139">
        <v>0</v>
      </c>
      <c r="K139" t="s">
        <v>41</v>
      </c>
    </row>
    <row r="140" spans="1:11" x14ac:dyDescent="0.25">
      <c r="A140" s="374">
        <v>46213</v>
      </c>
      <c r="C140" s="294"/>
      <c r="D140" s="294"/>
      <c r="I140" t="s">
        <v>41</v>
      </c>
      <c r="J140">
        <v>0</v>
      </c>
      <c r="K140" t="s">
        <v>41</v>
      </c>
    </row>
    <row r="141" spans="1:11" x14ac:dyDescent="0.25">
      <c r="A141" s="374">
        <v>46213</v>
      </c>
      <c r="C141" s="294"/>
      <c r="D141" s="294"/>
      <c r="I141" t="s">
        <v>41</v>
      </c>
      <c r="J141">
        <v>0</v>
      </c>
      <c r="K141" t="s">
        <v>41</v>
      </c>
    </row>
    <row r="142" spans="1:11" x14ac:dyDescent="0.25">
      <c r="A142" s="374">
        <v>46213</v>
      </c>
      <c r="C142" s="294"/>
      <c r="D142" s="294"/>
      <c r="I142" t="s">
        <v>41</v>
      </c>
      <c r="J142">
        <v>0</v>
      </c>
      <c r="K142" t="s">
        <v>41</v>
      </c>
    </row>
    <row r="143" spans="1:11" x14ac:dyDescent="0.25">
      <c r="A143" s="374">
        <v>46213</v>
      </c>
      <c r="C143" s="294"/>
      <c r="D143" s="294"/>
      <c r="I143" t="s">
        <v>41</v>
      </c>
      <c r="J143">
        <v>0</v>
      </c>
      <c r="K143" t="s">
        <v>41</v>
      </c>
    </row>
    <row r="144" spans="1:11" x14ac:dyDescent="0.25">
      <c r="A144" s="374">
        <v>46213</v>
      </c>
      <c r="C144" s="294"/>
      <c r="D144" s="294"/>
      <c r="I144" t="s">
        <v>41</v>
      </c>
      <c r="J144">
        <v>0</v>
      </c>
      <c r="K144" t="s">
        <v>41</v>
      </c>
    </row>
    <row r="145" spans="1:11" x14ac:dyDescent="0.25">
      <c r="A145" s="374">
        <v>46216</v>
      </c>
      <c r="B145" t="s">
        <v>9</v>
      </c>
      <c r="C145" s="294">
        <v>46260</v>
      </c>
      <c r="D145" s="294">
        <v>46295</v>
      </c>
      <c r="E145">
        <v>1.6792295760507201</v>
      </c>
      <c r="F145">
        <v>5.4229576050720096</v>
      </c>
      <c r="G145">
        <v>5.4229576050720096</v>
      </c>
      <c r="H145">
        <v>0.21691830420288039</v>
      </c>
      <c r="I145">
        <v>0.36944908437701596</v>
      </c>
      <c r="J145">
        <v>2.7575243761090107</v>
      </c>
      <c r="K145" t="s">
        <v>41</v>
      </c>
    </row>
    <row r="146" spans="1:11" x14ac:dyDescent="0.25">
      <c r="A146" s="374">
        <v>46216</v>
      </c>
      <c r="B146" t="s">
        <v>10</v>
      </c>
      <c r="C146" s="294">
        <v>46295</v>
      </c>
      <c r="D146" s="294">
        <v>46337</v>
      </c>
      <c r="E146">
        <v>1.76620390392155</v>
      </c>
      <c r="F146">
        <v>8.6974327870829917</v>
      </c>
      <c r="G146">
        <v>14.120390392155002</v>
      </c>
      <c r="H146">
        <v>0.56481561568620009</v>
      </c>
      <c r="I146">
        <v>1.3166894207319979</v>
      </c>
      <c r="J146">
        <v>7.8171273530839969</v>
      </c>
      <c r="K146" t="s">
        <v>41</v>
      </c>
    </row>
    <row r="147" spans="1:11" x14ac:dyDescent="0.25">
      <c r="A147" s="374">
        <v>46216</v>
      </c>
      <c r="B147" t="s">
        <v>12</v>
      </c>
      <c r="C147" s="294">
        <v>46337</v>
      </c>
      <c r="D147" s="294">
        <v>46379</v>
      </c>
      <c r="E147">
        <v>1.84891799155976</v>
      </c>
      <c r="F147">
        <v>8.2714087638209968</v>
      </c>
      <c r="G147">
        <v>22.391799155975999</v>
      </c>
      <c r="H147">
        <v>0.89567196623904</v>
      </c>
      <c r="I147">
        <v>2.5204264611579985</v>
      </c>
      <c r="J147">
        <v>13.663332060756005</v>
      </c>
      <c r="K147" t="s">
        <v>41</v>
      </c>
    </row>
    <row r="148" spans="1:11" x14ac:dyDescent="0.25">
      <c r="A148" s="374">
        <v>46216</v>
      </c>
      <c r="B148" t="s">
        <v>13</v>
      </c>
      <c r="C148" s="294">
        <v>46379</v>
      </c>
      <c r="D148" s="294">
        <v>46421</v>
      </c>
      <c r="E148">
        <v>1.93355526524628</v>
      </c>
      <c r="F148">
        <v>8.4637273686519965</v>
      </c>
      <c r="G148">
        <v>30.855526524627997</v>
      </c>
      <c r="H148">
        <v>1.2342210609851199</v>
      </c>
      <c r="I148">
        <v>5.6225643538349912</v>
      </c>
      <c r="J148">
        <v>19.984733705750003</v>
      </c>
      <c r="K148" t="s">
        <v>41</v>
      </c>
    </row>
    <row r="149" spans="1:11" x14ac:dyDescent="0.25">
      <c r="A149" s="374">
        <v>46216</v>
      </c>
      <c r="B149" t="s">
        <v>14</v>
      </c>
      <c r="C149" s="294">
        <v>46421</v>
      </c>
      <c r="D149" s="294">
        <v>46470</v>
      </c>
      <c r="E149">
        <v>2.0237764217245702</v>
      </c>
      <c r="F149">
        <v>9.0221156478290219</v>
      </c>
      <c r="G149">
        <v>39.877642172457016</v>
      </c>
      <c r="H149">
        <v>1.5951056868982807</v>
      </c>
      <c r="I149">
        <v>8.3308020573250161</v>
      </c>
      <c r="J149">
        <v>26.235850748065026</v>
      </c>
      <c r="K149" t="s">
        <v>41</v>
      </c>
    </row>
    <row r="150" spans="1:11" x14ac:dyDescent="0.25">
      <c r="A150" s="374">
        <v>46216</v>
      </c>
      <c r="C150" s="294"/>
      <c r="D150" s="294"/>
      <c r="I150">
        <v>0</v>
      </c>
      <c r="J150">
        <v>0</v>
      </c>
      <c r="K150" t="s">
        <v>41</v>
      </c>
    </row>
    <row r="151" spans="1:11" x14ac:dyDescent="0.25">
      <c r="A151" s="374">
        <v>46216</v>
      </c>
      <c r="C151" s="294"/>
      <c r="D151" s="294"/>
      <c r="I151">
        <v>0</v>
      </c>
      <c r="J151">
        <v>0</v>
      </c>
      <c r="K151" t="s">
        <v>41</v>
      </c>
    </row>
    <row r="152" spans="1:11" x14ac:dyDescent="0.25">
      <c r="A152" s="374">
        <v>46216</v>
      </c>
      <c r="C152" s="294"/>
      <c r="D152" s="294"/>
      <c r="I152">
        <v>0</v>
      </c>
      <c r="J152">
        <v>0</v>
      </c>
      <c r="K152" t="s">
        <v>41</v>
      </c>
    </row>
    <row r="153" spans="1:11" x14ac:dyDescent="0.25">
      <c r="A153" s="374">
        <v>46216</v>
      </c>
      <c r="C153" s="294"/>
      <c r="D153" s="294"/>
      <c r="I153">
        <v>0</v>
      </c>
      <c r="J153">
        <v>0</v>
      </c>
      <c r="K153" t="s">
        <v>41</v>
      </c>
    </row>
    <row r="154" spans="1:11" x14ac:dyDescent="0.25">
      <c r="A154" s="374">
        <v>46216</v>
      </c>
      <c r="C154" s="294"/>
      <c r="D154" s="294"/>
      <c r="I154">
        <v>0</v>
      </c>
      <c r="J154">
        <v>0</v>
      </c>
      <c r="K154" t="s">
        <v>41</v>
      </c>
    </row>
    <row r="155" spans="1:11" x14ac:dyDescent="0.25">
      <c r="A155" s="374">
        <v>46216</v>
      </c>
      <c r="C155" s="294"/>
      <c r="D155" s="294"/>
      <c r="I155">
        <v>0</v>
      </c>
      <c r="J155">
        <v>0</v>
      </c>
      <c r="K155" t="s">
        <v>41</v>
      </c>
    </row>
    <row r="156" spans="1:11" x14ac:dyDescent="0.25">
      <c r="A156" s="374">
        <v>46216</v>
      </c>
      <c r="C156" s="294"/>
      <c r="D156" s="294"/>
      <c r="I156">
        <v>0</v>
      </c>
      <c r="J156">
        <v>0</v>
      </c>
      <c r="K156" t="s">
        <v>41</v>
      </c>
    </row>
    <row r="157" spans="1:11" x14ac:dyDescent="0.25">
      <c r="A157" s="374">
        <v>46217</v>
      </c>
      <c r="B157" t="s">
        <v>9</v>
      </c>
      <c r="C157" s="294">
        <v>46260</v>
      </c>
      <c r="D157" s="294">
        <v>46295</v>
      </c>
      <c r="E157">
        <v>1.66698378292536</v>
      </c>
      <c r="F157">
        <v>2.5983782925359966</v>
      </c>
      <c r="G157">
        <v>2.5983782925359966</v>
      </c>
      <c r="H157">
        <v>0.10393513170143986</v>
      </c>
      <c r="I157">
        <v>-1.2245793125360116</v>
      </c>
      <c r="J157">
        <v>1.1976139062630065</v>
      </c>
      <c r="K157" t="s">
        <v>41</v>
      </c>
    </row>
    <row r="158" spans="1:11" x14ac:dyDescent="0.25">
      <c r="A158" s="374">
        <v>46217</v>
      </c>
      <c r="B158" t="s">
        <v>10</v>
      </c>
      <c r="C158" s="294">
        <v>46295</v>
      </c>
      <c r="D158" s="294">
        <v>46337</v>
      </c>
      <c r="E158">
        <v>1.7760045756241301</v>
      </c>
      <c r="F158">
        <v>10.902079269877007</v>
      </c>
      <c r="G158">
        <v>13.500457562413004</v>
      </c>
      <c r="H158">
        <v>0.54001830249652016</v>
      </c>
      <c r="I158">
        <v>0.98006717025800327</v>
      </c>
      <c r="J158">
        <v>8.2471769493229985</v>
      </c>
      <c r="K158" t="s">
        <v>41</v>
      </c>
    </row>
    <row r="159" spans="1:11" x14ac:dyDescent="0.25">
      <c r="A159" s="374">
        <v>46217</v>
      </c>
      <c r="B159" t="s">
        <v>12</v>
      </c>
      <c r="C159" s="294">
        <v>46337</v>
      </c>
      <c r="D159" s="294">
        <v>46379</v>
      </c>
      <c r="E159">
        <v>1.8729905086668599</v>
      </c>
      <c r="F159">
        <v>9.6985933042729844</v>
      </c>
      <c r="G159">
        <v>23.199050866685987</v>
      </c>
      <c r="H159">
        <v>0.92796203466743943</v>
      </c>
      <c r="I159">
        <v>2.40725171070999</v>
      </c>
      <c r="J159">
        <v>15.154000312409988</v>
      </c>
      <c r="K159" t="s">
        <v>41</v>
      </c>
    </row>
    <row r="160" spans="1:11" x14ac:dyDescent="0.25">
      <c r="A160" s="374">
        <v>46217</v>
      </c>
      <c r="B160" t="s">
        <v>13</v>
      </c>
      <c r="C160" s="294">
        <v>46379</v>
      </c>
      <c r="D160" s="294">
        <v>46421</v>
      </c>
      <c r="E160">
        <v>2.3399250851726099</v>
      </c>
      <c r="F160">
        <v>46.693457650574999</v>
      </c>
      <c r="G160">
        <v>69.892508517260993</v>
      </c>
      <c r="H160">
        <v>2.7957003406904395</v>
      </c>
      <c r="I160">
        <v>40.63698199263299</v>
      </c>
      <c r="J160">
        <v>59.122225363397995</v>
      </c>
      <c r="K160" t="s">
        <v>41</v>
      </c>
    </row>
    <row r="161" spans="1:11" x14ac:dyDescent="0.25">
      <c r="A161" s="374">
        <v>46217</v>
      </c>
      <c r="B161" t="s">
        <v>14</v>
      </c>
      <c r="C161" s="294">
        <v>46421</v>
      </c>
      <c r="D161" s="294">
        <v>46470</v>
      </c>
      <c r="E161">
        <v>2.3460183566853301</v>
      </c>
      <c r="F161">
        <v>0.60932715127202108</v>
      </c>
      <c r="G161">
        <v>70.501835668533005</v>
      </c>
      <c r="H161">
        <v>2.8200734267413203</v>
      </c>
      <c r="I161">
        <v>32.224193496075991</v>
      </c>
      <c r="J161">
        <v>56.496849526313021</v>
      </c>
      <c r="K161" t="s">
        <v>41</v>
      </c>
    </row>
    <row r="162" spans="1:11" x14ac:dyDescent="0.25">
      <c r="A162" s="374">
        <v>46217</v>
      </c>
      <c r="C162" s="294"/>
      <c r="D162" s="294"/>
      <c r="I162">
        <v>0</v>
      </c>
      <c r="J162">
        <v>0</v>
      </c>
      <c r="K162" t="s">
        <v>41</v>
      </c>
    </row>
    <row r="163" spans="1:11" x14ac:dyDescent="0.25">
      <c r="A163" s="374">
        <v>46217</v>
      </c>
      <c r="C163" s="294"/>
      <c r="D163" s="294"/>
      <c r="I163">
        <v>0</v>
      </c>
      <c r="J163">
        <v>0</v>
      </c>
      <c r="K163" t="s">
        <v>41</v>
      </c>
    </row>
    <row r="164" spans="1:11" x14ac:dyDescent="0.25">
      <c r="A164" s="374">
        <v>46217</v>
      </c>
      <c r="C164" s="294"/>
      <c r="D164" s="294"/>
      <c r="I164">
        <v>0</v>
      </c>
      <c r="J164">
        <v>0</v>
      </c>
      <c r="K164" t="s">
        <v>41</v>
      </c>
    </row>
    <row r="165" spans="1:11" x14ac:dyDescent="0.25">
      <c r="A165" s="374">
        <v>46217</v>
      </c>
      <c r="C165" s="294"/>
      <c r="D165" s="294"/>
      <c r="I165">
        <v>0</v>
      </c>
      <c r="J165">
        <v>0</v>
      </c>
      <c r="K165" t="s">
        <v>41</v>
      </c>
    </row>
    <row r="166" spans="1:11" x14ac:dyDescent="0.25">
      <c r="A166" s="374">
        <v>46217</v>
      </c>
      <c r="C166" s="294"/>
      <c r="D166" s="294"/>
      <c r="I166">
        <v>0</v>
      </c>
      <c r="J166">
        <v>0</v>
      </c>
      <c r="K166" t="s">
        <v>41</v>
      </c>
    </row>
    <row r="167" spans="1:11" x14ac:dyDescent="0.25">
      <c r="A167" s="374">
        <v>46217</v>
      </c>
      <c r="C167" s="294"/>
      <c r="D167" s="294"/>
      <c r="I167">
        <v>0</v>
      </c>
      <c r="J167">
        <v>0</v>
      </c>
      <c r="K167" t="s">
        <v>41</v>
      </c>
    </row>
    <row r="168" spans="1:11" x14ac:dyDescent="0.25">
      <c r="A168" s="374">
        <v>46217</v>
      </c>
      <c r="C168" s="294"/>
      <c r="D168" s="294"/>
      <c r="I168">
        <v>0</v>
      </c>
      <c r="J168">
        <v>0</v>
      </c>
      <c r="K168" t="s">
        <v>41</v>
      </c>
    </row>
    <row r="169" spans="1:11" x14ac:dyDescent="0.25">
      <c r="A169" s="374">
        <v>46218</v>
      </c>
      <c r="B169" t="s">
        <v>9</v>
      </c>
      <c r="C169" s="294">
        <v>46260</v>
      </c>
      <c r="D169" s="294">
        <v>46295</v>
      </c>
      <c r="E169">
        <v>1.6769759428993101</v>
      </c>
      <c r="F169">
        <v>3.9975942899310057</v>
      </c>
      <c r="G169">
        <v>3.9975942899310057</v>
      </c>
      <c r="H169">
        <v>0.15990377159724023</v>
      </c>
      <c r="I169">
        <v>0.99921599739500877</v>
      </c>
      <c r="J169">
        <v>-0.17738809388199162</v>
      </c>
      <c r="K169" t="s">
        <v>41</v>
      </c>
    </row>
    <row r="170" spans="1:11" x14ac:dyDescent="0.25">
      <c r="A170" s="374">
        <v>46218</v>
      </c>
      <c r="B170" t="s">
        <v>10</v>
      </c>
      <c r="C170" s="294">
        <v>46295</v>
      </c>
      <c r="D170" s="294">
        <v>46337</v>
      </c>
      <c r="E170">
        <v>1.77400436411761</v>
      </c>
      <c r="F170">
        <v>9.7028421218299918</v>
      </c>
      <c r="G170">
        <v>13.700436411760997</v>
      </c>
      <c r="H170">
        <v>0.54801745647043987</v>
      </c>
      <c r="I170">
        <v>-0.20002115065200776</v>
      </c>
      <c r="J170">
        <v>0.19666417795198843</v>
      </c>
      <c r="K170" t="s">
        <v>41</v>
      </c>
    </row>
    <row r="171" spans="1:11" x14ac:dyDescent="0.25">
      <c r="A171" s="374">
        <v>46218</v>
      </c>
      <c r="B171" t="s">
        <v>12</v>
      </c>
      <c r="C171" s="294">
        <v>46337</v>
      </c>
      <c r="D171" s="294">
        <v>46379</v>
      </c>
      <c r="E171">
        <v>1.8609910171354</v>
      </c>
      <c r="F171">
        <v>8.6986653017790072</v>
      </c>
      <c r="G171">
        <v>22.399101713540006</v>
      </c>
      <c r="H171">
        <v>0.89596406854160027</v>
      </c>
      <c r="I171">
        <v>-1.1999491531459849</v>
      </c>
      <c r="J171">
        <v>-3.1187946383179899</v>
      </c>
      <c r="K171" t="s">
        <v>41</v>
      </c>
    </row>
    <row r="172" spans="1:11" x14ac:dyDescent="0.25">
      <c r="A172" s="374">
        <v>46218</v>
      </c>
      <c r="B172" t="s">
        <v>13</v>
      </c>
      <c r="C172" s="294">
        <v>46379</v>
      </c>
      <c r="D172" s="294">
        <v>46421</v>
      </c>
      <c r="E172">
        <v>2.34152074727792</v>
      </c>
      <c r="F172">
        <v>48.052973014251997</v>
      </c>
      <c r="G172">
        <v>70.452074727791995</v>
      </c>
      <c r="H172">
        <v>2.8180829891116796</v>
      </c>
      <c r="I172">
        <v>0.15956621053101472</v>
      </c>
      <c r="J172">
        <v>14.833729088734993</v>
      </c>
      <c r="K172" t="s">
        <v>41</v>
      </c>
    </row>
    <row r="173" spans="1:11" x14ac:dyDescent="0.25">
      <c r="A173" s="374">
        <v>46218</v>
      </c>
      <c r="B173" t="s">
        <v>14</v>
      </c>
      <c r="C173" s="294">
        <v>46421</v>
      </c>
      <c r="D173" s="294">
        <v>46470</v>
      </c>
      <c r="E173">
        <v>2.3603191482836001</v>
      </c>
      <c r="F173">
        <v>1.8798401005680088</v>
      </c>
      <c r="G173">
        <v>72.331914828360013</v>
      </c>
      <c r="H173">
        <v>2.8932765931344004</v>
      </c>
      <c r="I173">
        <v>1.4300791598270024</v>
      </c>
      <c r="J173">
        <v>10.924483592732992</v>
      </c>
      <c r="K173" t="s">
        <v>41</v>
      </c>
    </row>
    <row r="174" spans="1:11" x14ac:dyDescent="0.25">
      <c r="A174" s="374">
        <v>46218</v>
      </c>
      <c r="C174" s="294"/>
      <c r="D174" s="294"/>
      <c r="I174">
        <v>0</v>
      </c>
      <c r="J174">
        <v>0</v>
      </c>
      <c r="K174" t="s">
        <v>41</v>
      </c>
    </row>
    <row r="175" spans="1:11" x14ac:dyDescent="0.25">
      <c r="A175" s="374">
        <v>46218</v>
      </c>
      <c r="C175" s="294"/>
      <c r="D175" s="294"/>
      <c r="I175">
        <v>0</v>
      </c>
      <c r="J175">
        <v>0</v>
      </c>
      <c r="K175" t="s">
        <v>41</v>
      </c>
    </row>
    <row r="176" spans="1:11" x14ac:dyDescent="0.25">
      <c r="A176" s="374">
        <v>46218</v>
      </c>
      <c r="C176" s="294"/>
      <c r="D176" s="294"/>
      <c r="I176">
        <v>0</v>
      </c>
      <c r="J176">
        <v>0</v>
      </c>
      <c r="K176" t="s">
        <v>41</v>
      </c>
    </row>
    <row r="177" spans="1:11" x14ac:dyDescent="0.25">
      <c r="A177" s="374">
        <v>46218</v>
      </c>
      <c r="C177" s="294"/>
      <c r="D177" s="294"/>
      <c r="I177">
        <v>0</v>
      </c>
      <c r="J177">
        <v>0</v>
      </c>
      <c r="K177" t="s">
        <v>41</v>
      </c>
    </row>
    <row r="178" spans="1:11" x14ac:dyDescent="0.25">
      <c r="A178" s="374">
        <v>46218</v>
      </c>
      <c r="C178" s="294"/>
      <c r="D178" s="294"/>
      <c r="I178">
        <v>0</v>
      </c>
      <c r="J178">
        <v>0</v>
      </c>
      <c r="K178" t="s">
        <v>41</v>
      </c>
    </row>
    <row r="179" spans="1:11" x14ac:dyDescent="0.25">
      <c r="A179" s="374">
        <v>46218</v>
      </c>
      <c r="C179" s="294"/>
      <c r="D179" s="294"/>
      <c r="I179">
        <v>0</v>
      </c>
      <c r="J179">
        <v>0</v>
      </c>
      <c r="K179" t="s">
        <v>41</v>
      </c>
    </row>
    <row r="180" spans="1:11" x14ac:dyDescent="0.25">
      <c r="A180" s="374">
        <v>46218</v>
      </c>
      <c r="C180" s="294"/>
      <c r="D180" s="294"/>
      <c r="I180">
        <v>0</v>
      </c>
      <c r="J180">
        <v>0</v>
      </c>
      <c r="K180" t="s">
        <v>41</v>
      </c>
    </row>
    <row r="181" spans="1:11" x14ac:dyDescent="0.25">
      <c r="A181" s="374">
        <v>46219</v>
      </c>
      <c r="B181" t="s">
        <v>9</v>
      </c>
      <c r="C181" s="294">
        <v>46260</v>
      </c>
      <c r="D181" s="294">
        <v>46295</v>
      </c>
      <c r="E181">
        <v>1.6769883480943499</v>
      </c>
      <c r="F181">
        <v>4.8988348094350043</v>
      </c>
      <c r="G181">
        <v>4.8988348094350043</v>
      </c>
      <c r="H181">
        <v>0.19595339237740017</v>
      </c>
      <c r="I181">
        <v>1.2405195039866257E-3</v>
      </c>
      <c r="J181">
        <v>-3.5311840079987888E-3</v>
      </c>
      <c r="K181" t="s">
        <v>41</v>
      </c>
    </row>
    <row r="182" spans="1:11" x14ac:dyDescent="0.25">
      <c r="A182" s="374">
        <v>46219</v>
      </c>
      <c r="B182" t="s">
        <v>10</v>
      </c>
      <c r="C182" s="294">
        <v>46295</v>
      </c>
      <c r="D182" s="294">
        <v>46337</v>
      </c>
      <c r="E182">
        <v>1.77000419311593</v>
      </c>
      <c r="F182">
        <v>9.3015845021580112</v>
      </c>
      <c r="G182">
        <v>14.200419311593016</v>
      </c>
      <c r="H182">
        <v>0.56801677246372062</v>
      </c>
      <c r="I182">
        <v>-0.40001710016799308</v>
      </c>
      <c r="J182">
        <v>0.68001933788699453</v>
      </c>
      <c r="K182" t="s">
        <v>41</v>
      </c>
    </row>
    <row r="183" spans="1:11" x14ac:dyDescent="0.25">
      <c r="A183" s="374">
        <v>46219</v>
      </c>
      <c r="B183" t="s">
        <v>12</v>
      </c>
      <c r="C183" s="294">
        <v>46337</v>
      </c>
      <c r="D183" s="294">
        <v>46379</v>
      </c>
      <c r="E183">
        <v>1.8529913917157901</v>
      </c>
      <c r="F183">
        <v>8.2987198599860044</v>
      </c>
      <c r="G183">
        <v>22.499139171579017</v>
      </c>
      <c r="H183">
        <v>0.89996556686316065</v>
      </c>
      <c r="I183">
        <v>-0.79996254196099681</v>
      </c>
      <c r="J183">
        <v>2.3071146809560128</v>
      </c>
      <c r="K183" t="s">
        <v>41</v>
      </c>
    </row>
    <row r="184" spans="1:11" x14ac:dyDescent="0.25">
      <c r="A184" s="374">
        <v>46219</v>
      </c>
      <c r="B184" t="s">
        <v>13</v>
      </c>
      <c r="C184" s="294">
        <v>46379</v>
      </c>
      <c r="D184" s="294">
        <v>46421</v>
      </c>
      <c r="E184">
        <v>2.1951452574862298</v>
      </c>
      <c r="F184">
        <v>34.215386577043972</v>
      </c>
      <c r="G184">
        <v>56.714525748622989</v>
      </c>
      <c r="H184">
        <v>2.2685810299449196</v>
      </c>
      <c r="I184">
        <v>-14.637548979169024</v>
      </c>
      <c r="J184" t="s">
        <v>41</v>
      </c>
      <c r="K184" t="s">
        <v>41</v>
      </c>
    </row>
    <row r="185" spans="1:11" x14ac:dyDescent="0.25">
      <c r="A185" s="374">
        <v>46219</v>
      </c>
      <c r="B185" t="s">
        <v>14</v>
      </c>
      <c r="C185" s="294">
        <v>46421</v>
      </c>
      <c r="D185" s="294">
        <v>46470</v>
      </c>
      <c r="E185">
        <v>2.2034269483891098</v>
      </c>
      <c r="F185">
        <v>0.82816909028800012</v>
      </c>
      <c r="G185">
        <v>57.54269483891099</v>
      </c>
      <c r="H185">
        <v>2.3017077935564396</v>
      </c>
      <c r="I185">
        <v>-15.689219989449033</v>
      </c>
      <c r="J185" t="s">
        <v>41</v>
      </c>
      <c r="K185" t="s">
        <v>41</v>
      </c>
    </row>
    <row r="186" spans="1:11" x14ac:dyDescent="0.25">
      <c r="A186" s="374">
        <v>46219</v>
      </c>
      <c r="C186" s="294"/>
      <c r="D186" s="294"/>
      <c r="I186">
        <v>0</v>
      </c>
      <c r="J186" t="s">
        <v>41</v>
      </c>
      <c r="K186" t="s">
        <v>41</v>
      </c>
    </row>
    <row r="187" spans="1:11" x14ac:dyDescent="0.25">
      <c r="A187" s="374">
        <v>46219</v>
      </c>
      <c r="C187" s="294"/>
      <c r="D187" s="294"/>
      <c r="I187">
        <v>0</v>
      </c>
      <c r="J187" t="s">
        <v>41</v>
      </c>
      <c r="K187" t="s">
        <v>41</v>
      </c>
    </row>
    <row r="188" spans="1:11" x14ac:dyDescent="0.25">
      <c r="A188" s="374">
        <v>46219</v>
      </c>
      <c r="C188" s="294"/>
      <c r="D188" s="294"/>
      <c r="I188">
        <v>0</v>
      </c>
      <c r="J188" t="s">
        <v>41</v>
      </c>
      <c r="K188" t="s">
        <v>41</v>
      </c>
    </row>
    <row r="189" spans="1:11" x14ac:dyDescent="0.25">
      <c r="A189" s="374">
        <v>46219</v>
      </c>
      <c r="C189" s="294"/>
      <c r="D189" s="294"/>
      <c r="I189">
        <v>0</v>
      </c>
      <c r="J189" t="s">
        <v>41</v>
      </c>
      <c r="K189" t="s">
        <v>41</v>
      </c>
    </row>
    <row r="190" spans="1:11" x14ac:dyDescent="0.25">
      <c r="A190" s="374">
        <v>46219</v>
      </c>
      <c r="C190" s="294"/>
      <c r="D190" s="294"/>
      <c r="I190">
        <v>0</v>
      </c>
      <c r="J190" t="s">
        <v>41</v>
      </c>
      <c r="K190" t="s">
        <v>41</v>
      </c>
    </row>
    <row r="191" spans="1:11" x14ac:dyDescent="0.25">
      <c r="A191" s="374">
        <v>46219</v>
      </c>
      <c r="C191" s="294"/>
      <c r="D191" s="294"/>
      <c r="I191">
        <v>0</v>
      </c>
      <c r="J191" t="s">
        <v>41</v>
      </c>
      <c r="K191" t="s">
        <v>41</v>
      </c>
    </row>
    <row r="192" spans="1:11" x14ac:dyDescent="0.25">
      <c r="A192" s="374">
        <v>46219</v>
      </c>
      <c r="C192" s="294"/>
      <c r="D192" s="294"/>
      <c r="I192">
        <v>0</v>
      </c>
      <c r="J192" t="s">
        <v>41</v>
      </c>
      <c r="K192" t="s">
        <v>41</v>
      </c>
    </row>
    <row r="193" spans="1:11" x14ac:dyDescent="0.25">
      <c r="A193" s="374">
        <v>46220</v>
      </c>
      <c r="B193" t="s">
        <v>9</v>
      </c>
      <c r="C193" s="294">
        <v>46260</v>
      </c>
      <c r="D193" s="294">
        <v>46295</v>
      </c>
      <c r="E193">
        <v>1.6789899377383199</v>
      </c>
      <c r="F193">
        <v>4.9989937738319945</v>
      </c>
      <c r="G193">
        <v>4.9989937738319945</v>
      </c>
      <c r="H193">
        <v>0.19995975095327978</v>
      </c>
      <c r="I193">
        <v>0.20015896439700143</v>
      </c>
      <c r="J193">
        <v>0.34548525313700118</v>
      </c>
      <c r="K193" t="s">
        <v>41</v>
      </c>
    </row>
    <row r="194" spans="1:11" x14ac:dyDescent="0.25">
      <c r="A194" s="374">
        <v>46220</v>
      </c>
      <c r="B194" t="s">
        <v>10</v>
      </c>
      <c r="C194" s="294">
        <v>46295</v>
      </c>
      <c r="D194" s="294">
        <v>46337</v>
      </c>
      <c r="E194">
        <v>1.76200407282913</v>
      </c>
      <c r="F194">
        <v>8.3014135090810015</v>
      </c>
      <c r="G194">
        <v>13.300407282912996</v>
      </c>
      <c r="H194">
        <v>0.53201629131651984</v>
      </c>
      <c r="I194">
        <v>-0.80001202868000831</v>
      </c>
      <c r="J194">
        <v>0.89670631148999203</v>
      </c>
      <c r="K194" t="s">
        <v>41</v>
      </c>
    </row>
    <row r="195" spans="1:11" x14ac:dyDescent="0.25">
      <c r="A195" s="374">
        <v>46220</v>
      </c>
      <c r="B195" t="s">
        <v>12</v>
      </c>
      <c r="C195" s="294">
        <v>46337</v>
      </c>
      <c r="D195" s="294">
        <v>46379</v>
      </c>
      <c r="E195">
        <v>1.83499166318869</v>
      </c>
      <c r="F195">
        <v>7.2987590359560039</v>
      </c>
      <c r="G195">
        <v>20.599166318868999</v>
      </c>
      <c r="H195">
        <v>0.82396665275476</v>
      </c>
      <c r="I195">
        <v>-1.7999728527100078</v>
      </c>
      <c r="J195">
        <v>1.1277936240509989</v>
      </c>
      <c r="K195" t="s">
        <v>41</v>
      </c>
    </row>
    <row r="196" spans="1:11" x14ac:dyDescent="0.25">
      <c r="A196" s="374">
        <v>46220</v>
      </c>
      <c r="B196" t="s">
        <v>13</v>
      </c>
      <c r="C196" s="294">
        <v>46379</v>
      </c>
      <c r="D196" s="294">
        <v>46421</v>
      </c>
      <c r="E196">
        <v>2.0248396582177102</v>
      </c>
      <c r="F196">
        <v>18.984799502902018</v>
      </c>
      <c r="G196">
        <v>39.583965821771017</v>
      </c>
      <c r="H196">
        <v>1.5833586328708407</v>
      </c>
      <c r="I196">
        <v>-17.030559926851964</v>
      </c>
      <c r="J196">
        <v>14.751003650978012</v>
      </c>
      <c r="K196" t="s">
        <v>41</v>
      </c>
    </row>
    <row r="197" spans="1:11" x14ac:dyDescent="0.25">
      <c r="A197" s="374">
        <v>46220</v>
      </c>
      <c r="B197" t="s">
        <v>14</v>
      </c>
      <c r="C197" s="294">
        <v>46421</v>
      </c>
      <c r="D197" s="294">
        <v>46470</v>
      </c>
      <c r="E197">
        <v>2.1412800125731399</v>
      </c>
      <c r="F197">
        <v>11.644035435542976</v>
      </c>
      <c r="G197">
        <v>51.228001257313991</v>
      </c>
      <c r="H197">
        <v>2.0491200502925597</v>
      </c>
      <c r="I197">
        <v>-6.2146935815969861</v>
      </c>
      <c r="J197">
        <v>20.08116114218199</v>
      </c>
      <c r="K197" t="s">
        <v>41</v>
      </c>
    </row>
    <row r="198" spans="1:11" x14ac:dyDescent="0.25">
      <c r="A198" s="374">
        <v>46220</v>
      </c>
      <c r="C198" s="294"/>
      <c r="D198" s="294"/>
      <c r="I198">
        <v>0</v>
      </c>
      <c r="J198">
        <v>0</v>
      </c>
      <c r="K198" t="s">
        <v>41</v>
      </c>
    </row>
    <row r="199" spans="1:11" x14ac:dyDescent="0.25">
      <c r="A199" s="374">
        <v>46220</v>
      </c>
      <c r="C199" s="294"/>
      <c r="D199" s="294"/>
      <c r="I199">
        <v>0</v>
      </c>
      <c r="J199">
        <v>0</v>
      </c>
      <c r="K199" t="s">
        <v>41</v>
      </c>
    </row>
    <row r="200" spans="1:11" x14ac:dyDescent="0.25">
      <c r="A200" s="374">
        <v>46220</v>
      </c>
      <c r="C200" s="294"/>
      <c r="D200" s="294"/>
      <c r="I200">
        <v>0</v>
      </c>
      <c r="J200">
        <v>0</v>
      </c>
      <c r="K200" t="s">
        <v>41</v>
      </c>
    </row>
    <row r="201" spans="1:11" x14ac:dyDescent="0.25">
      <c r="A201" s="374">
        <v>46220</v>
      </c>
      <c r="C201" s="294"/>
      <c r="D201" s="294"/>
      <c r="I201">
        <v>0</v>
      </c>
      <c r="J201">
        <v>0</v>
      </c>
      <c r="K201" t="s">
        <v>41</v>
      </c>
    </row>
    <row r="202" spans="1:11" x14ac:dyDescent="0.25">
      <c r="A202" s="374">
        <v>46220</v>
      </c>
      <c r="C202" s="294"/>
      <c r="D202" s="294"/>
      <c r="I202">
        <v>0</v>
      </c>
      <c r="J202">
        <v>0</v>
      </c>
      <c r="K202" t="s">
        <v>41</v>
      </c>
    </row>
    <row r="203" spans="1:11" x14ac:dyDescent="0.25">
      <c r="A203" s="374">
        <v>46220</v>
      </c>
      <c r="C203" s="294"/>
      <c r="D203" s="294"/>
      <c r="I203">
        <v>0</v>
      </c>
      <c r="J203">
        <v>0</v>
      </c>
      <c r="K203" t="s">
        <v>41</v>
      </c>
    </row>
    <row r="204" spans="1:11" x14ac:dyDescent="0.25">
      <c r="A204" s="374">
        <v>46220</v>
      </c>
      <c r="C204" s="294"/>
      <c r="D204" s="294"/>
      <c r="I204">
        <v>0</v>
      </c>
      <c r="J204">
        <v>0</v>
      </c>
      <c r="K204" t="s">
        <v>41</v>
      </c>
    </row>
    <row r="205" spans="1:11" x14ac:dyDescent="0.25">
      <c r="A205" s="374">
        <v>46223</v>
      </c>
      <c r="B205" t="s">
        <v>9</v>
      </c>
      <c r="C205" s="294">
        <v>46260</v>
      </c>
      <c r="D205" s="294">
        <v>46295</v>
      </c>
      <c r="E205">
        <v>1.67402098191118</v>
      </c>
      <c r="F205">
        <v>4.502098191117998</v>
      </c>
      <c r="G205">
        <v>4.502098191117998</v>
      </c>
      <c r="H205">
        <v>0.18008392764471992</v>
      </c>
      <c r="I205">
        <v>-0.49689558271399648</v>
      </c>
      <c r="J205">
        <v>-0.52085941395401125</v>
      </c>
      <c r="K205" t="s">
        <v>41</v>
      </c>
    </row>
    <row r="206" spans="1:11" x14ac:dyDescent="0.25">
      <c r="A206" s="374">
        <v>46223</v>
      </c>
      <c r="B206" t="s">
        <v>10</v>
      </c>
      <c r="C206" s="294">
        <v>46295</v>
      </c>
      <c r="D206" s="294">
        <v>46337</v>
      </c>
      <c r="E206">
        <v>1.7610038025741199</v>
      </c>
      <c r="F206">
        <v>8.698282066293995</v>
      </c>
      <c r="G206">
        <v>13.200380257411993</v>
      </c>
      <c r="H206">
        <v>0.52801521029647969</v>
      </c>
      <c r="I206">
        <v>-0.10002702550100384</v>
      </c>
      <c r="J206">
        <v>-0.52001013474300972</v>
      </c>
      <c r="K206" t="s">
        <v>41</v>
      </c>
    </row>
    <row r="207" spans="1:11" x14ac:dyDescent="0.25">
      <c r="A207" s="374">
        <v>46223</v>
      </c>
      <c r="B207" t="s">
        <v>12</v>
      </c>
      <c r="C207" s="294">
        <v>46337</v>
      </c>
      <c r="D207" s="294">
        <v>46379</v>
      </c>
      <c r="E207">
        <v>1.83799220563938</v>
      </c>
      <c r="F207">
        <v>7.6988403065260114</v>
      </c>
      <c r="G207">
        <v>20.899220563938002</v>
      </c>
      <c r="H207">
        <v>0.83596882255752003</v>
      </c>
      <c r="I207">
        <v>0.30005424506900358</v>
      </c>
      <c r="J207">
        <v>-1.092578592037996</v>
      </c>
      <c r="K207" t="s">
        <v>41</v>
      </c>
    </row>
    <row r="208" spans="1:11" x14ac:dyDescent="0.25">
      <c r="A208" s="374">
        <v>46223</v>
      </c>
      <c r="B208" t="s">
        <v>13</v>
      </c>
      <c r="C208" s="294">
        <v>46379</v>
      </c>
      <c r="D208" s="294">
        <v>46421</v>
      </c>
      <c r="E208">
        <v>1.9719967459140899</v>
      </c>
      <c r="F208">
        <v>13.400454027470987</v>
      </c>
      <c r="G208">
        <v>34.299674591408987</v>
      </c>
      <c r="H208">
        <v>1.3719869836563594</v>
      </c>
      <c r="I208">
        <v>-5.284291230362026</v>
      </c>
      <c r="J208">
        <v>3.8441480667809946</v>
      </c>
      <c r="K208" t="s">
        <v>41</v>
      </c>
    </row>
    <row r="209" spans="1:11" x14ac:dyDescent="0.25">
      <c r="A209" s="374">
        <v>46223</v>
      </c>
      <c r="B209" t="s">
        <v>14</v>
      </c>
      <c r="C209" s="294">
        <v>46421</v>
      </c>
      <c r="D209" s="294">
        <v>46470</v>
      </c>
      <c r="E209">
        <v>2.0632799361570702</v>
      </c>
      <c r="F209">
        <v>9.1283190242980261</v>
      </c>
      <c r="G209">
        <v>43.427993615707017</v>
      </c>
      <c r="H209">
        <v>1.7371197446282807</v>
      </c>
      <c r="I209">
        <v>-7.8000076416069763</v>
      </c>
      <c r="J209">
        <v>3.9503514432499998</v>
      </c>
      <c r="K209" t="s">
        <v>41</v>
      </c>
    </row>
    <row r="210" spans="1:11" x14ac:dyDescent="0.25">
      <c r="A210" s="374">
        <v>46223</v>
      </c>
      <c r="C210" s="294"/>
      <c r="D210" s="294"/>
      <c r="I210">
        <v>0</v>
      </c>
      <c r="J210">
        <v>0</v>
      </c>
      <c r="K210" t="s">
        <v>41</v>
      </c>
    </row>
    <row r="211" spans="1:11" x14ac:dyDescent="0.25">
      <c r="A211" s="374">
        <v>46223</v>
      </c>
      <c r="C211" s="294"/>
      <c r="D211" s="294"/>
      <c r="I211">
        <v>0</v>
      </c>
      <c r="J211">
        <v>0</v>
      </c>
      <c r="K211" t="s">
        <v>41</v>
      </c>
    </row>
    <row r="212" spans="1:11" x14ac:dyDescent="0.25">
      <c r="A212" s="374">
        <v>46223</v>
      </c>
      <c r="C212" s="294"/>
      <c r="D212" s="294"/>
      <c r="I212">
        <v>0</v>
      </c>
      <c r="J212">
        <v>0</v>
      </c>
      <c r="K212" t="s">
        <v>41</v>
      </c>
    </row>
    <row r="213" spans="1:11" x14ac:dyDescent="0.25">
      <c r="A213" s="374">
        <v>46223</v>
      </c>
      <c r="C213" s="294"/>
      <c r="D213" s="294"/>
      <c r="I213">
        <v>0</v>
      </c>
      <c r="J213">
        <v>0</v>
      </c>
      <c r="K213" t="s">
        <v>41</v>
      </c>
    </row>
    <row r="214" spans="1:11" x14ac:dyDescent="0.25">
      <c r="A214" s="374">
        <v>46223</v>
      </c>
      <c r="C214" s="294"/>
      <c r="D214" s="294"/>
      <c r="I214">
        <v>0</v>
      </c>
      <c r="J214">
        <v>0</v>
      </c>
      <c r="K214" t="s">
        <v>41</v>
      </c>
    </row>
    <row r="215" spans="1:11" x14ac:dyDescent="0.25">
      <c r="A215" s="374">
        <v>46223</v>
      </c>
      <c r="C215" s="294"/>
      <c r="D215" s="294"/>
      <c r="I215">
        <v>0</v>
      </c>
      <c r="J215">
        <v>0</v>
      </c>
      <c r="K215" t="s">
        <v>41</v>
      </c>
    </row>
    <row r="216" spans="1:11" x14ac:dyDescent="0.25">
      <c r="A216" s="374">
        <v>46223</v>
      </c>
      <c r="C216" s="294"/>
      <c r="D216" s="294"/>
      <c r="I216">
        <v>0</v>
      </c>
      <c r="J216">
        <v>0</v>
      </c>
      <c r="K216" t="s">
        <v>41</v>
      </c>
    </row>
    <row r="217" spans="1:11" x14ac:dyDescent="0.25">
      <c r="A217" s="374">
        <v>46224</v>
      </c>
      <c r="B217" t="s">
        <v>9</v>
      </c>
      <c r="C217" s="294">
        <v>46260</v>
      </c>
      <c r="D217" s="294">
        <v>46295</v>
      </c>
      <c r="E217">
        <v>1.6780082237559899</v>
      </c>
      <c r="F217">
        <v>5.2008223755990013</v>
      </c>
      <c r="G217">
        <v>5.2008223755990013</v>
      </c>
      <c r="H217">
        <v>0.20803289502396005</v>
      </c>
      <c r="I217">
        <v>0.39872418448099189</v>
      </c>
      <c r="J217">
        <v>1.1024440830629922</v>
      </c>
      <c r="K217" t="s">
        <v>41</v>
      </c>
    </row>
    <row r="218" spans="1:11" x14ac:dyDescent="0.25">
      <c r="A218" s="374">
        <v>46224</v>
      </c>
      <c r="B218" t="s">
        <v>10</v>
      </c>
      <c r="C218" s="294">
        <v>46295</v>
      </c>
      <c r="D218" s="294">
        <v>46337</v>
      </c>
      <c r="E218">
        <v>1.77400373746497</v>
      </c>
      <c r="F218">
        <v>9.5995513708980074</v>
      </c>
      <c r="G218">
        <v>14.800373746497009</v>
      </c>
      <c r="H218">
        <v>0.59201494985988035</v>
      </c>
      <c r="I218">
        <v>1.2999934890850051</v>
      </c>
      <c r="J218">
        <v>-0.20008381591600788</v>
      </c>
      <c r="K218" t="s">
        <v>41</v>
      </c>
    </row>
    <row r="219" spans="1:11" x14ac:dyDescent="0.25">
      <c r="A219" s="374">
        <v>46224</v>
      </c>
      <c r="B219" t="s">
        <v>12</v>
      </c>
      <c r="C219" s="294">
        <v>46337</v>
      </c>
      <c r="D219" s="294">
        <v>46379</v>
      </c>
      <c r="E219">
        <v>1.8589923301543401</v>
      </c>
      <c r="F219">
        <v>8.498859268937009</v>
      </c>
      <c r="G219">
        <v>23.299233015434019</v>
      </c>
      <c r="H219">
        <v>0.93196932061736082</v>
      </c>
      <c r="I219">
        <v>2.1000124514960028</v>
      </c>
      <c r="J219">
        <v>-1.3998178512519832</v>
      </c>
      <c r="K219" t="s">
        <v>41</v>
      </c>
    </row>
    <row r="220" spans="1:11" x14ac:dyDescent="0.25">
      <c r="A220" s="374">
        <v>46224</v>
      </c>
      <c r="B220" t="s">
        <v>13</v>
      </c>
      <c r="C220" s="294">
        <v>46379</v>
      </c>
      <c r="D220" s="294">
        <v>46421</v>
      </c>
      <c r="E220">
        <v>1.9490405822283099</v>
      </c>
      <c r="F220">
        <v>9.0048252073969834</v>
      </c>
      <c r="G220">
        <v>32.304058222831003</v>
      </c>
      <c r="H220">
        <v>1.29216232891324</v>
      </c>
      <c r="I220">
        <v>-2.2956163685780018</v>
      </c>
      <c r="J220">
        <v>-39.088450294429997</v>
      </c>
      <c r="K220" t="s">
        <v>41</v>
      </c>
    </row>
    <row r="221" spans="1:11" x14ac:dyDescent="0.25">
      <c r="A221" s="374">
        <v>46224</v>
      </c>
      <c r="B221" t="s">
        <v>14</v>
      </c>
      <c r="C221" s="294">
        <v>46421</v>
      </c>
      <c r="D221" s="294">
        <v>46470</v>
      </c>
      <c r="E221">
        <v>2.02179895769711</v>
      </c>
      <c r="F221">
        <v>7.2758375468800152</v>
      </c>
      <c r="G221">
        <v>39.579895769711015</v>
      </c>
      <c r="H221">
        <v>1.5831958307884406</v>
      </c>
      <c r="I221">
        <v>-4.1480978459960127</v>
      </c>
      <c r="J221">
        <v>-32.421939898822004</v>
      </c>
      <c r="K221" t="s">
        <v>41</v>
      </c>
    </row>
    <row r="222" spans="1:11" x14ac:dyDescent="0.25">
      <c r="A222" s="374">
        <v>46224</v>
      </c>
      <c r="C222" s="294"/>
      <c r="D222" s="294"/>
      <c r="I222">
        <v>0</v>
      </c>
      <c r="J222">
        <v>0</v>
      </c>
      <c r="K222" t="s">
        <v>41</v>
      </c>
    </row>
    <row r="223" spans="1:11" x14ac:dyDescent="0.25">
      <c r="A223" s="374">
        <v>46224</v>
      </c>
      <c r="C223" s="294"/>
      <c r="D223" s="294"/>
      <c r="I223">
        <v>0</v>
      </c>
      <c r="J223">
        <v>0</v>
      </c>
      <c r="K223" t="s">
        <v>41</v>
      </c>
    </row>
    <row r="224" spans="1:11" x14ac:dyDescent="0.25">
      <c r="A224" s="374">
        <v>46224</v>
      </c>
      <c r="C224" s="294"/>
      <c r="D224" s="294"/>
      <c r="I224">
        <v>0</v>
      </c>
      <c r="J224">
        <v>0</v>
      </c>
      <c r="K224" t="s">
        <v>41</v>
      </c>
    </row>
    <row r="225" spans="1:11" x14ac:dyDescent="0.25">
      <c r="A225" s="374">
        <v>46224</v>
      </c>
      <c r="C225" s="294"/>
      <c r="D225" s="294"/>
      <c r="I225">
        <v>0</v>
      </c>
      <c r="J225">
        <v>0</v>
      </c>
      <c r="K225" t="s">
        <v>41</v>
      </c>
    </row>
    <row r="226" spans="1:11" x14ac:dyDescent="0.25">
      <c r="A226" s="374">
        <v>46224</v>
      </c>
      <c r="C226" s="294"/>
      <c r="D226" s="294"/>
      <c r="I226">
        <v>0</v>
      </c>
      <c r="J226">
        <v>0</v>
      </c>
      <c r="K226" t="s">
        <v>41</v>
      </c>
    </row>
    <row r="227" spans="1:11" x14ac:dyDescent="0.25">
      <c r="A227" s="374">
        <v>46224</v>
      </c>
      <c r="C227" s="294"/>
      <c r="D227" s="294"/>
      <c r="I227">
        <v>0</v>
      </c>
      <c r="J227">
        <v>0</v>
      </c>
      <c r="K227" t="s">
        <v>41</v>
      </c>
    </row>
    <row r="228" spans="1:11" x14ac:dyDescent="0.25">
      <c r="A228" s="374">
        <v>46224</v>
      </c>
      <c r="C228" s="294"/>
      <c r="D228" s="294"/>
      <c r="I228">
        <v>0</v>
      </c>
      <c r="J228">
        <v>0</v>
      </c>
      <c r="K228" t="s">
        <v>41</v>
      </c>
    </row>
    <row r="229" spans="1:11" x14ac:dyDescent="0.25">
      <c r="A229" s="374">
        <v>46225</v>
      </c>
      <c r="B229" t="s">
        <v>9</v>
      </c>
      <c r="C229" s="294">
        <v>46260</v>
      </c>
      <c r="D229" s="294">
        <v>46295</v>
      </c>
      <c r="E229">
        <v>1.6759085822873001</v>
      </c>
      <c r="F229">
        <v>3.9908582287300209</v>
      </c>
      <c r="G229">
        <v>3.9908582287300209</v>
      </c>
      <c r="H229">
        <v>0.15963432914920084</v>
      </c>
      <c r="I229">
        <v>-0.20996414686897946</v>
      </c>
      <c r="J229">
        <v>-0.10673606120099599</v>
      </c>
      <c r="K229">
        <v>9.0858228730006374E-2</v>
      </c>
    </row>
    <row r="230" spans="1:11" x14ac:dyDescent="0.25">
      <c r="A230" s="374">
        <v>46225</v>
      </c>
      <c r="B230" t="s">
        <v>10</v>
      </c>
      <c r="C230" s="294">
        <v>46295</v>
      </c>
      <c r="D230" s="294">
        <v>46337</v>
      </c>
      <c r="E230">
        <v>1.77600380643656</v>
      </c>
      <c r="F230">
        <v>10.009522414925986</v>
      </c>
      <c r="G230">
        <v>14.000380643656008</v>
      </c>
      <c r="H230">
        <v>0.5600152257462403</v>
      </c>
      <c r="I230">
        <v>0.20000689715899966</v>
      </c>
      <c r="J230">
        <v>0.19994423189499955</v>
      </c>
      <c r="K230">
        <v>4.4003806436559989</v>
      </c>
    </row>
    <row r="231" spans="1:11" x14ac:dyDescent="0.25">
      <c r="A231" s="374">
        <v>46225</v>
      </c>
      <c r="B231" t="s">
        <v>12</v>
      </c>
      <c r="C231" s="294">
        <v>46337</v>
      </c>
      <c r="D231" s="294">
        <v>46379</v>
      </c>
      <c r="E231">
        <v>1.87399225363803</v>
      </c>
      <c r="F231">
        <v>9.7988447201470041</v>
      </c>
      <c r="G231">
        <v>23.799225363803011</v>
      </c>
      <c r="H231">
        <v>0.95196901455212046</v>
      </c>
      <c r="I231">
        <v>1.4999923483689948</v>
      </c>
      <c r="J231">
        <v>1.3001236502629965</v>
      </c>
      <c r="K231">
        <v>6.5992253638029963</v>
      </c>
    </row>
    <row r="232" spans="1:11" x14ac:dyDescent="0.25">
      <c r="A232" s="374">
        <v>46225</v>
      </c>
      <c r="B232" t="s">
        <v>13</v>
      </c>
      <c r="C232" s="294">
        <v>46379</v>
      </c>
      <c r="D232" s="294">
        <v>46421</v>
      </c>
      <c r="E232">
        <v>1.9537305095664199</v>
      </c>
      <c r="F232">
        <v>7.9738255928389901</v>
      </c>
      <c r="G232">
        <v>31.773050956642003</v>
      </c>
      <c r="H232">
        <v>1.2709220382656801</v>
      </c>
      <c r="I232">
        <v>0.46899273381100226</v>
      </c>
      <c r="J232">
        <v>-38.779023771150008</v>
      </c>
      <c r="K232" t="s">
        <v>41</v>
      </c>
    </row>
    <row r="233" spans="1:11" x14ac:dyDescent="0.25">
      <c r="A233" s="374">
        <v>46225</v>
      </c>
      <c r="B233" t="s">
        <v>14</v>
      </c>
      <c r="C233" s="294">
        <v>46421</v>
      </c>
      <c r="D233" s="294">
        <v>46470</v>
      </c>
      <c r="E233">
        <v>2.0177788814815201</v>
      </c>
      <c r="F233">
        <v>6.4048371915100155</v>
      </c>
      <c r="G233">
        <v>38.177888148152014</v>
      </c>
      <c r="H233">
        <v>1.5271155259260807</v>
      </c>
      <c r="I233">
        <v>-0.40200762155899739</v>
      </c>
      <c r="J233">
        <v>-34.254026680208007</v>
      </c>
      <c r="K233" t="s">
        <v>41</v>
      </c>
    </row>
    <row r="234" spans="1:11" x14ac:dyDescent="0.25">
      <c r="A234" s="374">
        <v>46225</v>
      </c>
      <c r="C234" s="294"/>
      <c r="D234" s="294"/>
      <c r="I234">
        <v>0</v>
      </c>
      <c r="J234">
        <v>0</v>
      </c>
      <c r="K234" t="s">
        <v>41</v>
      </c>
    </row>
    <row r="235" spans="1:11" x14ac:dyDescent="0.25">
      <c r="A235" s="374">
        <v>46225</v>
      </c>
      <c r="C235" s="294"/>
      <c r="D235" s="294"/>
      <c r="I235">
        <v>0</v>
      </c>
      <c r="J235">
        <v>0</v>
      </c>
      <c r="K235" t="s">
        <v>41</v>
      </c>
    </row>
    <row r="236" spans="1:11" x14ac:dyDescent="0.25">
      <c r="A236" s="374">
        <v>46225</v>
      </c>
      <c r="C236" s="294"/>
      <c r="D236" s="294"/>
      <c r="I236">
        <v>0</v>
      </c>
      <c r="J236">
        <v>0</v>
      </c>
      <c r="K236" t="s">
        <v>41</v>
      </c>
    </row>
    <row r="237" spans="1:11" x14ac:dyDescent="0.25">
      <c r="A237" s="374">
        <v>46225</v>
      </c>
      <c r="C237" s="294"/>
      <c r="D237" s="294"/>
      <c r="I237">
        <v>0</v>
      </c>
      <c r="J237">
        <v>0</v>
      </c>
      <c r="K237" t="s">
        <v>41</v>
      </c>
    </row>
    <row r="238" spans="1:11" x14ac:dyDescent="0.25">
      <c r="A238" s="374">
        <v>46225</v>
      </c>
      <c r="C238" s="294"/>
      <c r="D238" s="294"/>
      <c r="I238">
        <v>0</v>
      </c>
      <c r="J238">
        <v>0</v>
      </c>
      <c r="K238" t="s">
        <v>41</v>
      </c>
    </row>
    <row r="239" spans="1:11" x14ac:dyDescent="0.25">
      <c r="A239" s="374">
        <v>46225</v>
      </c>
      <c r="C239" s="294"/>
      <c r="D239" s="294"/>
      <c r="I239">
        <v>0</v>
      </c>
      <c r="J239">
        <v>0</v>
      </c>
      <c r="K239" t="s">
        <v>41</v>
      </c>
    </row>
    <row r="240" spans="1:11" x14ac:dyDescent="0.25">
      <c r="A240" s="374">
        <v>46225</v>
      </c>
      <c r="C240" s="294"/>
      <c r="D240" s="294"/>
      <c r="I240">
        <v>0</v>
      </c>
      <c r="J240">
        <v>0</v>
      </c>
      <c r="K240" t="s">
        <v>41</v>
      </c>
    </row>
    <row r="241" spans="1:11" x14ac:dyDescent="0.25">
      <c r="A241" s="374">
        <v>46226</v>
      </c>
      <c r="B241" t="s">
        <v>9</v>
      </c>
      <c r="C241" s="294">
        <v>46260</v>
      </c>
      <c r="D241" s="294">
        <v>46295</v>
      </c>
      <c r="E241">
        <v>1.67586699001116</v>
      </c>
      <c r="F241">
        <v>4.0866990011160009</v>
      </c>
      <c r="G241">
        <v>4.0866990011160009</v>
      </c>
      <c r="H241">
        <v>0.16346796004464004</v>
      </c>
      <c r="I241">
        <v>-4.1592276140089979E-3</v>
      </c>
      <c r="J241">
        <v>-0.11213580831899161</v>
      </c>
      <c r="K241">
        <v>-0.61330099888399214</v>
      </c>
    </row>
    <row r="242" spans="1:11" x14ac:dyDescent="0.25">
      <c r="A242" s="374">
        <v>46226</v>
      </c>
      <c r="B242" t="s">
        <v>10</v>
      </c>
      <c r="C242" s="294">
        <v>46295</v>
      </c>
      <c r="D242" s="294">
        <v>46337</v>
      </c>
      <c r="E242">
        <v>1.7730038397276</v>
      </c>
      <c r="F242">
        <v>9.7136849716439997</v>
      </c>
      <c r="G242">
        <v>13.800383972759999</v>
      </c>
      <c r="H242">
        <v>0.55201535891039999</v>
      </c>
      <c r="I242">
        <v>-0.29999667089599669</v>
      </c>
      <c r="J242">
        <v>0.29996466116699594</v>
      </c>
      <c r="K242">
        <v>1.1003839727599996</v>
      </c>
    </row>
    <row r="243" spans="1:11" x14ac:dyDescent="0.25">
      <c r="A243" s="374">
        <v>46226</v>
      </c>
      <c r="B243" t="s">
        <v>12</v>
      </c>
      <c r="C243" s="294">
        <v>46337</v>
      </c>
      <c r="D243" s="294">
        <v>46379</v>
      </c>
      <c r="E243">
        <v>1.88199231160744</v>
      </c>
      <c r="F243">
        <v>10.898847187983996</v>
      </c>
      <c r="G243">
        <v>24.699231160743995</v>
      </c>
      <c r="H243">
        <v>0.98796924642975981</v>
      </c>
      <c r="I243">
        <v>0.80000579694099461</v>
      </c>
      <c r="J243">
        <v>2.9000919891649879</v>
      </c>
      <c r="K243">
        <v>58.699231160744006</v>
      </c>
    </row>
    <row r="244" spans="1:11" x14ac:dyDescent="0.25">
      <c r="A244" s="374">
        <v>46226</v>
      </c>
      <c r="B244" t="s">
        <v>13</v>
      </c>
      <c r="C244" s="294">
        <v>46379</v>
      </c>
      <c r="D244" s="294">
        <v>46421</v>
      </c>
      <c r="E244">
        <v>2.1017149432659199</v>
      </c>
      <c r="F244">
        <v>21.972263165847995</v>
      </c>
      <c r="G244">
        <v>46.67149432659199</v>
      </c>
      <c r="H244">
        <v>1.8668597730636796</v>
      </c>
      <c r="I244">
        <v>14.798443369949998</v>
      </c>
      <c r="J244">
        <v>-9.3430314220309896</v>
      </c>
      <c r="K244" t="s">
        <v>41</v>
      </c>
    </row>
    <row r="245" spans="1:11" x14ac:dyDescent="0.25">
      <c r="A245" s="374">
        <v>46226</v>
      </c>
      <c r="B245" t="s">
        <v>14</v>
      </c>
      <c r="C245" s="294">
        <v>46421</v>
      </c>
      <c r="D245" s="294">
        <v>46470</v>
      </c>
      <c r="E245">
        <v>2.2108306405237501</v>
      </c>
      <c r="F245">
        <v>10.911569725783021</v>
      </c>
      <c r="G245">
        <v>57.583064052375008</v>
      </c>
      <c r="H245">
        <v>2.3033225620950004</v>
      </c>
      <c r="I245">
        <v>19.305175904223006</v>
      </c>
      <c r="J245">
        <v>0.74036921346403162</v>
      </c>
      <c r="K245" t="s">
        <v>41</v>
      </c>
    </row>
    <row r="246" spans="1:11" x14ac:dyDescent="0.25">
      <c r="A246" s="374">
        <v>46226</v>
      </c>
      <c r="C246" s="294"/>
      <c r="D246" s="294"/>
      <c r="I246">
        <v>0</v>
      </c>
      <c r="J246">
        <v>0</v>
      </c>
      <c r="K246" t="s">
        <v>41</v>
      </c>
    </row>
    <row r="247" spans="1:11" x14ac:dyDescent="0.25">
      <c r="A247" s="374">
        <v>46226</v>
      </c>
      <c r="C247" s="294"/>
      <c r="D247" s="294"/>
      <c r="I247">
        <v>0</v>
      </c>
      <c r="J247">
        <v>0</v>
      </c>
      <c r="K247" t="s">
        <v>41</v>
      </c>
    </row>
    <row r="248" spans="1:11" x14ac:dyDescent="0.25">
      <c r="A248" s="374">
        <v>46226</v>
      </c>
      <c r="C248" s="294"/>
      <c r="D248" s="294"/>
      <c r="I248">
        <v>0</v>
      </c>
      <c r="J248">
        <v>0</v>
      </c>
      <c r="K248" t="s">
        <v>41</v>
      </c>
    </row>
    <row r="249" spans="1:11" x14ac:dyDescent="0.25">
      <c r="A249" s="374">
        <v>46226</v>
      </c>
      <c r="C249" s="294"/>
      <c r="D249" s="294"/>
      <c r="I249">
        <v>0</v>
      </c>
      <c r="J249">
        <v>0</v>
      </c>
      <c r="K249" t="s">
        <v>41</v>
      </c>
    </row>
    <row r="250" spans="1:11" x14ac:dyDescent="0.25">
      <c r="A250" s="374">
        <v>46226</v>
      </c>
      <c r="C250" s="294"/>
      <c r="D250" s="294"/>
      <c r="I250">
        <v>0</v>
      </c>
      <c r="J250">
        <v>0</v>
      </c>
      <c r="K250" t="s">
        <v>41</v>
      </c>
    </row>
    <row r="251" spans="1:11" x14ac:dyDescent="0.25">
      <c r="A251" s="374">
        <v>46226</v>
      </c>
      <c r="C251" s="294"/>
      <c r="D251" s="294"/>
      <c r="I251">
        <v>0</v>
      </c>
      <c r="J251">
        <v>0</v>
      </c>
      <c r="K251" t="s">
        <v>41</v>
      </c>
    </row>
    <row r="252" spans="1:11" x14ac:dyDescent="0.25">
      <c r="A252" s="374">
        <v>46226</v>
      </c>
      <c r="C252" s="294"/>
      <c r="D252" s="294"/>
      <c r="I252">
        <v>0</v>
      </c>
      <c r="J252">
        <v>0</v>
      </c>
      <c r="K252" t="s">
        <v>41</v>
      </c>
    </row>
    <row r="253" spans="1:11" x14ac:dyDescent="0.25">
      <c r="A253" s="374">
        <v>46227</v>
      </c>
      <c r="B253" t="s">
        <v>9</v>
      </c>
      <c r="C253" s="294">
        <v>46260</v>
      </c>
      <c r="D253" s="294">
        <v>46295</v>
      </c>
      <c r="E253">
        <v>1.6758381118847601</v>
      </c>
      <c r="F253">
        <v>3.583811188476016</v>
      </c>
      <c r="G253">
        <v>3.583811188476016</v>
      </c>
      <c r="H253">
        <v>0.14335244753904064</v>
      </c>
      <c r="I253">
        <v>-2.8878126399956017E-3</v>
      </c>
      <c r="J253">
        <v>-0.31518258535598864</v>
      </c>
      <c r="K253">
        <v>2.8838111884760043</v>
      </c>
    </row>
    <row r="254" spans="1:11" x14ac:dyDescent="0.25">
      <c r="A254" s="374">
        <v>46227</v>
      </c>
      <c r="B254" t="s">
        <v>10</v>
      </c>
      <c r="C254" s="294">
        <v>46295</v>
      </c>
      <c r="D254" s="294">
        <v>46337</v>
      </c>
      <c r="E254">
        <v>1.7730037362964299</v>
      </c>
      <c r="F254">
        <v>9.7165624411669871</v>
      </c>
      <c r="G254">
        <v>13.300373629643003</v>
      </c>
      <c r="H254">
        <v>0.53201494518572012</v>
      </c>
      <c r="I254">
        <v>-1.0343117007316494E-5</v>
      </c>
      <c r="J254">
        <v>1.0999663467299969</v>
      </c>
      <c r="K254">
        <v>8.4003736296429885</v>
      </c>
    </row>
    <row r="255" spans="1:11" x14ac:dyDescent="0.25">
      <c r="A255" s="374">
        <v>46227</v>
      </c>
      <c r="B255" t="s">
        <v>12</v>
      </c>
      <c r="C255" s="294">
        <v>46337</v>
      </c>
      <c r="D255" s="294">
        <v>46379</v>
      </c>
      <c r="E255">
        <v>1.8759924664615899</v>
      </c>
      <c r="F255">
        <v>10.298873016515998</v>
      </c>
      <c r="G255">
        <v>23.599246646158999</v>
      </c>
      <c r="H255">
        <v>0.94396986584636</v>
      </c>
      <c r="I255">
        <v>-0.59998451458500579</v>
      </c>
      <c r="J255">
        <v>4.1000803272899899</v>
      </c>
      <c r="K255">
        <v>15.699246646158983</v>
      </c>
    </row>
    <row r="256" spans="1:11" x14ac:dyDescent="0.25">
      <c r="A256" s="374">
        <v>46227</v>
      </c>
      <c r="B256" t="s">
        <v>13</v>
      </c>
      <c r="C256" s="294">
        <v>46379</v>
      </c>
      <c r="D256" s="294">
        <v>46421</v>
      </c>
      <c r="E256">
        <v>2.0547105398550398</v>
      </c>
      <c r="F256">
        <v>17.87180733934499</v>
      </c>
      <c r="G256">
        <v>41.471053985503993</v>
      </c>
      <c r="H256">
        <v>1.6588421594201597</v>
      </c>
      <c r="I256">
        <v>-4.700440341088008</v>
      </c>
      <c r="J256">
        <v>2.9870881637329649</v>
      </c>
      <c r="K256" t="s">
        <v>41</v>
      </c>
    </row>
    <row r="257" spans="1:11" x14ac:dyDescent="0.25">
      <c r="A257" s="374">
        <v>46227</v>
      </c>
      <c r="B257" t="s">
        <v>14</v>
      </c>
      <c r="C257" s="294">
        <v>46421</v>
      </c>
      <c r="D257" s="294">
        <v>46470</v>
      </c>
      <c r="E257">
        <v>2.1788155789258901</v>
      </c>
      <c r="F257">
        <v>12.410503907085024</v>
      </c>
      <c r="G257">
        <v>53.881557892589015</v>
      </c>
      <c r="H257">
        <v>2.1552623157035606</v>
      </c>
      <c r="I257">
        <v>-3.2015061597860051</v>
      </c>
      <c r="J257">
        <v>3.7535566352750127</v>
      </c>
      <c r="K257" t="s">
        <v>41</v>
      </c>
    </row>
    <row r="258" spans="1:11" x14ac:dyDescent="0.25">
      <c r="A258" s="374">
        <v>46227</v>
      </c>
      <c r="C258" s="294"/>
      <c r="D258" s="294"/>
      <c r="I258">
        <v>0</v>
      </c>
      <c r="J258">
        <v>0</v>
      </c>
      <c r="K258" t="s">
        <v>41</v>
      </c>
    </row>
    <row r="259" spans="1:11" x14ac:dyDescent="0.25">
      <c r="A259" s="374">
        <v>46227</v>
      </c>
      <c r="C259" s="294"/>
      <c r="D259" s="294"/>
      <c r="I259">
        <v>0</v>
      </c>
      <c r="J259">
        <v>0</v>
      </c>
      <c r="K259" t="s">
        <v>41</v>
      </c>
    </row>
    <row r="260" spans="1:11" x14ac:dyDescent="0.25">
      <c r="A260" s="374">
        <v>46227</v>
      </c>
      <c r="C260" s="294"/>
      <c r="D260" s="294"/>
      <c r="I260">
        <v>0</v>
      </c>
      <c r="J260">
        <v>0</v>
      </c>
      <c r="K260" t="s">
        <v>41</v>
      </c>
    </row>
    <row r="261" spans="1:11" x14ac:dyDescent="0.25">
      <c r="A261" s="374">
        <v>46227</v>
      </c>
      <c r="C261" s="294"/>
      <c r="D261" s="294"/>
      <c r="I261">
        <v>0</v>
      </c>
      <c r="J261">
        <v>0</v>
      </c>
      <c r="K261" t="s">
        <v>41</v>
      </c>
    </row>
    <row r="262" spans="1:11" x14ac:dyDescent="0.25">
      <c r="A262" s="374">
        <v>46227</v>
      </c>
      <c r="C262" s="294"/>
      <c r="D262" s="294"/>
      <c r="I262">
        <v>0</v>
      </c>
      <c r="J262">
        <v>0</v>
      </c>
      <c r="K262" t="s">
        <v>41</v>
      </c>
    </row>
    <row r="263" spans="1:11" x14ac:dyDescent="0.25">
      <c r="A263" s="374">
        <v>46227</v>
      </c>
      <c r="C263" s="294"/>
      <c r="D263" s="294"/>
      <c r="I263">
        <v>0</v>
      </c>
      <c r="J263">
        <v>0</v>
      </c>
      <c r="K263" t="s">
        <v>41</v>
      </c>
    </row>
    <row r="264" spans="1:11" x14ac:dyDescent="0.25">
      <c r="A264" s="374">
        <v>46227</v>
      </c>
      <c r="C264" s="294"/>
      <c r="D264" s="294"/>
      <c r="I264">
        <v>0</v>
      </c>
      <c r="J264">
        <v>0</v>
      </c>
      <c r="K264" t="s">
        <v>41</v>
      </c>
    </row>
    <row r="265" spans="1:11" x14ac:dyDescent="0.25">
      <c r="A265" s="374">
        <v>46230</v>
      </c>
      <c r="B265" t="s">
        <v>9</v>
      </c>
      <c r="C265" s="294">
        <v>46260</v>
      </c>
      <c r="D265" s="294">
        <v>46295</v>
      </c>
      <c r="E265">
        <v>1.67585211164451</v>
      </c>
      <c r="F265">
        <v>3.6852111644509966</v>
      </c>
      <c r="G265">
        <v>3.6852111644509966</v>
      </c>
      <c r="H265">
        <v>0.14740844657803986</v>
      </c>
      <c r="I265">
        <v>1.3999759749916407E-3</v>
      </c>
      <c r="J265">
        <v>0.18311297333299947</v>
      </c>
      <c r="K265">
        <v>2.8852111644509959</v>
      </c>
    </row>
    <row r="266" spans="1:11" x14ac:dyDescent="0.25">
      <c r="A266" s="374">
        <v>46230</v>
      </c>
      <c r="B266" t="s">
        <v>10</v>
      </c>
      <c r="C266" s="294">
        <v>46295</v>
      </c>
      <c r="D266" s="294">
        <v>46337</v>
      </c>
      <c r="E266">
        <v>1.7580033988606401</v>
      </c>
      <c r="F266">
        <v>8.2151287216130076</v>
      </c>
      <c r="G266">
        <v>11.900339886064003</v>
      </c>
      <c r="H266">
        <v>0.47601359544256011</v>
      </c>
      <c r="I266">
        <v>-1.5000337435789879</v>
      </c>
      <c r="J266">
        <v>-0.30004037134798711</v>
      </c>
      <c r="K266">
        <v>6.9003398860639997</v>
      </c>
    </row>
    <row r="267" spans="1:11" x14ac:dyDescent="0.25">
      <c r="A267" s="374">
        <v>46230</v>
      </c>
      <c r="B267" t="s">
        <v>12</v>
      </c>
      <c r="C267" s="294">
        <v>46337</v>
      </c>
      <c r="D267" s="294">
        <v>46379</v>
      </c>
      <c r="E267">
        <v>1.8369931061714599</v>
      </c>
      <c r="F267">
        <v>7.898970731081989</v>
      </c>
      <c r="G267">
        <v>19.799310617145991</v>
      </c>
      <c r="H267">
        <v>0.79197242468583962</v>
      </c>
      <c r="I267">
        <v>-3.8999360290129959</v>
      </c>
      <c r="J267">
        <v>-9.9909946792009485E-2</v>
      </c>
      <c r="K267">
        <v>11.799310617145986</v>
      </c>
    </row>
    <row r="268" spans="1:11" x14ac:dyDescent="0.25">
      <c r="A268" s="374">
        <v>46230</v>
      </c>
      <c r="B268" t="s">
        <v>13</v>
      </c>
      <c r="C268" s="294">
        <v>46379</v>
      </c>
      <c r="D268" s="294">
        <v>46421</v>
      </c>
      <c r="E268">
        <v>2.0117712770477301</v>
      </c>
      <c r="F268">
        <v>17.477817087627013</v>
      </c>
      <c r="G268">
        <v>37.277127704773008</v>
      </c>
      <c r="H268">
        <v>1.4910851081909202</v>
      </c>
      <c r="I268">
        <v>-4.2939262807309753</v>
      </c>
      <c r="J268">
        <v>3.9774531133640156</v>
      </c>
      <c r="K268" t="s">
        <v>41</v>
      </c>
    </row>
    <row r="269" spans="1:11" x14ac:dyDescent="0.25">
      <c r="A269" s="374">
        <v>46230</v>
      </c>
      <c r="B269" t="s">
        <v>14</v>
      </c>
      <c r="C269" s="294">
        <v>46421</v>
      </c>
      <c r="D269" s="294">
        <v>46470</v>
      </c>
      <c r="E269">
        <v>2.1303082507715199</v>
      </c>
      <c r="F269">
        <v>11.85369737237898</v>
      </c>
      <c r="G269">
        <v>49.130825077151982</v>
      </c>
      <c r="H269">
        <v>1.9652330030860794</v>
      </c>
      <c r="I269">
        <v>-4.85073281543702</v>
      </c>
      <c r="J269">
        <v>6.7028314614449691</v>
      </c>
      <c r="K269" t="s">
        <v>41</v>
      </c>
    </row>
    <row r="270" spans="1:11" x14ac:dyDescent="0.25">
      <c r="A270" s="374">
        <v>46230</v>
      </c>
      <c r="C270" s="294"/>
      <c r="D270" s="294"/>
      <c r="I270">
        <v>0</v>
      </c>
      <c r="J270">
        <v>0</v>
      </c>
      <c r="K270" t="s">
        <v>41</v>
      </c>
    </row>
    <row r="271" spans="1:11" x14ac:dyDescent="0.25">
      <c r="A271" s="374">
        <v>46230</v>
      </c>
      <c r="C271" s="294"/>
      <c r="D271" s="294"/>
      <c r="I271">
        <v>0</v>
      </c>
      <c r="J271">
        <v>0</v>
      </c>
      <c r="K271" t="s">
        <v>41</v>
      </c>
    </row>
    <row r="272" spans="1:11" x14ac:dyDescent="0.25">
      <c r="A272" s="374">
        <v>46230</v>
      </c>
      <c r="C272" s="294"/>
      <c r="D272" s="294"/>
      <c r="I272">
        <v>0</v>
      </c>
      <c r="J272">
        <v>0</v>
      </c>
      <c r="K272" t="s">
        <v>41</v>
      </c>
    </row>
    <row r="273" spans="1:11" x14ac:dyDescent="0.25">
      <c r="A273" s="374">
        <v>46230</v>
      </c>
      <c r="C273" s="294"/>
      <c r="D273" s="294"/>
      <c r="I273">
        <v>0</v>
      </c>
      <c r="J273">
        <v>0</v>
      </c>
      <c r="K273" t="s">
        <v>41</v>
      </c>
    </row>
    <row r="274" spans="1:11" x14ac:dyDescent="0.25">
      <c r="A274" s="374">
        <v>46230</v>
      </c>
      <c r="C274" s="294"/>
      <c r="D274" s="294"/>
      <c r="I274">
        <v>0</v>
      </c>
      <c r="J274">
        <v>0</v>
      </c>
      <c r="K274" t="s">
        <v>41</v>
      </c>
    </row>
    <row r="275" spans="1:11" x14ac:dyDescent="0.25">
      <c r="A275" s="374">
        <v>46230</v>
      </c>
      <c r="C275" s="294"/>
      <c r="D275" s="294"/>
      <c r="I275">
        <v>0</v>
      </c>
      <c r="J275">
        <v>0</v>
      </c>
      <c r="K275" t="s">
        <v>41</v>
      </c>
    </row>
    <row r="276" spans="1:11" x14ac:dyDescent="0.25">
      <c r="A276" s="374">
        <v>46230</v>
      </c>
      <c r="C276" s="294"/>
      <c r="D276" s="294"/>
      <c r="I276">
        <v>0</v>
      </c>
      <c r="J276">
        <v>0</v>
      </c>
      <c r="K276" t="s">
        <v>41</v>
      </c>
    </row>
    <row r="277" spans="1:11" x14ac:dyDescent="0.25">
      <c r="A277" s="374">
        <v>46231</v>
      </c>
      <c r="B277" t="s">
        <v>9</v>
      </c>
      <c r="C277" s="294">
        <v>46260</v>
      </c>
      <c r="D277" s="294">
        <v>46295</v>
      </c>
      <c r="E277">
        <v>1.6540641512943199</v>
      </c>
      <c r="F277">
        <v>0.90641512943199221</v>
      </c>
      <c r="G277">
        <v>0.90641512943199221</v>
      </c>
      <c r="H277">
        <v>3.6256605177279688E-2</v>
      </c>
      <c r="I277">
        <v>-2.1787960350190039</v>
      </c>
      <c r="J277">
        <v>-2.3944072461669963</v>
      </c>
      <c r="K277">
        <v>0.50641512943199185</v>
      </c>
    </row>
    <row r="278" spans="1:11" x14ac:dyDescent="0.25">
      <c r="A278" s="374">
        <v>46231</v>
      </c>
      <c r="B278" t="s">
        <v>10</v>
      </c>
      <c r="C278" s="294">
        <v>46295</v>
      </c>
      <c r="D278" s="294">
        <v>46337</v>
      </c>
      <c r="E278">
        <v>1.7580033811209199</v>
      </c>
      <c r="F278">
        <v>10.393922982659998</v>
      </c>
      <c r="G278">
        <v>11.300338112091989</v>
      </c>
      <c r="H278">
        <v>0.45201352448367954</v>
      </c>
      <c r="I278">
        <v>-1.7739720137299742E-6</v>
      </c>
      <c r="J278">
        <v>-1.600035634405006</v>
      </c>
      <c r="K278">
        <v>6.900338112091986</v>
      </c>
    </row>
    <row r="279" spans="1:11" x14ac:dyDescent="0.25">
      <c r="A279" s="374">
        <v>46231</v>
      </c>
      <c r="B279" t="s">
        <v>12</v>
      </c>
      <c r="C279" s="294">
        <v>46337</v>
      </c>
      <c r="D279" s="294">
        <v>46379</v>
      </c>
      <c r="E279">
        <v>1.8419929785511999</v>
      </c>
      <c r="F279">
        <v>8.3989597430280014</v>
      </c>
      <c r="G279">
        <v>19.69929785511999</v>
      </c>
      <c r="H279">
        <v>0.78797191420479962</v>
      </c>
      <c r="I279">
        <v>0.4999872379739978</v>
      </c>
      <c r="J279">
        <v>-1.6999351603140145</v>
      </c>
      <c r="K279">
        <v>12.799297855119995</v>
      </c>
    </row>
    <row r="280" spans="1:11" x14ac:dyDescent="0.25">
      <c r="A280" s="374">
        <v>46231</v>
      </c>
      <c r="B280" t="s">
        <v>13</v>
      </c>
      <c r="C280" s="294">
        <v>46379</v>
      </c>
      <c r="D280" s="294">
        <v>46421</v>
      </c>
      <c r="E280">
        <v>2.3646620244851602</v>
      </c>
      <c r="F280">
        <v>52.266904593396021</v>
      </c>
      <c r="G280">
        <v>71.966202448516015</v>
      </c>
      <c r="H280">
        <v>2.8786480979406406</v>
      </c>
      <c r="I280">
        <v>35.289074743743008</v>
      </c>
      <c r="J280">
        <v>41.562144225685024</v>
      </c>
      <c r="K280" t="s">
        <v>41</v>
      </c>
    </row>
    <row r="281" spans="1:11" x14ac:dyDescent="0.25">
      <c r="A281" s="374">
        <v>46231</v>
      </c>
      <c r="B281" t="s">
        <v>14</v>
      </c>
      <c r="C281" s="294">
        <v>46421</v>
      </c>
      <c r="D281" s="294">
        <v>46470</v>
      </c>
      <c r="E281">
        <v>2.3669161334386399</v>
      </c>
      <c r="F281">
        <v>0.2254108953479772</v>
      </c>
      <c r="G281">
        <v>72.191613343863992</v>
      </c>
      <c r="H281">
        <v>2.8876645337545597</v>
      </c>
      <c r="I281">
        <v>23.660788266712007</v>
      </c>
      <c r="J281">
        <v>34.511717574152989</v>
      </c>
      <c r="K281" t="s">
        <v>41</v>
      </c>
    </row>
    <row r="282" spans="1:11" x14ac:dyDescent="0.25">
      <c r="A282" s="374">
        <v>46231</v>
      </c>
      <c r="C282" s="294"/>
      <c r="D282" s="294"/>
      <c r="I282">
        <v>0</v>
      </c>
      <c r="J282">
        <v>0</v>
      </c>
      <c r="K282" t="s">
        <v>41</v>
      </c>
    </row>
    <row r="283" spans="1:11" x14ac:dyDescent="0.25">
      <c r="A283" s="374">
        <v>46231</v>
      </c>
      <c r="C283" s="294"/>
      <c r="D283" s="294"/>
      <c r="I283">
        <v>0</v>
      </c>
      <c r="J283">
        <v>0</v>
      </c>
      <c r="K283" t="s">
        <v>41</v>
      </c>
    </row>
    <row r="284" spans="1:11" x14ac:dyDescent="0.25">
      <c r="A284" s="374">
        <v>46231</v>
      </c>
      <c r="C284" s="294"/>
      <c r="D284" s="294"/>
      <c r="I284">
        <v>0</v>
      </c>
      <c r="J284">
        <v>0</v>
      </c>
      <c r="K284" t="s">
        <v>41</v>
      </c>
    </row>
    <row r="285" spans="1:11" x14ac:dyDescent="0.25">
      <c r="A285" s="374">
        <v>46231</v>
      </c>
      <c r="C285" s="294"/>
      <c r="D285" s="294"/>
      <c r="I285">
        <v>0</v>
      </c>
      <c r="J285">
        <v>0</v>
      </c>
      <c r="K285" t="s">
        <v>41</v>
      </c>
    </row>
    <row r="286" spans="1:11" x14ac:dyDescent="0.25">
      <c r="A286" s="374">
        <v>46231</v>
      </c>
      <c r="C286" s="294"/>
      <c r="D286" s="294"/>
      <c r="I286">
        <v>0</v>
      </c>
      <c r="J286">
        <v>0</v>
      </c>
      <c r="K286" t="s">
        <v>41</v>
      </c>
    </row>
    <row r="287" spans="1:11" x14ac:dyDescent="0.25">
      <c r="A287" s="374">
        <v>46231</v>
      </c>
      <c r="C287" s="294"/>
      <c r="D287" s="294"/>
      <c r="I287">
        <v>0</v>
      </c>
      <c r="J287">
        <v>0</v>
      </c>
      <c r="K287" t="s">
        <v>41</v>
      </c>
    </row>
    <row r="288" spans="1:11" x14ac:dyDescent="0.25">
      <c r="A288" s="374">
        <v>46231</v>
      </c>
      <c r="C288" s="294"/>
      <c r="D288" s="294"/>
      <c r="I288">
        <v>0</v>
      </c>
      <c r="J288">
        <v>0</v>
      </c>
      <c r="K288" t="s">
        <v>41</v>
      </c>
    </row>
    <row r="289" spans="1:11" x14ac:dyDescent="0.25">
      <c r="A289" s="374">
        <v>46232</v>
      </c>
      <c r="B289" t="s">
        <v>9</v>
      </c>
      <c r="C289" s="294">
        <v>46260</v>
      </c>
      <c r="D289" s="294">
        <v>46295</v>
      </c>
      <c r="E289">
        <v>1.6618044216590799</v>
      </c>
      <c r="F289">
        <v>1.080442165907991</v>
      </c>
      <c r="G289">
        <v>1.080442165907991</v>
      </c>
      <c r="H289">
        <v>4.3217686636319641E-2</v>
      </c>
      <c r="I289">
        <v>0.77402703647599935</v>
      </c>
      <c r="J289">
        <v>-1.4104160628220175</v>
      </c>
      <c r="K289">
        <v>1.186463063132992</v>
      </c>
    </row>
    <row r="290" spans="1:11" x14ac:dyDescent="0.25">
      <c r="A290" s="374">
        <v>46232</v>
      </c>
      <c r="B290" t="s">
        <v>10</v>
      </c>
      <c r="C290" s="294">
        <v>46295</v>
      </c>
      <c r="D290" s="294">
        <v>46337</v>
      </c>
      <c r="E290">
        <v>1.7760034733102701</v>
      </c>
      <c r="F290">
        <v>11.419905165119015</v>
      </c>
      <c r="G290">
        <v>12.500347331027006</v>
      </c>
      <c r="H290">
        <v>0.50001389324108025</v>
      </c>
      <c r="I290">
        <v>1.800009218935017</v>
      </c>
      <c r="J290">
        <v>-3.3312628988646509E-5</v>
      </c>
      <c r="K290">
        <v>8.7137554526800045</v>
      </c>
    </row>
    <row r="291" spans="1:11" x14ac:dyDescent="0.25">
      <c r="A291" s="374">
        <v>46232</v>
      </c>
      <c r="B291" t="s">
        <v>12</v>
      </c>
      <c r="C291" s="294">
        <v>46337</v>
      </c>
      <c r="D291" s="294">
        <v>46379</v>
      </c>
      <c r="E291">
        <v>1.87699284205766</v>
      </c>
      <c r="F291">
        <v>10.098936874738996</v>
      </c>
      <c r="G291">
        <v>22.599284205766001</v>
      </c>
      <c r="H291">
        <v>0.90397136823064006</v>
      </c>
      <c r="I291">
        <v>3.4999863506460116</v>
      </c>
      <c r="J291">
        <v>0.30005884196300237</v>
      </c>
      <c r="K291">
        <v>16.115788887591997</v>
      </c>
    </row>
    <row r="292" spans="1:11" x14ac:dyDescent="0.25">
      <c r="A292" s="374">
        <v>46232</v>
      </c>
      <c r="B292" t="s">
        <v>13</v>
      </c>
      <c r="C292" s="294">
        <v>46379</v>
      </c>
      <c r="D292" s="294">
        <v>46421</v>
      </c>
      <c r="E292">
        <v>1.9122303868235599</v>
      </c>
      <c r="F292">
        <v>3.5237544765899909</v>
      </c>
      <c r="G292">
        <v>26.123038682355993</v>
      </c>
      <c r="H292">
        <v>1.0449215472942397</v>
      </c>
      <c r="I292">
        <v>-45.243163766160023</v>
      </c>
      <c r="J292">
        <v>-4.1500122742859968</v>
      </c>
      <c r="K292">
        <v>15.198447532486004</v>
      </c>
    </row>
    <row r="293" spans="1:11" x14ac:dyDescent="0.25">
      <c r="A293" s="374">
        <v>46232</v>
      </c>
      <c r="B293" t="s">
        <v>14</v>
      </c>
      <c r="C293" s="294">
        <v>46421</v>
      </c>
      <c r="D293" s="294">
        <v>46470</v>
      </c>
      <c r="E293">
        <v>1.95418798622977</v>
      </c>
      <c r="F293">
        <v>4.1957599406210022</v>
      </c>
      <c r="G293">
        <v>30.318798622976995</v>
      </c>
      <c r="H293">
        <v>1.2127519449190798</v>
      </c>
      <c r="I293">
        <v>-41.272814720886998</v>
      </c>
      <c r="J293">
        <v>-6.3590895251750101</v>
      </c>
      <c r="K293">
        <v>15.383804900815989</v>
      </c>
    </row>
    <row r="294" spans="1:11" x14ac:dyDescent="0.25">
      <c r="A294" s="374">
        <v>46232</v>
      </c>
      <c r="C294" s="294"/>
      <c r="D294" s="294"/>
      <c r="I294">
        <v>0</v>
      </c>
      <c r="J294">
        <v>0</v>
      </c>
      <c r="K294">
        <v>0</v>
      </c>
    </row>
    <row r="295" spans="1:11" x14ac:dyDescent="0.25">
      <c r="A295" s="374">
        <v>46232</v>
      </c>
      <c r="C295" s="294"/>
      <c r="D295" s="294"/>
      <c r="I295">
        <v>0</v>
      </c>
      <c r="J295">
        <v>0</v>
      </c>
      <c r="K295">
        <v>0</v>
      </c>
    </row>
    <row r="296" spans="1:11" x14ac:dyDescent="0.25">
      <c r="A296" s="374">
        <v>46232</v>
      </c>
      <c r="C296" s="294"/>
      <c r="D296" s="294"/>
      <c r="I296">
        <v>0</v>
      </c>
      <c r="J296">
        <v>0</v>
      </c>
      <c r="K296">
        <v>0</v>
      </c>
    </row>
    <row r="297" spans="1:11" x14ac:dyDescent="0.25">
      <c r="A297" s="374">
        <v>46232</v>
      </c>
      <c r="C297" s="294"/>
      <c r="D297" s="294"/>
      <c r="I297">
        <v>0</v>
      </c>
      <c r="J297">
        <v>0</v>
      </c>
      <c r="K297">
        <v>0</v>
      </c>
    </row>
    <row r="298" spans="1:11" x14ac:dyDescent="0.25">
      <c r="A298" s="374">
        <v>46232</v>
      </c>
      <c r="C298" s="294"/>
      <c r="D298" s="294"/>
      <c r="I298">
        <v>0</v>
      </c>
      <c r="J298">
        <v>0</v>
      </c>
      <c r="K298">
        <v>0</v>
      </c>
    </row>
    <row r="299" spans="1:11" x14ac:dyDescent="0.25">
      <c r="A299" s="374">
        <v>46232</v>
      </c>
      <c r="C299" s="294"/>
      <c r="D299" s="294"/>
      <c r="I299">
        <v>0</v>
      </c>
      <c r="J299">
        <v>0</v>
      </c>
      <c r="K299">
        <v>0</v>
      </c>
    </row>
    <row r="300" spans="1:11" x14ac:dyDescent="0.25">
      <c r="A300" s="374">
        <v>46232</v>
      </c>
      <c r="C300" s="294"/>
      <c r="D300" s="294"/>
      <c r="I300">
        <v>0</v>
      </c>
      <c r="J300">
        <v>0</v>
      </c>
      <c r="K300">
        <v>0</v>
      </c>
    </row>
    <row r="301" spans="1:11" x14ac:dyDescent="0.25">
      <c r="A301" s="374">
        <v>46233</v>
      </c>
      <c r="B301" t="s">
        <v>9</v>
      </c>
      <c r="C301" s="294">
        <v>46260</v>
      </c>
      <c r="D301" s="294">
        <v>46295</v>
      </c>
      <c r="E301">
        <v>1.6668246301523399</v>
      </c>
      <c r="F301">
        <v>2.182463015233993</v>
      </c>
      <c r="G301">
        <v>2.182463015233993</v>
      </c>
      <c r="H301">
        <v>8.729852060935972E-2</v>
      </c>
      <c r="I301">
        <v>0.50202084932600144</v>
      </c>
      <c r="J301">
        <v>-0.90423598588200704</v>
      </c>
      <c r="K301">
        <v>1.5971275363950044</v>
      </c>
    </row>
    <row r="302" spans="1:11" x14ac:dyDescent="0.25">
      <c r="A302" s="374">
        <v>46233</v>
      </c>
      <c r="B302" t="s">
        <v>10</v>
      </c>
      <c r="C302" s="294">
        <v>46295</v>
      </c>
      <c r="D302" s="294">
        <v>46337</v>
      </c>
      <c r="E302">
        <v>1.7719868525784399</v>
      </c>
      <c r="F302">
        <v>10.516222242609995</v>
      </c>
      <c r="G302">
        <v>12.698685257843989</v>
      </c>
      <c r="H302">
        <v>0.50794741031375956</v>
      </c>
      <c r="I302">
        <v>-0.40166207318301783</v>
      </c>
      <c r="J302">
        <v>-0.10169871491600979</v>
      </c>
      <c r="K302">
        <v>8.2454249315149895</v>
      </c>
    </row>
    <row r="303" spans="1:11" x14ac:dyDescent="0.25">
      <c r="A303" s="374">
        <v>46233</v>
      </c>
      <c r="B303" t="s">
        <v>12</v>
      </c>
      <c r="C303" s="294">
        <v>46337</v>
      </c>
      <c r="D303" s="294">
        <v>46379</v>
      </c>
      <c r="E303">
        <v>1.8689929915491501</v>
      </c>
      <c r="F303">
        <v>9.700613897071019</v>
      </c>
      <c r="G303">
        <v>22.39929915491501</v>
      </c>
      <c r="H303">
        <v>0.89597196619660036</v>
      </c>
      <c r="I303">
        <v>-0.79998505085099314</v>
      </c>
      <c r="J303">
        <v>-1.2999320058289854</v>
      </c>
      <c r="K303">
        <v>15.451727586578002</v>
      </c>
    </row>
    <row r="304" spans="1:11" x14ac:dyDescent="0.25">
      <c r="A304" s="374">
        <v>46233</v>
      </c>
      <c r="B304" t="s">
        <v>13</v>
      </c>
      <c r="C304" s="294">
        <v>46379</v>
      </c>
      <c r="D304" s="294">
        <v>46421</v>
      </c>
      <c r="E304">
        <v>2.1563890119509201</v>
      </c>
      <c r="F304">
        <v>28.739602040177004</v>
      </c>
      <c r="G304">
        <v>51.138901195092011</v>
      </c>
      <c r="H304">
        <v>2.0455560478036805</v>
      </c>
      <c r="I304">
        <v>24.41586251273602</v>
      </c>
      <c r="J304">
        <v>5.4674068685000243</v>
      </c>
      <c r="K304">
        <v>40.310566370578016</v>
      </c>
    </row>
    <row r="305" spans="1:11" x14ac:dyDescent="0.25">
      <c r="A305" s="374">
        <v>46233</v>
      </c>
      <c r="B305" t="s">
        <v>14</v>
      </c>
      <c r="C305" s="294">
        <v>46421</v>
      </c>
      <c r="D305" s="294">
        <v>46470</v>
      </c>
      <c r="E305">
        <v>2.3145409329500199</v>
      </c>
      <c r="F305">
        <v>15.81519209990998</v>
      </c>
      <c r="G305">
        <v>66.954093295001996</v>
      </c>
      <c r="H305">
        <v>2.6781637318000797</v>
      </c>
      <c r="I305">
        <v>36.035294672024996</v>
      </c>
      <c r="J305">
        <v>10.371029242626983</v>
      </c>
      <c r="K305">
        <v>52.609050804089996</v>
      </c>
    </row>
    <row r="306" spans="1:11" x14ac:dyDescent="0.25">
      <c r="A306" s="374">
        <v>46233</v>
      </c>
      <c r="C306" s="294"/>
      <c r="D306" s="294"/>
      <c r="I306">
        <v>0</v>
      </c>
      <c r="J306">
        <v>0</v>
      </c>
      <c r="K306">
        <v>0</v>
      </c>
    </row>
    <row r="307" spans="1:11" x14ac:dyDescent="0.25">
      <c r="A307" s="374">
        <v>46233</v>
      </c>
      <c r="C307" s="294"/>
      <c r="D307" s="294"/>
      <c r="I307">
        <v>0</v>
      </c>
      <c r="J307">
        <v>0</v>
      </c>
      <c r="K307">
        <v>0</v>
      </c>
    </row>
    <row r="308" spans="1:11" x14ac:dyDescent="0.25">
      <c r="A308" s="374">
        <v>46233</v>
      </c>
      <c r="C308" s="294"/>
      <c r="D308" s="294"/>
      <c r="I308">
        <v>0</v>
      </c>
      <c r="J308">
        <v>0</v>
      </c>
      <c r="K308">
        <v>0</v>
      </c>
    </row>
    <row r="309" spans="1:11" x14ac:dyDescent="0.25">
      <c r="A309" s="374">
        <v>46233</v>
      </c>
      <c r="C309" s="294"/>
      <c r="D309" s="294"/>
      <c r="I309">
        <v>0</v>
      </c>
      <c r="J309">
        <v>0</v>
      </c>
      <c r="K309">
        <v>0</v>
      </c>
    </row>
    <row r="310" spans="1:11" x14ac:dyDescent="0.25">
      <c r="A310" s="374">
        <v>46233</v>
      </c>
      <c r="C310" s="294"/>
      <c r="D310" s="294"/>
      <c r="I310">
        <v>0</v>
      </c>
      <c r="J310">
        <v>0</v>
      </c>
      <c r="K310">
        <v>0</v>
      </c>
    </row>
    <row r="311" spans="1:11" x14ac:dyDescent="0.25">
      <c r="A311" s="374">
        <v>46233</v>
      </c>
      <c r="C311" s="294"/>
      <c r="D311" s="294"/>
      <c r="I311">
        <v>0</v>
      </c>
      <c r="J311">
        <v>0</v>
      </c>
      <c r="K311">
        <v>0</v>
      </c>
    </row>
    <row r="312" spans="1:11" x14ac:dyDescent="0.25">
      <c r="A312" s="374">
        <v>46233</v>
      </c>
      <c r="C312" s="294"/>
      <c r="D312" s="294"/>
      <c r="I312">
        <v>0</v>
      </c>
      <c r="J312">
        <v>0</v>
      </c>
      <c r="K312">
        <v>0</v>
      </c>
    </row>
    <row r="313" spans="1:11" x14ac:dyDescent="0.25">
      <c r="A313" s="374">
        <v>46234</v>
      </c>
      <c r="B313" t="s">
        <v>9</v>
      </c>
      <c r="C313" s="294">
        <v>46260</v>
      </c>
      <c r="D313" s="294">
        <v>46295</v>
      </c>
      <c r="E313">
        <v>1.66694811376995</v>
      </c>
      <c r="F313">
        <v>2.8948113769950101</v>
      </c>
      <c r="G313">
        <v>2.8948113769950101</v>
      </c>
      <c r="H313">
        <v>0.1157924550798004</v>
      </c>
      <c r="I313">
        <v>1.23483617610054E-2</v>
      </c>
      <c r="J313">
        <v>-0.88899981148100604</v>
      </c>
      <c r="K313">
        <v>1.6094758981560098</v>
      </c>
    </row>
    <row r="314" spans="1:11" x14ac:dyDescent="0.25">
      <c r="A314" s="374">
        <v>46234</v>
      </c>
      <c r="B314" t="s">
        <v>10</v>
      </c>
      <c r="C314" s="294">
        <v>46295</v>
      </c>
      <c r="D314" s="294">
        <v>46337</v>
      </c>
      <c r="E314">
        <v>1.7759981683975701</v>
      </c>
      <c r="F314">
        <v>10.905005462762007</v>
      </c>
      <c r="G314">
        <v>13.799816839757018</v>
      </c>
      <c r="H314">
        <v>0.5519926735902807</v>
      </c>
      <c r="I314">
        <v>0.40113158191301679</v>
      </c>
      <c r="J314">
        <v>0.29944321011401431</v>
      </c>
      <c r="K314">
        <v>8.6465565134280062</v>
      </c>
    </row>
    <row r="315" spans="1:11" x14ac:dyDescent="0.25">
      <c r="A315" s="374">
        <v>46234</v>
      </c>
      <c r="B315" t="s">
        <v>12</v>
      </c>
      <c r="C315" s="294">
        <v>46337</v>
      </c>
      <c r="D315" s="294">
        <v>46379</v>
      </c>
      <c r="E315">
        <v>1.87999324106995</v>
      </c>
      <c r="F315">
        <v>10.399507267237995</v>
      </c>
      <c r="G315">
        <v>24.199324106995014</v>
      </c>
      <c r="H315">
        <v>0.96797296427980062</v>
      </c>
      <c r="I315">
        <v>1.1000249520799921</v>
      </c>
      <c r="J315">
        <v>0.40007746083601248</v>
      </c>
      <c r="K315">
        <v>16.551752538657993</v>
      </c>
    </row>
    <row r="316" spans="1:11" x14ac:dyDescent="0.25">
      <c r="A316" s="374">
        <v>46234</v>
      </c>
      <c r="B316" t="s">
        <v>13</v>
      </c>
      <c r="C316" s="294">
        <v>46379</v>
      </c>
      <c r="D316" s="294">
        <v>46421</v>
      </c>
      <c r="E316">
        <v>2.04063629744924</v>
      </c>
      <c r="F316">
        <v>16.064305637928999</v>
      </c>
      <c r="G316">
        <v>40.26362974492401</v>
      </c>
      <c r="H316">
        <v>1.6105451897969605</v>
      </c>
      <c r="I316">
        <v>-11.575271450168012</v>
      </c>
      <c r="J316">
        <v>-1.4074242405799797</v>
      </c>
      <c r="K316">
        <v>28.735294920410006</v>
      </c>
    </row>
    <row r="317" spans="1:11" x14ac:dyDescent="0.25">
      <c r="A317" s="374">
        <v>46234</v>
      </c>
      <c r="B317" t="s">
        <v>14</v>
      </c>
      <c r="C317" s="294">
        <v>46421</v>
      </c>
      <c r="D317" s="294">
        <v>46470</v>
      </c>
      <c r="E317">
        <v>2.14765668123612</v>
      </c>
      <c r="F317">
        <v>10.702038378687995</v>
      </c>
      <c r="G317">
        <v>50.965668123612005</v>
      </c>
      <c r="H317">
        <v>2.0386267249444803</v>
      </c>
      <c r="I317">
        <v>-16.688425171389998</v>
      </c>
      <c r="J317">
        <v>-3.1158897689770093</v>
      </c>
      <c r="K317">
        <v>35.920625632699995</v>
      </c>
    </row>
    <row r="318" spans="1:11" x14ac:dyDescent="0.25">
      <c r="A318" s="374">
        <v>46234</v>
      </c>
      <c r="C318" s="294"/>
      <c r="D318" s="294"/>
      <c r="I318">
        <v>0</v>
      </c>
      <c r="J318">
        <v>0</v>
      </c>
      <c r="K318">
        <v>0</v>
      </c>
    </row>
    <row r="319" spans="1:11" x14ac:dyDescent="0.25">
      <c r="A319" s="374">
        <v>46234</v>
      </c>
      <c r="C319" s="294"/>
      <c r="D319" s="294"/>
      <c r="I319">
        <v>0</v>
      </c>
      <c r="J319">
        <v>0</v>
      </c>
      <c r="K319">
        <v>0</v>
      </c>
    </row>
    <row r="320" spans="1:11" x14ac:dyDescent="0.25">
      <c r="A320" s="374">
        <v>46234</v>
      </c>
      <c r="C320" s="294"/>
      <c r="D320" s="294"/>
      <c r="I320">
        <v>0</v>
      </c>
      <c r="J320">
        <v>0</v>
      </c>
      <c r="K320">
        <v>0</v>
      </c>
    </row>
    <row r="321" spans="1:11" x14ac:dyDescent="0.25">
      <c r="A321" s="374">
        <v>46234</v>
      </c>
      <c r="C321" s="294"/>
      <c r="D321" s="294"/>
      <c r="I321">
        <v>0</v>
      </c>
      <c r="J321">
        <v>0</v>
      </c>
      <c r="K321">
        <v>0</v>
      </c>
    </row>
    <row r="322" spans="1:11" x14ac:dyDescent="0.25">
      <c r="A322" s="374">
        <v>46234</v>
      </c>
      <c r="C322" s="294"/>
      <c r="D322" s="294"/>
      <c r="I322">
        <v>0</v>
      </c>
      <c r="J322">
        <v>0</v>
      </c>
      <c r="K322">
        <v>0</v>
      </c>
    </row>
    <row r="323" spans="1:11" x14ac:dyDescent="0.25">
      <c r="A323" s="374">
        <v>46234</v>
      </c>
      <c r="C323" s="294"/>
      <c r="D323" s="294"/>
      <c r="I323">
        <v>0</v>
      </c>
      <c r="J323">
        <v>0</v>
      </c>
      <c r="K323">
        <v>0</v>
      </c>
    </row>
    <row r="324" spans="1:11" x14ac:dyDescent="0.25">
      <c r="A324" s="374">
        <v>46234</v>
      </c>
      <c r="C324" s="294"/>
      <c r="D324" s="294"/>
      <c r="I324">
        <v>0</v>
      </c>
      <c r="J324">
        <v>0</v>
      </c>
      <c r="K324">
        <v>0</v>
      </c>
    </row>
    <row r="325" spans="1:11" x14ac:dyDescent="0.25">
      <c r="A325" s="374">
        <v>46237</v>
      </c>
      <c r="B325" t="s">
        <v>9</v>
      </c>
      <c r="C325" s="294">
        <v>46260</v>
      </c>
      <c r="D325" s="294">
        <v>46295</v>
      </c>
      <c r="E325">
        <v>1.67395025233538</v>
      </c>
      <c r="F325">
        <v>1.8950252335379947</v>
      </c>
      <c r="G325">
        <v>1.8950252335379947</v>
      </c>
      <c r="H325">
        <v>7.5801009341519787E-2</v>
      </c>
      <c r="I325">
        <v>0.70021385654299717</v>
      </c>
      <c r="J325">
        <v>-0.19018593091300051</v>
      </c>
      <c r="K325">
        <v>2.3105133835209957</v>
      </c>
    </row>
    <row r="326" spans="1:11" x14ac:dyDescent="0.25">
      <c r="A326" s="374">
        <v>46237</v>
      </c>
      <c r="B326" t="s">
        <v>10</v>
      </c>
      <c r="C326" s="294">
        <v>46295</v>
      </c>
      <c r="D326" s="294">
        <v>46337</v>
      </c>
      <c r="E326">
        <v>1.76600131939487</v>
      </c>
      <c r="F326">
        <v>9.2051067059490066</v>
      </c>
      <c r="G326">
        <v>11.100131939487001</v>
      </c>
      <c r="H326">
        <v>0.44400527757948005</v>
      </c>
      <c r="I326">
        <v>-0.99968490027000367</v>
      </c>
      <c r="J326">
        <v>0.79979205342299853</v>
      </c>
      <c r="K326">
        <v>7.7968705078919953</v>
      </c>
    </row>
    <row r="327" spans="1:11" x14ac:dyDescent="0.25">
      <c r="A327" s="374">
        <v>46237</v>
      </c>
      <c r="B327" t="s">
        <v>12</v>
      </c>
      <c r="C327" s="294">
        <v>46337</v>
      </c>
      <c r="D327" s="294">
        <v>46379</v>
      </c>
      <c r="E327">
        <v>1.85099372585449</v>
      </c>
      <c r="F327">
        <v>8.4992406459619918</v>
      </c>
      <c r="G327">
        <v>19.599372585448993</v>
      </c>
      <c r="H327">
        <v>0.78397490341795972</v>
      </c>
      <c r="I327">
        <v>-2.899951521546007</v>
      </c>
      <c r="J327">
        <v>1.4000619683030013</v>
      </c>
      <c r="K327">
        <v>13.870904707387988</v>
      </c>
    </row>
    <row r="328" spans="1:11" x14ac:dyDescent="0.25">
      <c r="A328" s="374">
        <v>46237</v>
      </c>
      <c r="B328" t="s">
        <v>13</v>
      </c>
      <c r="C328" s="294">
        <v>46379</v>
      </c>
      <c r="D328" s="294">
        <v>46421</v>
      </c>
      <c r="E328">
        <v>2.14954244362873</v>
      </c>
      <c r="F328">
        <v>29.854871777424009</v>
      </c>
      <c r="G328">
        <v>49.454244362872998</v>
      </c>
      <c r="H328">
        <v>1.97816977451492</v>
      </c>
      <c r="I328">
        <v>10.890614617949002</v>
      </c>
      <c r="J328">
        <v>13.777116658099997</v>
      </c>
      <c r="K328">
        <v>41.583451598541998</v>
      </c>
    </row>
    <row r="329" spans="1:11" x14ac:dyDescent="0.25">
      <c r="A329" s="374">
        <v>46237</v>
      </c>
      <c r="B329" t="s">
        <v>14</v>
      </c>
      <c r="C329" s="294">
        <v>46421</v>
      </c>
      <c r="D329" s="294">
        <v>46470</v>
      </c>
      <c r="E329">
        <v>2.3105923737774998</v>
      </c>
      <c r="F329">
        <v>16.104993014876978</v>
      </c>
      <c r="G329">
        <v>65.55923737774998</v>
      </c>
      <c r="H329">
        <v>2.6223694951099992</v>
      </c>
      <c r="I329">
        <v>16.293569254137985</v>
      </c>
      <c r="J329">
        <v>18.028412300597996</v>
      </c>
      <c r="K329">
        <v>55.076228526895974</v>
      </c>
    </row>
    <row r="330" spans="1:11" x14ac:dyDescent="0.25">
      <c r="A330" s="374">
        <v>46237</v>
      </c>
      <c r="C330" s="294"/>
      <c r="D330" s="294"/>
      <c r="I330">
        <v>0</v>
      </c>
      <c r="J330">
        <v>0</v>
      </c>
      <c r="K330">
        <v>0</v>
      </c>
    </row>
    <row r="331" spans="1:11" x14ac:dyDescent="0.25">
      <c r="A331" s="374">
        <v>46237</v>
      </c>
      <c r="C331" s="294"/>
      <c r="D331" s="294"/>
      <c r="I331">
        <v>0</v>
      </c>
      <c r="J331">
        <v>0</v>
      </c>
      <c r="K331">
        <v>0</v>
      </c>
    </row>
    <row r="332" spans="1:11" x14ac:dyDescent="0.25">
      <c r="A332" s="374">
        <v>46237</v>
      </c>
      <c r="C332" s="294"/>
      <c r="D332" s="294"/>
      <c r="I332">
        <v>0</v>
      </c>
      <c r="J332">
        <v>0</v>
      </c>
      <c r="K332">
        <v>0</v>
      </c>
    </row>
    <row r="333" spans="1:11" x14ac:dyDescent="0.25">
      <c r="A333" s="374">
        <v>46237</v>
      </c>
      <c r="C333" s="294"/>
      <c r="D333" s="294"/>
      <c r="I333">
        <v>0</v>
      </c>
      <c r="J333">
        <v>0</v>
      </c>
      <c r="K333">
        <v>0</v>
      </c>
    </row>
    <row r="334" spans="1:11" x14ac:dyDescent="0.25">
      <c r="A334" s="374">
        <v>46237</v>
      </c>
      <c r="C334" s="294"/>
      <c r="D334" s="294"/>
      <c r="I334">
        <v>0</v>
      </c>
      <c r="J334">
        <v>0</v>
      </c>
      <c r="K334">
        <v>0</v>
      </c>
    </row>
    <row r="335" spans="1:11" x14ac:dyDescent="0.25">
      <c r="A335" s="374">
        <v>46237</v>
      </c>
      <c r="C335" s="294"/>
      <c r="D335" s="294"/>
      <c r="I335">
        <v>0</v>
      </c>
      <c r="J335">
        <v>0</v>
      </c>
      <c r="K335">
        <v>0</v>
      </c>
    </row>
    <row r="336" spans="1:11" x14ac:dyDescent="0.25">
      <c r="A336" s="374">
        <v>46237</v>
      </c>
      <c r="C336" s="294"/>
      <c r="D336" s="294"/>
      <c r="I336">
        <v>0</v>
      </c>
      <c r="J336">
        <v>0</v>
      </c>
      <c r="K336">
        <v>0</v>
      </c>
    </row>
    <row r="337" spans="1:11" x14ac:dyDescent="0.25">
      <c r="A337" s="374">
        <v>46238</v>
      </c>
      <c r="B337" t="s">
        <v>9</v>
      </c>
      <c r="C337" s="294">
        <v>46260</v>
      </c>
      <c r="D337" s="294">
        <v>46295</v>
      </c>
      <c r="E337">
        <v>1.67986666492586</v>
      </c>
      <c r="F337">
        <v>4.1866664925860109</v>
      </c>
      <c r="G337">
        <v>4.1866664925860109</v>
      </c>
      <c r="H337">
        <v>0.16746665970344043</v>
      </c>
      <c r="I337">
        <v>0.59164125904800358</v>
      </c>
      <c r="J337">
        <v>2.5802513631540069</v>
      </c>
      <c r="K337">
        <v>3.1143842338650085</v>
      </c>
    </row>
    <row r="338" spans="1:11" x14ac:dyDescent="0.25">
      <c r="A338" s="374">
        <v>46238</v>
      </c>
      <c r="B338" t="s">
        <v>10</v>
      </c>
      <c r="C338" s="294">
        <v>46295</v>
      </c>
      <c r="D338" s="294">
        <v>46337</v>
      </c>
      <c r="E338">
        <v>1.7549884565042899</v>
      </c>
      <c r="F338">
        <v>7.5121791578429908</v>
      </c>
      <c r="G338">
        <v>11.698845650429002</v>
      </c>
      <c r="H338">
        <v>0.46795382601716007</v>
      </c>
      <c r="I338">
        <v>-1.1012862890580122</v>
      </c>
      <c r="J338">
        <v>-0.30149246166299992</v>
      </c>
      <c r="K338">
        <v>6.86226337348399</v>
      </c>
    </row>
    <row r="339" spans="1:11" x14ac:dyDescent="0.25">
      <c r="A339" s="374">
        <v>46238</v>
      </c>
      <c r="B339" t="s">
        <v>12</v>
      </c>
      <c r="C339" s="294">
        <v>46337</v>
      </c>
      <c r="D339" s="294">
        <v>46379</v>
      </c>
      <c r="E339">
        <v>1.82199490774388</v>
      </c>
      <c r="F339">
        <v>6.7006451239590037</v>
      </c>
      <c r="G339">
        <v>18.399490774388006</v>
      </c>
      <c r="H339">
        <v>0.73597963097552022</v>
      </c>
      <c r="I339">
        <v>-2.8998818110610003</v>
      </c>
      <c r="J339">
        <v>-1.9998070807319968</v>
      </c>
      <c r="K339">
        <v>10.904377992826998</v>
      </c>
    </row>
    <row r="340" spans="1:11" x14ac:dyDescent="0.25">
      <c r="A340" s="374">
        <v>46238</v>
      </c>
      <c r="B340" t="s">
        <v>13</v>
      </c>
      <c r="C340" s="294">
        <v>46379</v>
      </c>
      <c r="D340" s="294">
        <v>46421</v>
      </c>
      <c r="E340">
        <v>1.8934191759362899</v>
      </c>
      <c r="F340">
        <v>7.142426819240999</v>
      </c>
      <c r="G340">
        <v>25.541917593629005</v>
      </c>
      <c r="H340">
        <v>1.0216767037451602</v>
      </c>
      <c r="I340">
        <v>-25.61232676924401</v>
      </c>
      <c r="J340">
        <v>-47.124284854887023</v>
      </c>
      <c r="K340">
        <v>15.571261048849006</v>
      </c>
    </row>
    <row r="341" spans="1:11" x14ac:dyDescent="0.25">
      <c r="A341" s="374">
        <v>46238</v>
      </c>
      <c r="B341" t="s">
        <v>14</v>
      </c>
      <c r="C341" s="294">
        <v>46421</v>
      </c>
      <c r="D341" s="294">
        <v>46470</v>
      </c>
      <c r="E341">
        <v>1.9620799915885501</v>
      </c>
      <c r="F341">
        <v>6.8660815652260121</v>
      </c>
      <c r="G341">
        <v>32.40799915885502</v>
      </c>
      <c r="H341">
        <v>1.2963199663542009</v>
      </c>
      <c r="I341">
        <v>-34.851238218894977</v>
      </c>
      <c r="J341">
        <v>-40.483614185008989</v>
      </c>
      <c r="K341">
        <v>21.009735280630014</v>
      </c>
    </row>
    <row r="342" spans="1:11" x14ac:dyDescent="0.25">
      <c r="A342" s="374">
        <v>46238</v>
      </c>
      <c r="C342" s="294"/>
      <c r="D342" s="294"/>
      <c r="I342">
        <v>0</v>
      </c>
      <c r="J342">
        <v>0</v>
      </c>
      <c r="K342">
        <v>0</v>
      </c>
    </row>
    <row r="343" spans="1:11" x14ac:dyDescent="0.25">
      <c r="A343" s="374">
        <v>46238</v>
      </c>
      <c r="C343" s="294"/>
      <c r="D343" s="294"/>
      <c r="I343">
        <v>0</v>
      </c>
      <c r="J343">
        <v>0</v>
      </c>
      <c r="K343">
        <v>0</v>
      </c>
    </row>
    <row r="344" spans="1:11" x14ac:dyDescent="0.25">
      <c r="A344" s="374">
        <v>46238</v>
      </c>
      <c r="C344" s="294"/>
      <c r="D344" s="294"/>
      <c r="I344">
        <v>0</v>
      </c>
      <c r="J344">
        <v>0</v>
      </c>
      <c r="K344">
        <v>0</v>
      </c>
    </row>
    <row r="345" spans="1:11" x14ac:dyDescent="0.25">
      <c r="A345" s="374">
        <v>46238</v>
      </c>
      <c r="C345" s="294"/>
      <c r="D345" s="294"/>
      <c r="I345">
        <v>0</v>
      </c>
      <c r="J345">
        <v>0</v>
      </c>
      <c r="K345">
        <v>0</v>
      </c>
    </row>
    <row r="346" spans="1:11" x14ac:dyDescent="0.25">
      <c r="A346" s="374">
        <v>46238</v>
      </c>
      <c r="C346" s="294"/>
      <c r="D346" s="294"/>
      <c r="I346">
        <v>0</v>
      </c>
      <c r="J346">
        <v>0</v>
      </c>
      <c r="K346">
        <v>0</v>
      </c>
    </row>
    <row r="347" spans="1:11" x14ac:dyDescent="0.25">
      <c r="A347" s="374">
        <v>46238</v>
      </c>
      <c r="C347" s="294"/>
      <c r="D347" s="294"/>
      <c r="I347">
        <v>0</v>
      </c>
      <c r="J347">
        <v>0</v>
      </c>
      <c r="K347">
        <v>0</v>
      </c>
    </row>
    <row r="348" spans="1:11" x14ac:dyDescent="0.25">
      <c r="A348" s="374">
        <v>46238</v>
      </c>
      <c r="C348" s="294"/>
      <c r="D348" s="294"/>
      <c r="I348">
        <v>0</v>
      </c>
      <c r="J348">
        <v>0</v>
      </c>
      <c r="K348">
        <v>0</v>
      </c>
    </row>
    <row r="349" spans="1:11" x14ac:dyDescent="0.25">
      <c r="A349" s="374">
        <v>46239</v>
      </c>
      <c r="B349" t="s">
        <v>9</v>
      </c>
      <c r="C349" s="294">
        <v>46260</v>
      </c>
      <c r="D349" s="294">
        <v>46295</v>
      </c>
      <c r="E349">
        <v>1.67192993196678</v>
      </c>
      <c r="F349">
        <v>3.4929931966779959</v>
      </c>
      <c r="G349">
        <v>3.4929931966779959</v>
      </c>
      <c r="H349">
        <v>0.13971972786711984</v>
      </c>
      <c r="I349">
        <v>-0.79367329590800395</v>
      </c>
      <c r="J349">
        <v>1.0125510307700036</v>
      </c>
      <c r="K349">
        <v>2.1084813466609953</v>
      </c>
    </row>
    <row r="350" spans="1:11" x14ac:dyDescent="0.25">
      <c r="A350" s="374">
        <v>46239</v>
      </c>
      <c r="B350" t="s">
        <v>10</v>
      </c>
      <c r="C350" s="294">
        <v>46295</v>
      </c>
      <c r="D350" s="294">
        <v>46337</v>
      </c>
      <c r="E350">
        <v>1.75499297708097</v>
      </c>
      <c r="F350">
        <v>8.3063045114190039</v>
      </c>
      <c r="G350">
        <v>11.799297708097001</v>
      </c>
      <c r="H350">
        <v>0.47197190832388003</v>
      </c>
      <c r="I350">
        <v>4.5205766801004188E-4</v>
      </c>
      <c r="J350">
        <v>-2.1010496229300069</v>
      </c>
      <c r="K350">
        <v>6.6960362765019932</v>
      </c>
    </row>
    <row r="351" spans="1:11" x14ac:dyDescent="0.25">
      <c r="A351" s="374">
        <v>46239</v>
      </c>
      <c r="B351" t="s">
        <v>12</v>
      </c>
      <c r="C351" s="294">
        <v>46337</v>
      </c>
      <c r="D351" s="294">
        <v>46379</v>
      </c>
      <c r="E351">
        <v>1.8369947010064001</v>
      </c>
      <c r="F351">
        <v>8.2001723925430028</v>
      </c>
      <c r="G351">
        <v>19.999470100640004</v>
      </c>
      <c r="H351">
        <v>0.79997880402560018</v>
      </c>
      <c r="I351">
        <v>1.49997932625201</v>
      </c>
      <c r="J351">
        <v>-3.9998141051259983</v>
      </c>
      <c r="K351">
        <v>12.471002222578997</v>
      </c>
    </row>
    <row r="352" spans="1:11" x14ac:dyDescent="0.25">
      <c r="A352" s="374">
        <v>46239</v>
      </c>
      <c r="B352" t="s">
        <v>13</v>
      </c>
      <c r="C352" s="294">
        <v>46379</v>
      </c>
      <c r="D352" s="294">
        <v>46421</v>
      </c>
      <c r="E352">
        <v>1.96482977077274</v>
      </c>
      <c r="F352">
        <v>12.783506976633996</v>
      </c>
      <c r="G352">
        <v>32.782977077273998</v>
      </c>
      <c r="H352">
        <v>1.31131908309096</v>
      </c>
      <c r="I352">
        <v>7.141059483645007</v>
      </c>
      <c r="J352">
        <v>5.2599383949180067</v>
      </c>
      <c r="K352">
        <v>23.112184312942997</v>
      </c>
    </row>
    <row r="353" spans="1:11" x14ac:dyDescent="0.25">
      <c r="A353" s="374">
        <v>46239</v>
      </c>
      <c r="B353" t="s">
        <v>14</v>
      </c>
      <c r="C353" s="294">
        <v>46421</v>
      </c>
      <c r="D353" s="294">
        <v>46470</v>
      </c>
      <c r="E353">
        <v>2.0551095811150799</v>
      </c>
      <c r="F353">
        <v>9.0279810342339886</v>
      </c>
      <c r="G353">
        <v>41.810958111507986</v>
      </c>
      <c r="H353">
        <v>1.6724383244603194</v>
      </c>
      <c r="I353">
        <v>9.3029589526529843</v>
      </c>
      <c r="J353">
        <v>10.092159488530994</v>
      </c>
      <c r="K353">
        <v>29.527949260653983</v>
      </c>
    </row>
    <row r="354" spans="1:11" x14ac:dyDescent="0.25">
      <c r="A354" s="374">
        <v>46239</v>
      </c>
      <c r="C354" s="294"/>
      <c r="D354" s="294"/>
      <c r="I354">
        <v>0</v>
      </c>
      <c r="J354">
        <v>0</v>
      </c>
      <c r="K354">
        <v>0</v>
      </c>
    </row>
    <row r="355" spans="1:11" x14ac:dyDescent="0.25">
      <c r="A355" s="374">
        <v>46239</v>
      </c>
      <c r="C355" s="294"/>
      <c r="D355" s="294"/>
      <c r="I355">
        <v>0</v>
      </c>
      <c r="J355">
        <v>0</v>
      </c>
      <c r="K355">
        <v>0</v>
      </c>
    </row>
    <row r="356" spans="1:11" x14ac:dyDescent="0.25">
      <c r="A356" s="374">
        <v>46239</v>
      </c>
      <c r="C356" s="294"/>
      <c r="D356" s="294"/>
      <c r="I356">
        <v>0</v>
      </c>
      <c r="J356">
        <v>0</v>
      </c>
      <c r="K356">
        <v>0</v>
      </c>
    </row>
    <row r="357" spans="1:11" x14ac:dyDescent="0.25">
      <c r="A357" s="374">
        <v>46239</v>
      </c>
      <c r="C357" s="294"/>
      <c r="D357" s="294"/>
      <c r="I357">
        <v>0</v>
      </c>
      <c r="J357">
        <v>0</v>
      </c>
      <c r="K357">
        <v>0</v>
      </c>
    </row>
    <row r="358" spans="1:11" x14ac:dyDescent="0.25">
      <c r="A358" s="374">
        <v>46239</v>
      </c>
      <c r="C358" s="294"/>
      <c r="D358" s="294"/>
      <c r="I358">
        <v>0</v>
      </c>
      <c r="J358">
        <v>0</v>
      </c>
      <c r="K358">
        <v>0</v>
      </c>
    </row>
    <row r="359" spans="1:11" x14ac:dyDescent="0.25">
      <c r="A359" s="374">
        <v>46239</v>
      </c>
      <c r="C359" s="294"/>
      <c r="D359" s="294"/>
      <c r="I359">
        <v>0</v>
      </c>
      <c r="J359">
        <v>0</v>
      </c>
      <c r="K359">
        <v>0</v>
      </c>
    </row>
    <row r="360" spans="1:11" x14ac:dyDescent="0.25">
      <c r="A360" s="374">
        <v>46239</v>
      </c>
      <c r="C360" s="294"/>
      <c r="D360" s="294"/>
      <c r="I360">
        <v>0</v>
      </c>
      <c r="J360">
        <v>0</v>
      </c>
      <c r="K360">
        <v>0</v>
      </c>
    </row>
    <row r="361" spans="1:11" x14ac:dyDescent="0.25">
      <c r="A361" s="374">
        <v>46240</v>
      </c>
      <c r="B361" t="s">
        <v>9</v>
      </c>
      <c r="C361" s="294">
        <v>46260</v>
      </c>
      <c r="D361" s="294">
        <v>46295</v>
      </c>
      <c r="E361">
        <v>1.67569624667398</v>
      </c>
      <c r="F361">
        <v>3.7696246673980083</v>
      </c>
      <c r="G361">
        <v>3.7696246673980083</v>
      </c>
      <c r="H361">
        <v>0.15078498669592033</v>
      </c>
      <c r="I361">
        <v>0.37663147072000136</v>
      </c>
      <c r="J361">
        <v>0.88716165216400356</v>
      </c>
      <c r="K361">
        <v>2.4041914384349994</v>
      </c>
    </row>
    <row r="362" spans="1:11" x14ac:dyDescent="0.25">
      <c r="A362" s="374">
        <v>46240</v>
      </c>
      <c r="B362" t="s">
        <v>10</v>
      </c>
      <c r="C362" s="294">
        <v>46295</v>
      </c>
      <c r="D362" s="294">
        <v>46337</v>
      </c>
      <c r="E362">
        <v>1.7829359074440601</v>
      </c>
      <c r="F362">
        <v>10.723966077008008</v>
      </c>
      <c r="G362">
        <v>14.493590744406015</v>
      </c>
      <c r="H362">
        <v>0.57974362977624061</v>
      </c>
      <c r="I362">
        <v>2.7942930363090035</v>
      </c>
      <c r="J362">
        <v>1.0949054865620145</v>
      </c>
      <c r="K362">
        <v>9.4903277053349999</v>
      </c>
    </row>
    <row r="363" spans="1:11" x14ac:dyDescent="0.25">
      <c r="A363" s="374">
        <v>46240</v>
      </c>
      <c r="B363" t="s">
        <v>12</v>
      </c>
      <c r="C363" s="294">
        <v>46337</v>
      </c>
      <c r="D363" s="294">
        <v>46379</v>
      </c>
      <c r="E363">
        <v>1.9019943117893101</v>
      </c>
      <c r="F363">
        <v>11.905840434525006</v>
      </c>
      <c r="G363">
        <v>26.399431178931021</v>
      </c>
      <c r="H363">
        <v>1.0559772471572408</v>
      </c>
      <c r="I363">
        <v>6.4999610782910056</v>
      </c>
      <c r="J363">
        <v>3.3001320240160004</v>
      </c>
      <c r="K363">
        <v>18.970964083711017</v>
      </c>
    </row>
    <row r="364" spans="1:11" x14ac:dyDescent="0.25">
      <c r="A364" s="374">
        <v>46240</v>
      </c>
      <c r="B364" t="s">
        <v>13</v>
      </c>
      <c r="C364" s="294">
        <v>46379</v>
      </c>
      <c r="D364" s="294">
        <v>46421</v>
      </c>
      <c r="E364">
        <v>1.93961567626255</v>
      </c>
      <c r="F364">
        <v>3.7621364473239938</v>
      </c>
      <c r="G364">
        <v>30.161567626255014</v>
      </c>
      <c r="H364">
        <v>1.2064627050502006</v>
      </c>
      <c r="I364">
        <v>-2.5214094510189966</v>
      </c>
      <c r="J364">
        <v>-21.67733356883701</v>
      </c>
      <c r="K364">
        <v>20.590774807377009</v>
      </c>
    </row>
    <row r="365" spans="1:11" x14ac:dyDescent="0.25">
      <c r="A365" s="374">
        <v>46240</v>
      </c>
      <c r="B365" t="s">
        <v>14</v>
      </c>
      <c r="C365" s="294">
        <v>46421</v>
      </c>
      <c r="D365" s="294">
        <v>46470</v>
      </c>
      <c r="E365">
        <v>1.9755354961157801</v>
      </c>
      <c r="F365">
        <v>3.5919819853230006</v>
      </c>
      <c r="G365">
        <v>33.753549611578016</v>
      </c>
      <c r="H365">
        <v>1.3501419844631206</v>
      </c>
      <c r="I365">
        <v>-7.9574084999299854</v>
      </c>
      <c r="J365">
        <v>-33.90054368342399</v>
      </c>
      <c r="K365">
        <v>21.411758187186013</v>
      </c>
    </row>
    <row r="366" spans="1:11" x14ac:dyDescent="0.25">
      <c r="A366" s="374">
        <v>46240</v>
      </c>
      <c r="C366" s="294"/>
      <c r="D366" s="294"/>
      <c r="I366">
        <v>0</v>
      </c>
      <c r="J366">
        <v>0</v>
      </c>
      <c r="K366">
        <v>0</v>
      </c>
    </row>
    <row r="367" spans="1:11" x14ac:dyDescent="0.25">
      <c r="A367" s="374">
        <v>46240</v>
      </c>
      <c r="C367" s="294"/>
      <c r="D367" s="294"/>
      <c r="I367">
        <v>0</v>
      </c>
      <c r="J367">
        <v>0</v>
      </c>
      <c r="K367">
        <v>0</v>
      </c>
    </row>
    <row r="368" spans="1:11" x14ac:dyDescent="0.25">
      <c r="A368" s="374">
        <v>46240</v>
      </c>
      <c r="C368" s="294"/>
      <c r="D368" s="294"/>
      <c r="I368">
        <v>0</v>
      </c>
      <c r="J368">
        <v>0</v>
      </c>
      <c r="K368">
        <v>0</v>
      </c>
    </row>
    <row r="369" spans="1:11" x14ac:dyDescent="0.25">
      <c r="A369" s="374">
        <v>46240</v>
      </c>
      <c r="C369" s="294"/>
      <c r="D369" s="294"/>
      <c r="I369">
        <v>0</v>
      </c>
      <c r="J369">
        <v>0</v>
      </c>
      <c r="K369">
        <v>0</v>
      </c>
    </row>
    <row r="370" spans="1:11" x14ac:dyDescent="0.25">
      <c r="A370" s="374">
        <v>46240</v>
      </c>
      <c r="C370" s="294"/>
      <c r="D370" s="294"/>
      <c r="I370">
        <v>0</v>
      </c>
      <c r="J370">
        <v>0</v>
      </c>
      <c r="K370">
        <v>0</v>
      </c>
    </row>
    <row r="371" spans="1:11" x14ac:dyDescent="0.25">
      <c r="A371" s="374">
        <v>46240</v>
      </c>
      <c r="C371" s="294"/>
      <c r="D371" s="294"/>
      <c r="I371">
        <v>0</v>
      </c>
      <c r="J371">
        <v>0</v>
      </c>
      <c r="K371">
        <v>0</v>
      </c>
    </row>
    <row r="372" spans="1:11" x14ac:dyDescent="0.25">
      <c r="A372" s="374">
        <v>46240</v>
      </c>
      <c r="C372" s="294"/>
      <c r="D372" s="294"/>
      <c r="I372">
        <v>0</v>
      </c>
      <c r="J372">
        <v>0</v>
      </c>
      <c r="K372">
        <v>0</v>
      </c>
    </row>
    <row r="373" spans="1:11" x14ac:dyDescent="0.25">
      <c r="A373" s="374">
        <v>46241</v>
      </c>
      <c r="B373" t="s">
        <v>9</v>
      </c>
      <c r="C373" s="294">
        <v>46260</v>
      </c>
      <c r="D373" s="294">
        <v>46295</v>
      </c>
      <c r="E373">
        <v>1.6767508224252701</v>
      </c>
      <c r="F373">
        <v>4.0750822425270172</v>
      </c>
      <c r="G373">
        <v>4.0750822425270172</v>
      </c>
      <c r="H373">
        <v>0.16300328970108069</v>
      </c>
      <c r="I373">
        <v>0.10545757512900877</v>
      </c>
      <c r="J373">
        <v>0.98027086553200693</v>
      </c>
      <c r="K373">
        <v>2.1743178562540155</v>
      </c>
    </row>
    <row r="374" spans="1:11" x14ac:dyDescent="0.25">
      <c r="A374" s="374">
        <v>46241</v>
      </c>
      <c r="B374" t="s">
        <v>10</v>
      </c>
      <c r="C374" s="294">
        <v>46295</v>
      </c>
      <c r="D374" s="294">
        <v>46337</v>
      </c>
      <c r="E374">
        <v>1.7869496904256601</v>
      </c>
      <c r="F374">
        <v>11.019886800039004</v>
      </c>
      <c r="G374">
        <v>15.094969042566021</v>
      </c>
      <c r="H374">
        <v>0.6037987617026408</v>
      </c>
      <c r="I374">
        <v>0.40137829816000448</v>
      </c>
      <c r="J374">
        <v>1.0951522028090022</v>
      </c>
      <c r="K374">
        <v>9.3416884294760028</v>
      </c>
    </row>
    <row r="375" spans="1:11" x14ac:dyDescent="0.25">
      <c r="A375" s="374">
        <v>46241</v>
      </c>
      <c r="B375" t="s">
        <v>12</v>
      </c>
      <c r="C375" s="294">
        <v>46337</v>
      </c>
      <c r="D375" s="294">
        <v>46379</v>
      </c>
      <c r="E375">
        <v>1.8909947863359799</v>
      </c>
      <c r="F375">
        <v>10.404509591031985</v>
      </c>
      <c r="G375">
        <v>25.499478633598006</v>
      </c>
      <c r="H375">
        <v>1.0199791453439202</v>
      </c>
      <c r="I375">
        <v>-1.0999525453330161</v>
      </c>
      <c r="J375">
        <v>1.1001545266029922</v>
      </c>
      <c r="K375">
        <v>16.954428079321993</v>
      </c>
    </row>
    <row r="376" spans="1:11" x14ac:dyDescent="0.25">
      <c r="A376" s="374">
        <v>46241</v>
      </c>
      <c r="B376" t="s">
        <v>13</v>
      </c>
      <c r="C376" s="294">
        <v>46379</v>
      </c>
      <c r="D376" s="294">
        <v>46421</v>
      </c>
      <c r="E376">
        <v>1.92782409247849</v>
      </c>
      <c r="F376">
        <v>3.682930614251001</v>
      </c>
      <c r="G376">
        <v>29.182409247849005</v>
      </c>
      <c r="H376">
        <v>1.1672963699139602</v>
      </c>
      <c r="I376">
        <v>-1.1791583784060089</v>
      </c>
      <c r="J376">
        <v>-11.281220497075006</v>
      </c>
      <c r="K376">
        <v>17.912126093986004</v>
      </c>
    </row>
    <row r="377" spans="1:11" x14ac:dyDescent="0.25">
      <c r="A377" s="374">
        <v>46241</v>
      </c>
      <c r="B377" t="s">
        <v>14</v>
      </c>
      <c r="C377" s="294">
        <v>46421</v>
      </c>
      <c r="D377" s="294">
        <v>46470</v>
      </c>
      <c r="E377">
        <v>1.96407431453125</v>
      </c>
      <c r="F377">
        <v>3.6250222052760073</v>
      </c>
      <c r="G377">
        <v>32.807431453125012</v>
      </c>
      <c r="H377">
        <v>1.3122972581250005</v>
      </c>
      <c r="I377">
        <v>-1.1461181584530022</v>
      </c>
      <c r="J377">
        <v>-18.358236670486995</v>
      </c>
      <c r="K377">
        <v>18.302445310905014</v>
      </c>
    </row>
    <row r="378" spans="1:11" x14ac:dyDescent="0.25">
      <c r="A378" s="374">
        <v>46241</v>
      </c>
      <c r="C378" s="294"/>
      <c r="D378" s="294"/>
      <c r="I378">
        <v>0</v>
      </c>
      <c r="J378">
        <v>0</v>
      </c>
      <c r="K378">
        <v>0</v>
      </c>
    </row>
    <row r="379" spans="1:11" x14ac:dyDescent="0.25">
      <c r="A379" s="374">
        <v>46241</v>
      </c>
      <c r="C379" s="294"/>
      <c r="D379" s="294"/>
      <c r="I379">
        <v>0</v>
      </c>
      <c r="J379">
        <v>0</v>
      </c>
      <c r="K379">
        <v>0</v>
      </c>
    </row>
    <row r="380" spans="1:11" x14ac:dyDescent="0.25">
      <c r="A380" s="374">
        <v>46241</v>
      </c>
      <c r="C380" s="294"/>
      <c r="D380" s="294"/>
      <c r="I380">
        <v>0</v>
      </c>
      <c r="J380">
        <v>0</v>
      </c>
      <c r="K380">
        <v>0</v>
      </c>
    </row>
    <row r="381" spans="1:11" x14ac:dyDescent="0.25">
      <c r="A381" s="374">
        <v>46241</v>
      </c>
      <c r="C381" s="294"/>
      <c r="D381" s="294"/>
      <c r="I381">
        <v>0</v>
      </c>
      <c r="J381">
        <v>0</v>
      </c>
      <c r="K381">
        <v>0</v>
      </c>
    </row>
    <row r="382" spans="1:11" x14ac:dyDescent="0.25">
      <c r="A382" s="374">
        <v>46241</v>
      </c>
      <c r="C382" s="294"/>
      <c r="D382" s="294"/>
      <c r="I382">
        <v>0</v>
      </c>
      <c r="J382">
        <v>0</v>
      </c>
      <c r="K382">
        <v>0</v>
      </c>
    </row>
    <row r="383" spans="1:11" x14ac:dyDescent="0.25">
      <c r="A383" s="374">
        <v>46241</v>
      </c>
      <c r="C383" s="294"/>
      <c r="D383" s="294"/>
      <c r="I383">
        <v>0</v>
      </c>
      <c r="J383">
        <v>0</v>
      </c>
      <c r="K383">
        <v>0</v>
      </c>
    </row>
    <row r="384" spans="1:11" x14ac:dyDescent="0.25">
      <c r="A384" s="374">
        <v>46241</v>
      </c>
      <c r="C384" s="294"/>
      <c r="D384" s="294"/>
      <c r="I384">
        <v>0</v>
      </c>
      <c r="J384">
        <v>0</v>
      </c>
      <c r="K384">
        <v>0</v>
      </c>
    </row>
    <row r="385" spans="1:11" x14ac:dyDescent="0.25">
      <c r="A385" s="374">
        <v>46244</v>
      </c>
      <c r="B385" t="s">
        <v>9</v>
      </c>
      <c r="C385" s="294">
        <v>46260</v>
      </c>
      <c r="D385" s="294">
        <v>46295</v>
      </c>
      <c r="E385">
        <v>1.6769359868845799</v>
      </c>
      <c r="F385">
        <v>4.093598688458</v>
      </c>
      <c r="G385">
        <v>4.093598688458</v>
      </c>
      <c r="H385">
        <v>0.16374394753832</v>
      </c>
      <c r="I385">
        <v>1.8516445930982783E-2</v>
      </c>
      <c r="J385">
        <v>0.29857345491999254</v>
      </c>
      <c r="K385">
        <v>0.14009016776299621</v>
      </c>
    </row>
    <row r="386" spans="1:11" x14ac:dyDescent="0.25">
      <c r="A386" s="374">
        <v>46244</v>
      </c>
      <c r="B386" t="s">
        <v>10</v>
      </c>
      <c r="C386" s="294">
        <v>46295</v>
      </c>
      <c r="D386" s="294">
        <v>46337</v>
      </c>
      <c r="E386">
        <v>1.7829953535113701</v>
      </c>
      <c r="F386">
        <v>10.605936662679017</v>
      </c>
      <c r="G386">
        <v>14.699535351137015</v>
      </c>
      <c r="H386">
        <v>0.58798141404548065</v>
      </c>
      <c r="I386">
        <v>-0.39543369142900353</v>
      </c>
      <c r="J386">
        <v>1.6994034116500023</v>
      </c>
      <c r="K386">
        <v>2.9958343797140019</v>
      </c>
    </row>
    <row r="387" spans="1:11" x14ac:dyDescent="0.25">
      <c r="A387" s="374">
        <v>46244</v>
      </c>
      <c r="B387" t="s">
        <v>12</v>
      </c>
      <c r="C387" s="294">
        <v>46337</v>
      </c>
      <c r="D387" s="294">
        <v>46379</v>
      </c>
      <c r="E387">
        <v>1.8829952072893701</v>
      </c>
      <c r="F387">
        <v>9.9999853778000016</v>
      </c>
      <c r="G387">
        <v>24.699520728937017</v>
      </c>
      <c r="H387">
        <v>0.98798082915748064</v>
      </c>
      <c r="I387">
        <v>-0.79995790466098615</v>
      </c>
      <c r="J387">
        <v>3.200148143488013</v>
      </c>
      <c r="K387">
        <v>5.9281480341190074</v>
      </c>
    </row>
    <row r="388" spans="1:11" x14ac:dyDescent="0.25">
      <c r="A388" s="374">
        <v>46244</v>
      </c>
      <c r="B388" t="s">
        <v>13</v>
      </c>
      <c r="C388" s="294">
        <v>46379</v>
      </c>
      <c r="D388" s="294">
        <v>46421</v>
      </c>
      <c r="E388">
        <v>1.9269248368243601</v>
      </c>
      <c r="F388">
        <v>4.3929629534990022</v>
      </c>
      <c r="G388">
        <v>29.092483682436022</v>
      </c>
      <c r="H388">
        <v>1.1636993472974408</v>
      </c>
      <c r="I388">
        <v>-8.9925565412984909E-2</v>
      </c>
      <c r="J388">
        <v>-22.261760680436993</v>
      </c>
      <c r="K388">
        <v>4.9595215116430058</v>
      </c>
    </row>
    <row r="389" spans="1:11" x14ac:dyDescent="0.25">
      <c r="A389" s="374">
        <v>46244</v>
      </c>
      <c r="B389" t="s">
        <v>14</v>
      </c>
      <c r="C389" s="294">
        <v>46421</v>
      </c>
      <c r="D389" s="294">
        <v>46470</v>
      </c>
      <c r="E389">
        <v>1.96833278476141</v>
      </c>
      <c r="F389">
        <v>4.1407947937049938</v>
      </c>
      <c r="G389">
        <v>33.233278476141017</v>
      </c>
      <c r="H389">
        <v>1.3293311390456406</v>
      </c>
      <c r="I389">
        <v>0.42584702301600164</v>
      </c>
      <c r="J389">
        <v>-34.225958901608976</v>
      </c>
      <c r="K389">
        <v>2.7864383610090027</v>
      </c>
    </row>
    <row r="390" spans="1:11" x14ac:dyDescent="0.25">
      <c r="A390" s="374">
        <v>46244</v>
      </c>
      <c r="C390" s="294"/>
      <c r="D390" s="294"/>
      <c r="I390">
        <v>0</v>
      </c>
      <c r="J390">
        <v>0</v>
      </c>
      <c r="K390">
        <v>0</v>
      </c>
    </row>
    <row r="391" spans="1:11" x14ac:dyDescent="0.25">
      <c r="A391" s="374">
        <v>46244</v>
      </c>
      <c r="C391" s="294"/>
      <c r="D391" s="294"/>
      <c r="I391">
        <v>0</v>
      </c>
      <c r="J391">
        <v>0</v>
      </c>
      <c r="K391">
        <v>0</v>
      </c>
    </row>
    <row r="392" spans="1:11" x14ac:dyDescent="0.25">
      <c r="A392" s="374">
        <v>46244</v>
      </c>
      <c r="C392" s="294"/>
      <c r="D392" s="294"/>
      <c r="I392">
        <v>0</v>
      </c>
      <c r="J392">
        <v>0</v>
      </c>
      <c r="K392">
        <v>0</v>
      </c>
    </row>
    <row r="393" spans="1:11" x14ac:dyDescent="0.25">
      <c r="A393" s="374">
        <v>46244</v>
      </c>
      <c r="C393" s="294"/>
      <c r="D393" s="294"/>
      <c r="I393">
        <v>0</v>
      </c>
      <c r="J393">
        <v>0</v>
      </c>
      <c r="K393">
        <v>0</v>
      </c>
    </row>
    <row r="394" spans="1:11" x14ac:dyDescent="0.25">
      <c r="A394" s="374">
        <v>46244</v>
      </c>
      <c r="C394" s="294"/>
      <c r="D394" s="294"/>
      <c r="I394">
        <v>0</v>
      </c>
      <c r="J394">
        <v>0</v>
      </c>
      <c r="K394">
        <v>0</v>
      </c>
    </row>
    <row r="395" spans="1:11" x14ac:dyDescent="0.25">
      <c r="A395" s="374">
        <v>46244</v>
      </c>
      <c r="C395" s="294"/>
      <c r="D395" s="294"/>
      <c r="I395">
        <v>0</v>
      </c>
      <c r="J395">
        <v>0</v>
      </c>
      <c r="K395">
        <v>0</v>
      </c>
    </row>
    <row r="396" spans="1:11" x14ac:dyDescent="0.25">
      <c r="A396" s="374">
        <v>46244</v>
      </c>
      <c r="C396" s="294"/>
      <c r="D396" s="294"/>
      <c r="I396">
        <v>0</v>
      </c>
      <c r="J396">
        <v>0</v>
      </c>
      <c r="K396">
        <v>0</v>
      </c>
    </row>
    <row r="397" spans="1:11" x14ac:dyDescent="0.25">
      <c r="A397" s="374">
        <v>46245</v>
      </c>
      <c r="B397" t="s">
        <v>9</v>
      </c>
      <c r="C397" s="294">
        <v>46260</v>
      </c>
      <c r="D397" s="294">
        <v>46295</v>
      </c>
      <c r="E397">
        <v>1.6767592875373101</v>
      </c>
      <c r="F397">
        <v>3.5759287537310058</v>
      </c>
      <c r="G397">
        <v>3.5759287537310058</v>
      </c>
      <c r="H397">
        <v>0.14303715014924023</v>
      </c>
      <c r="I397">
        <v>-1.7669934726982639E-2</v>
      </c>
      <c r="J397">
        <v>-0.31073773885499367</v>
      </c>
      <c r="K397">
        <v>-0.19905363008199117</v>
      </c>
    </row>
    <row r="398" spans="1:11" x14ac:dyDescent="0.25">
      <c r="A398" s="374">
        <v>46245</v>
      </c>
      <c r="B398" t="s">
        <v>10</v>
      </c>
      <c r="C398" s="294">
        <v>46295</v>
      </c>
      <c r="D398" s="294">
        <v>46337</v>
      </c>
      <c r="E398">
        <v>1.7789574434932101</v>
      </c>
      <c r="F398">
        <v>10.219815595589999</v>
      </c>
      <c r="G398">
        <v>13.795744349321005</v>
      </c>
      <c r="H398">
        <v>0.55182977397284017</v>
      </c>
      <c r="I398">
        <v>-0.40379100181600069</v>
      </c>
      <c r="J398">
        <v>2.3968986988920138</v>
      </c>
      <c r="K398">
        <v>0.69197211551199622</v>
      </c>
    </row>
    <row r="399" spans="1:11" x14ac:dyDescent="0.25">
      <c r="A399" s="374">
        <v>46245</v>
      </c>
      <c r="B399" t="s">
        <v>12</v>
      </c>
      <c r="C399" s="294">
        <v>46337</v>
      </c>
      <c r="D399" s="294">
        <v>46379</v>
      </c>
      <c r="E399">
        <v>1.8749953389513101</v>
      </c>
      <c r="F399">
        <v>9.6037895458100042</v>
      </c>
      <c r="G399">
        <v>23.399533895131007</v>
      </c>
      <c r="H399">
        <v>0.93598135580524033</v>
      </c>
      <c r="I399">
        <v>-0.799986833805999</v>
      </c>
      <c r="J399">
        <v>5.3000431207430143</v>
      </c>
      <c r="K399">
        <v>-1.7183624567269851</v>
      </c>
    </row>
    <row r="400" spans="1:11" x14ac:dyDescent="0.25">
      <c r="A400" s="374">
        <v>46245</v>
      </c>
      <c r="B400" t="s">
        <v>13</v>
      </c>
      <c r="C400" s="294">
        <v>46379</v>
      </c>
      <c r="D400" s="294">
        <v>46421</v>
      </c>
      <c r="E400">
        <v>1.92788864738429</v>
      </c>
      <c r="F400">
        <v>5.2893308432979902</v>
      </c>
      <c r="G400">
        <v>28.688864738428997</v>
      </c>
      <c r="H400">
        <v>1.1475545895371599</v>
      </c>
      <c r="I400">
        <v>9.6381055992988962E-2</v>
      </c>
      <c r="J400">
        <v>3.4469471448000055</v>
      </c>
      <c r="K400">
        <v>-26.529480900628009</v>
      </c>
    </row>
    <row r="401" spans="1:11" x14ac:dyDescent="0.25">
      <c r="A401" s="374">
        <v>46245</v>
      </c>
      <c r="B401" t="s">
        <v>14</v>
      </c>
      <c r="C401" s="294">
        <v>46421</v>
      </c>
      <c r="D401" s="294">
        <v>46470</v>
      </c>
      <c r="E401">
        <v>1.9744101372801099</v>
      </c>
      <c r="F401">
        <v>4.6521489895819945</v>
      </c>
      <c r="G401">
        <v>33.341013728010992</v>
      </c>
      <c r="H401">
        <v>1.3336405491204397</v>
      </c>
      <c r="I401">
        <v>0.60773525186998967</v>
      </c>
      <c r="J401">
        <v>1.2330145691559879</v>
      </c>
      <c r="K401">
        <v>-27.666417507616025</v>
      </c>
    </row>
    <row r="402" spans="1:11" x14ac:dyDescent="0.25">
      <c r="A402" s="374">
        <v>46245</v>
      </c>
      <c r="C402" s="294"/>
      <c r="D402" s="294"/>
      <c r="I402">
        <v>0</v>
      </c>
      <c r="J402">
        <v>0</v>
      </c>
      <c r="K402">
        <v>0</v>
      </c>
    </row>
    <row r="403" spans="1:11" x14ac:dyDescent="0.25">
      <c r="A403" s="374">
        <v>46245</v>
      </c>
      <c r="C403" s="294"/>
      <c r="D403" s="294"/>
      <c r="I403">
        <v>0</v>
      </c>
      <c r="J403">
        <v>0</v>
      </c>
      <c r="K403">
        <v>0</v>
      </c>
    </row>
    <row r="404" spans="1:11" x14ac:dyDescent="0.25">
      <c r="A404" s="374">
        <v>46245</v>
      </c>
      <c r="C404" s="294"/>
      <c r="D404" s="294"/>
      <c r="I404">
        <v>0</v>
      </c>
      <c r="J404">
        <v>0</v>
      </c>
      <c r="K404">
        <v>0</v>
      </c>
    </row>
    <row r="405" spans="1:11" x14ac:dyDescent="0.25">
      <c r="A405" s="374">
        <v>46245</v>
      </c>
      <c r="C405" s="294"/>
      <c r="D405" s="294"/>
      <c r="I405">
        <v>0</v>
      </c>
      <c r="J405">
        <v>0</v>
      </c>
      <c r="K405">
        <v>0</v>
      </c>
    </row>
    <row r="406" spans="1:11" x14ac:dyDescent="0.25">
      <c r="A406" s="374">
        <v>46245</v>
      </c>
      <c r="C406" s="294"/>
      <c r="D406" s="294"/>
      <c r="I406">
        <v>0</v>
      </c>
      <c r="J406">
        <v>0</v>
      </c>
      <c r="K406">
        <v>0</v>
      </c>
    </row>
    <row r="407" spans="1:11" x14ac:dyDescent="0.25">
      <c r="A407" s="374">
        <v>46245</v>
      </c>
      <c r="C407" s="294"/>
      <c r="D407" s="294"/>
      <c r="I407">
        <v>0</v>
      </c>
      <c r="J407">
        <v>0</v>
      </c>
      <c r="K407">
        <v>0</v>
      </c>
    </row>
    <row r="408" spans="1:11" x14ac:dyDescent="0.25">
      <c r="A408" s="374">
        <v>46245</v>
      </c>
      <c r="C408" s="294"/>
      <c r="D408" s="294"/>
      <c r="I408">
        <v>0</v>
      </c>
      <c r="J408">
        <v>0</v>
      </c>
      <c r="K408">
        <v>0</v>
      </c>
    </row>
    <row r="409" spans="1:11" x14ac:dyDescent="0.25">
      <c r="A409" s="374">
        <v>46246</v>
      </c>
      <c r="B409" t="s">
        <v>9</v>
      </c>
      <c r="C409" s="294">
        <v>46260</v>
      </c>
      <c r="D409" s="294">
        <v>46295</v>
      </c>
      <c r="E409">
        <v>1.66985021134227</v>
      </c>
      <c r="F409">
        <v>3.2850211342269953</v>
      </c>
      <c r="G409">
        <v>3.2850211342269953</v>
      </c>
      <c r="H409">
        <v>0.13140084536907981</v>
      </c>
      <c r="I409">
        <v>-0.69090761950401092</v>
      </c>
      <c r="J409">
        <v>-0.20797206245100064</v>
      </c>
      <c r="K409">
        <v>-0.56848738646799735</v>
      </c>
    </row>
    <row r="410" spans="1:11" x14ac:dyDescent="0.25">
      <c r="A410" s="374">
        <v>46246</v>
      </c>
      <c r="B410" t="s">
        <v>10</v>
      </c>
      <c r="C410" s="294">
        <v>46295</v>
      </c>
      <c r="D410" s="294">
        <v>46337</v>
      </c>
      <c r="E410">
        <v>1.76497132056883</v>
      </c>
      <c r="F410">
        <v>9.512110922656003</v>
      </c>
      <c r="G410">
        <v>12.797132056882997</v>
      </c>
      <c r="H410">
        <v>0.51188528227531993</v>
      </c>
      <c r="I410">
        <v>-1.3986122924380062</v>
      </c>
      <c r="J410">
        <v>0.99783434878599753</v>
      </c>
      <c r="K410">
        <v>1.193431085459995</v>
      </c>
    </row>
    <row r="411" spans="1:11" x14ac:dyDescent="0.25">
      <c r="A411" s="374">
        <v>46246</v>
      </c>
      <c r="B411" t="s">
        <v>12</v>
      </c>
      <c r="C411" s="294">
        <v>46337</v>
      </c>
      <c r="D411" s="294">
        <v>46379</v>
      </c>
      <c r="E411">
        <v>1.8549955241790199</v>
      </c>
      <c r="F411">
        <v>9.0024203610189915</v>
      </c>
      <c r="G411">
        <v>21.799552417901992</v>
      </c>
      <c r="H411">
        <v>0.87198209671607974</v>
      </c>
      <c r="I411">
        <v>-1.9999814772290181</v>
      </c>
      <c r="J411">
        <v>1.8000823172619862</v>
      </c>
      <c r="K411">
        <v>3.1281797230839903</v>
      </c>
    </row>
    <row r="412" spans="1:11" x14ac:dyDescent="0.25">
      <c r="A412" s="374">
        <v>46246</v>
      </c>
      <c r="B412" t="s">
        <v>13</v>
      </c>
      <c r="C412" s="294">
        <v>46379</v>
      </c>
      <c r="D412" s="294">
        <v>46421</v>
      </c>
      <c r="E412">
        <v>1.9067660175166099</v>
      </c>
      <c r="F412">
        <v>5.1770493337589985</v>
      </c>
      <c r="G412">
        <v>26.97660175166099</v>
      </c>
      <c r="H412">
        <v>1.0790640700664396</v>
      </c>
      <c r="I412">
        <v>-2.1122629867680098</v>
      </c>
      <c r="J412">
        <v>-5.8063753256130113</v>
      </c>
      <c r="K412">
        <v>2.9436395808679849</v>
      </c>
    </row>
    <row r="413" spans="1:11" x14ac:dyDescent="0.25">
      <c r="A413" s="374">
        <v>46246</v>
      </c>
      <c r="B413" t="s">
        <v>14</v>
      </c>
      <c r="C413" s="294">
        <v>46421</v>
      </c>
      <c r="D413" s="294">
        <v>46470</v>
      </c>
      <c r="E413">
        <v>1.9523558128288601</v>
      </c>
      <c r="F413">
        <v>4.5589795312250159</v>
      </c>
      <c r="G413">
        <v>31.535581282886007</v>
      </c>
      <c r="H413">
        <v>1.2614232513154402</v>
      </c>
      <c r="I413">
        <v>-2.2054324451249885</v>
      </c>
      <c r="J413">
        <v>-10.275376828621985</v>
      </c>
      <c r="K413">
        <v>1.1887411677540038</v>
      </c>
    </row>
    <row r="414" spans="1:11" x14ac:dyDescent="0.25">
      <c r="A414" s="374">
        <v>46246</v>
      </c>
      <c r="C414" s="294"/>
      <c r="D414" s="294"/>
      <c r="I414">
        <v>0</v>
      </c>
      <c r="J414">
        <v>0</v>
      </c>
      <c r="K414">
        <v>0</v>
      </c>
    </row>
    <row r="415" spans="1:11" x14ac:dyDescent="0.25">
      <c r="A415" s="374">
        <v>46246</v>
      </c>
      <c r="C415" s="294"/>
      <c r="D415" s="294"/>
      <c r="I415">
        <v>0</v>
      </c>
      <c r="J415">
        <v>0</v>
      </c>
      <c r="K415">
        <v>0</v>
      </c>
    </row>
    <row r="416" spans="1:11" x14ac:dyDescent="0.25">
      <c r="A416" s="374">
        <v>46246</v>
      </c>
      <c r="C416" s="294"/>
      <c r="D416" s="294"/>
      <c r="I416">
        <v>0</v>
      </c>
      <c r="J416">
        <v>0</v>
      </c>
      <c r="K416">
        <v>0</v>
      </c>
    </row>
    <row r="417" spans="1:11" x14ac:dyDescent="0.25">
      <c r="A417" s="374">
        <v>46246</v>
      </c>
      <c r="C417" s="294"/>
      <c r="D417" s="294"/>
      <c r="I417">
        <v>0</v>
      </c>
      <c r="J417">
        <v>0</v>
      </c>
      <c r="K417">
        <v>0</v>
      </c>
    </row>
    <row r="418" spans="1:11" x14ac:dyDescent="0.25">
      <c r="A418" s="374">
        <v>46246</v>
      </c>
      <c r="C418" s="294"/>
      <c r="D418" s="294"/>
      <c r="I418">
        <v>0</v>
      </c>
      <c r="J418">
        <v>0</v>
      </c>
      <c r="K418">
        <v>0</v>
      </c>
    </row>
    <row r="419" spans="1:11" x14ac:dyDescent="0.25">
      <c r="A419" s="374">
        <v>46246</v>
      </c>
      <c r="C419" s="294"/>
      <c r="D419" s="294"/>
      <c r="I419">
        <v>0</v>
      </c>
      <c r="J419">
        <v>0</v>
      </c>
      <c r="K419">
        <v>0</v>
      </c>
    </row>
    <row r="420" spans="1:11" x14ac:dyDescent="0.25">
      <c r="A420" s="374">
        <v>46246</v>
      </c>
      <c r="C420" s="294"/>
      <c r="D420" s="294"/>
      <c r="I420">
        <v>0</v>
      </c>
      <c r="J420">
        <v>0</v>
      </c>
      <c r="K420">
        <v>0</v>
      </c>
    </row>
    <row r="421" spans="1:11" x14ac:dyDescent="0.25">
      <c r="A421" s="374">
        <v>46247</v>
      </c>
      <c r="B421" t="s">
        <v>9</v>
      </c>
      <c r="C421" s="294">
        <v>46260</v>
      </c>
      <c r="D421" s="294">
        <v>46295</v>
      </c>
      <c r="E421">
        <v>1.67065629886471</v>
      </c>
      <c r="F421">
        <v>3.6656298864710113</v>
      </c>
      <c r="G421">
        <v>3.6656298864710113</v>
      </c>
      <c r="H421">
        <v>0.14662519545884045</v>
      </c>
      <c r="I421">
        <v>8.0608752244004656E-2</v>
      </c>
      <c r="J421">
        <v>-0.50399478092699734</v>
      </c>
      <c r="K421">
        <v>-0.85732771860100865</v>
      </c>
    </row>
    <row r="422" spans="1:11" x14ac:dyDescent="0.25">
      <c r="A422" s="374">
        <v>46247</v>
      </c>
      <c r="B422" t="s">
        <v>10</v>
      </c>
      <c r="C422" s="294">
        <v>46295</v>
      </c>
      <c r="D422" s="294">
        <v>46337</v>
      </c>
      <c r="E422">
        <v>1.75889914770107</v>
      </c>
      <c r="F422">
        <v>8.8242848836360022</v>
      </c>
      <c r="G422">
        <v>12.489914770107013</v>
      </c>
      <c r="H422">
        <v>0.49959659080428054</v>
      </c>
      <c r="I422">
        <v>-0.60721728677599618</v>
      </c>
      <c r="J422">
        <v>-2.4036759742990021</v>
      </c>
      <c r="K422">
        <v>-0.7304756220479991</v>
      </c>
    </row>
    <row r="423" spans="1:11" x14ac:dyDescent="0.25">
      <c r="A423" s="374">
        <v>46247</v>
      </c>
      <c r="B423" t="s">
        <v>12</v>
      </c>
      <c r="C423" s="294">
        <v>46337</v>
      </c>
      <c r="D423" s="294">
        <v>46379</v>
      </c>
      <c r="E423">
        <v>1.83699576732181</v>
      </c>
      <c r="F423">
        <v>7.8096619620739993</v>
      </c>
      <c r="G423">
        <v>20.299576732181013</v>
      </c>
      <c r="H423">
        <v>0.81198306928724051</v>
      </c>
      <c r="I423">
        <v>-1.7999756857209892</v>
      </c>
      <c r="J423">
        <v>-6.4998544467500086</v>
      </c>
      <c r="K423">
        <v>-1.1922224237949974</v>
      </c>
    </row>
    <row r="424" spans="1:11" x14ac:dyDescent="0.25">
      <c r="A424" s="374">
        <v>46247</v>
      </c>
      <c r="B424" t="s">
        <v>13</v>
      </c>
      <c r="C424" s="294">
        <v>46379</v>
      </c>
      <c r="D424" s="294">
        <v>46421</v>
      </c>
      <c r="E424">
        <v>1.8907922746805299</v>
      </c>
      <c r="F424">
        <v>5.3796507358719881</v>
      </c>
      <c r="G424">
        <v>25.679227468053</v>
      </c>
      <c r="H424">
        <v>1.02716909872212</v>
      </c>
      <c r="I424">
        <v>-1.5973742836079996</v>
      </c>
      <c r="J424">
        <v>-4.8823401582020143</v>
      </c>
      <c r="K424">
        <v>-4.2762990565750059</v>
      </c>
    </row>
    <row r="425" spans="1:11" x14ac:dyDescent="0.25">
      <c r="A425" s="374">
        <v>46247</v>
      </c>
      <c r="B425" t="s">
        <v>14</v>
      </c>
      <c r="C425" s="294">
        <v>46421</v>
      </c>
      <c r="D425" s="294">
        <v>46470</v>
      </c>
      <c r="E425">
        <v>1.93704215380556</v>
      </c>
      <c r="F425">
        <v>4.6249879125030091</v>
      </c>
      <c r="G425">
        <v>30.304215380556009</v>
      </c>
      <c r="H425">
        <v>1.2121686152222404</v>
      </c>
      <c r="I425">
        <v>-1.5313659023300064</v>
      </c>
      <c r="J425">
        <v>-3.8493342310220058</v>
      </c>
      <c r="K425">
        <v>-8.6734267919010186</v>
      </c>
    </row>
    <row r="426" spans="1:11" x14ac:dyDescent="0.25">
      <c r="A426" s="374">
        <v>46247</v>
      </c>
      <c r="C426" s="294"/>
      <c r="D426" s="294"/>
      <c r="I426">
        <v>0</v>
      </c>
      <c r="J426">
        <v>0</v>
      </c>
      <c r="K426">
        <v>0</v>
      </c>
    </row>
    <row r="427" spans="1:11" x14ac:dyDescent="0.25">
      <c r="A427" s="374">
        <v>46247</v>
      </c>
      <c r="C427" s="294"/>
      <c r="D427" s="294"/>
      <c r="I427">
        <v>0</v>
      </c>
      <c r="J427">
        <v>0</v>
      </c>
      <c r="K427">
        <v>0</v>
      </c>
    </row>
    <row r="428" spans="1:11" x14ac:dyDescent="0.25">
      <c r="A428" s="374">
        <v>46247</v>
      </c>
      <c r="C428" s="294"/>
      <c r="D428" s="294"/>
      <c r="I428">
        <v>0</v>
      </c>
      <c r="J428">
        <v>0</v>
      </c>
      <c r="K428">
        <v>0</v>
      </c>
    </row>
    <row r="429" spans="1:11" x14ac:dyDescent="0.25">
      <c r="A429" s="374">
        <v>46247</v>
      </c>
      <c r="C429" s="294"/>
      <c r="D429" s="294"/>
      <c r="I429">
        <v>0</v>
      </c>
      <c r="J429">
        <v>0</v>
      </c>
      <c r="K429">
        <v>0</v>
      </c>
    </row>
    <row r="430" spans="1:11" x14ac:dyDescent="0.25">
      <c r="A430" s="374">
        <v>46247</v>
      </c>
      <c r="C430" s="294"/>
      <c r="D430" s="294"/>
      <c r="I430">
        <v>0</v>
      </c>
      <c r="J430">
        <v>0</v>
      </c>
      <c r="K430">
        <v>0</v>
      </c>
    </row>
    <row r="431" spans="1:11" x14ac:dyDescent="0.25">
      <c r="A431" s="374">
        <v>46247</v>
      </c>
      <c r="C431" s="294"/>
      <c r="D431" s="294"/>
      <c r="I431">
        <v>0</v>
      </c>
      <c r="J431">
        <v>0</v>
      </c>
      <c r="K431">
        <v>0</v>
      </c>
    </row>
    <row r="432" spans="1:11" x14ac:dyDescent="0.25">
      <c r="A432" s="374">
        <v>46247</v>
      </c>
      <c r="C432" s="294"/>
      <c r="D432" s="294"/>
      <c r="I432">
        <v>0</v>
      </c>
      <c r="J432">
        <v>0</v>
      </c>
      <c r="K432">
        <v>0</v>
      </c>
    </row>
    <row r="433" spans="1:11" x14ac:dyDescent="0.25">
      <c r="A433" s="374">
        <v>46248</v>
      </c>
      <c r="B433" t="s">
        <v>9</v>
      </c>
      <c r="C433" s="294">
        <v>46260</v>
      </c>
      <c r="D433" s="294">
        <v>46295</v>
      </c>
      <c r="E433">
        <v>1.65198434723277</v>
      </c>
      <c r="F433">
        <v>1.4984347232769979</v>
      </c>
      <c r="G433">
        <v>1.4984347232769979</v>
      </c>
      <c r="H433">
        <v>5.9937388931079916E-2</v>
      </c>
      <c r="I433">
        <v>-1.867195163194002</v>
      </c>
      <c r="J433">
        <v>-2.4766475192500081</v>
      </c>
      <c r="K433">
        <v>-1.4999435692589991</v>
      </c>
    </row>
    <row r="434" spans="1:11" x14ac:dyDescent="0.25">
      <c r="A434" s="374">
        <v>46248</v>
      </c>
      <c r="B434" t="s">
        <v>10</v>
      </c>
      <c r="C434" s="294">
        <v>46295</v>
      </c>
      <c r="D434" s="294">
        <v>46337</v>
      </c>
      <c r="E434">
        <v>1.75998687721534</v>
      </c>
      <c r="F434">
        <v>10.800252998256997</v>
      </c>
      <c r="G434">
        <v>12.298687721533996</v>
      </c>
      <c r="H434">
        <v>0.49194750886135985</v>
      </c>
      <c r="I434">
        <v>0.10877295142699417</v>
      </c>
      <c r="J434">
        <v>-2.6962813210320125</v>
      </c>
      <c r="K434">
        <v>-1.6017698408790082</v>
      </c>
    </row>
    <row r="435" spans="1:11" x14ac:dyDescent="0.25">
      <c r="A435" s="374">
        <v>46248</v>
      </c>
      <c r="B435" t="s">
        <v>12</v>
      </c>
      <c r="C435" s="294">
        <v>46337</v>
      </c>
      <c r="D435" s="294">
        <v>46379</v>
      </c>
      <c r="E435">
        <v>1.8559956377696201</v>
      </c>
      <c r="F435">
        <v>9.6008760554280101</v>
      </c>
      <c r="G435">
        <v>21.899563776962005</v>
      </c>
      <c r="H435">
        <v>0.87598255107848022</v>
      </c>
      <c r="I435">
        <v>1.8999870447810041</v>
      </c>
      <c r="J435">
        <v>-3.4999148566359883</v>
      </c>
      <c r="K435">
        <v>-1.6994870897239833</v>
      </c>
    </row>
    <row r="436" spans="1:11" x14ac:dyDescent="0.25">
      <c r="A436" s="374">
        <v>46248</v>
      </c>
      <c r="B436" t="s">
        <v>13</v>
      </c>
      <c r="C436" s="294">
        <v>46379</v>
      </c>
      <c r="D436" s="294">
        <v>46421</v>
      </c>
      <c r="E436">
        <v>1.9111081470150499</v>
      </c>
      <c r="F436">
        <v>5.5112509245429875</v>
      </c>
      <c r="G436">
        <v>27.410814701504993</v>
      </c>
      <c r="H436">
        <v>1.0964325880601997</v>
      </c>
      <c r="I436">
        <v>2.0315872334520035</v>
      </c>
      <c r="J436">
        <v>-1.6715945463440018</v>
      </c>
      <c r="K436">
        <v>-42.881693815755995</v>
      </c>
    </row>
    <row r="437" spans="1:11" x14ac:dyDescent="0.25">
      <c r="A437" s="374">
        <v>46248</v>
      </c>
      <c r="B437" t="s">
        <v>14</v>
      </c>
      <c r="C437" s="294">
        <v>46421</v>
      </c>
      <c r="D437" s="294">
        <v>46470</v>
      </c>
      <c r="E437">
        <v>1.9587135564115601</v>
      </c>
      <c r="F437">
        <v>4.7605409396510145</v>
      </c>
      <c r="G437">
        <v>32.171355641156005</v>
      </c>
      <c r="H437">
        <v>1.2868542256462403</v>
      </c>
      <c r="I437">
        <v>2.167140260600009</v>
      </c>
      <c r="J437">
        <v>-0.53607581196899456</v>
      </c>
      <c r="K437">
        <v>-38.730480027376998</v>
      </c>
    </row>
    <row r="438" spans="1:11" x14ac:dyDescent="0.25">
      <c r="A438" s="374">
        <v>46248</v>
      </c>
      <c r="C438" s="294"/>
      <c r="D438" s="294"/>
      <c r="I438">
        <v>0</v>
      </c>
      <c r="J438">
        <v>0</v>
      </c>
      <c r="K438">
        <v>0</v>
      </c>
    </row>
    <row r="439" spans="1:11" x14ac:dyDescent="0.25">
      <c r="A439" s="374">
        <v>46248</v>
      </c>
      <c r="C439" s="294"/>
      <c r="D439" s="294"/>
      <c r="I439">
        <v>0</v>
      </c>
      <c r="J439">
        <v>0</v>
      </c>
      <c r="K439">
        <v>0</v>
      </c>
    </row>
    <row r="440" spans="1:11" x14ac:dyDescent="0.25">
      <c r="A440" s="374">
        <v>46248</v>
      </c>
      <c r="C440" s="294"/>
      <c r="D440" s="294"/>
      <c r="I440">
        <v>0</v>
      </c>
      <c r="J440">
        <v>0</v>
      </c>
      <c r="K440">
        <v>0</v>
      </c>
    </row>
    <row r="441" spans="1:11" x14ac:dyDescent="0.25">
      <c r="A441" s="374">
        <v>46248</v>
      </c>
      <c r="C441" s="294"/>
      <c r="D441" s="294"/>
      <c r="I441">
        <v>0</v>
      </c>
      <c r="J441">
        <v>0</v>
      </c>
      <c r="K441">
        <v>0</v>
      </c>
    </row>
    <row r="442" spans="1:11" x14ac:dyDescent="0.25">
      <c r="A442" s="374">
        <v>46248</v>
      </c>
      <c r="C442" s="294"/>
      <c r="D442" s="294"/>
      <c r="I442">
        <v>0</v>
      </c>
      <c r="J442">
        <v>0</v>
      </c>
      <c r="K442">
        <v>0</v>
      </c>
    </row>
    <row r="443" spans="1:11" x14ac:dyDescent="0.25">
      <c r="A443" s="374">
        <v>46248</v>
      </c>
      <c r="C443" s="294"/>
      <c r="D443" s="294"/>
      <c r="I443">
        <v>0</v>
      </c>
      <c r="J443">
        <v>0</v>
      </c>
      <c r="K443">
        <v>0</v>
      </c>
    </row>
    <row r="444" spans="1:11" x14ac:dyDescent="0.25">
      <c r="A444" s="374">
        <v>46248</v>
      </c>
      <c r="C444" s="294"/>
      <c r="D444" s="294"/>
      <c r="I444">
        <v>0</v>
      </c>
      <c r="J444">
        <v>0</v>
      </c>
      <c r="K444">
        <v>0</v>
      </c>
    </row>
    <row r="445" spans="1:11" x14ac:dyDescent="0.25">
      <c r="A445" s="374">
        <v>46251</v>
      </c>
      <c r="B445" t="s">
        <v>9</v>
      </c>
      <c r="C445" s="294">
        <v>46260</v>
      </c>
      <c r="D445" s="294">
        <v>46295</v>
      </c>
      <c r="E445">
        <v>1.6639345397021801</v>
      </c>
      <c r="F445">
        <v>2.1934539702180178</v>
      </c>
      <c r="G445">
        <v>2.1934539702180178</v>
      </c>
      <c r="H445">
        <v>8.7738158808720712E-2</v>
      </c>
      <c r="I445">
        <v>1.1950192469410092</v>
      </c>
      <c r="J445">
        <v>-1.3001447182399817</v>
      </c>
      <c r="K445">
        <v>-1.5055398036139866</v>
      </c>
    </row>
    <row r="446" spans="1:11" x14ac:dyDescent="0.25">
      <c r="A446" s="374">
        <v>46251</v>
      </c>
      <c r="B446" t="s">
        <v>10</v>
      </c>
      <c r="C446" s="294">
        <v>46295</v>
      </c>
      <c r="D446" s="294">
        <v>46337</v>
      </c>
      <c r="E446">
        <v>1.76199480980392</v>
      </c>
      <c r="F446">
        <v>9.8060270101739899</v>
      </c>
      <c r="G446">
        <v>11.999480980392008</v>
      </c>
      <c r="H446">
        <v>0.47997923921568031</v>
      </c>
      <c r="I446">
        <v>0.20079325885800081</v>
      </c>
      <c r="J446">
        <v>-2.1000543707450081</v>
      </c>
      <c r="K446">
        <v>-9.2630252099823451E-4</v>
      </c>
    </row>
    <row r="447" spans="1:11" x14ac:dyDescent="0.25">
      <c r="A447" s="374">
        <v>46251</v>
      </c>
      <c r="B447" t="s">
        <v>12</v>
      </c>
      <c r="C447" s="294">
        <v>46337</v>
      </c>
      <c r="D447" s="294">
        <v>46379</v>
      </c>
      <c r="E447">
        <v>1.8379961073653699</v>
      </c>
      <c r="F447">
        <v>7.600129756144991</v>
      </c>
      <c r="G447">
        <v>19.599610736536999</v>
      </c>
      <c r="H447">
        <v>0.78398442946147995</v>
      </c>
      <c r="I447">
        <v>-1.7999530404250175</v>
      </c>
      <c r="J447">
        <v>-4.4999099924000197</v>
      </c>
      <c r="K447">
        <v>0.30044441766798879</v>
      </c>
    </row>
    <row r="448" spans="1:11" x14ac:dyDescent="0.25">
      <c r="A448" s="374">
        <v>46251</v>
      </c>
      <c r="B448" t="s">
        <v>13</v>
      </c>
      <c r="C448" s="294">
        <v>46379</v>
      </c>
      <c r="D448" s="294">
        <v>46421</v>
      </c>
      <c r="E448">
        <v>1.9031303312921499</v>
      </c>
      <c r="F448">
        <v>6.5134223926780033</v>
      </c>
      <c r="G448">
        <v>26.113033129215001</v>
      </c>
      <c r="H448">
        <v>1.0445213251686001</v>
      </c>
      <c r="I448">
        <v>-0.79778157229000168</v>
      </c>
      <c r="J448">
        <v>-2.3794505532210186</v>
      </c>
      <c r="K448">
        <v>-12.170932692556026</v>
      </c>
    </row>
    <row r="449" spans="1:11" x14ac:dyDescent="0.25">
      <c r="A449" s="374">
        <v>46251</v>
      </c>
      <c r="B449" t="s">
        <v>14</v>
      </c>
      <c r="C449" s="294">
        <v>46421</v>
      </c>
      <c r="D449" s="294">
        <v>46470</v>
      </c>
      <c r="E449">
        <v>1.95759945768612</v>
      </c>
      <c r="F449">
        <v>5.4469126393970058</v>
      </c>
      <c r="G449">
        <v>31.559945768612007</v>
      </c>
      <c r="H449">
        <v>1.2623978307444803</v>
      </c>
      <c r="I449">
        <v>-0.11140987254401047</v>
      </c>
      <c r="J449">
        <v>-1.0733327075290067</v>
      </c>
      <c r="K449">
        <v>-18.368055488701994</v>
      </c>
    </row>
    <row r="450" spans="1:11" x14ac:dyDescent="0.25">
      <c r="A450" s="374">
        <v>46251</v>
      </c>
      <c r="C450" s="294"/>
      <c r="D450" s="294"/>
      <c r="I450">
        <v>0</v>
      </c>
      <c r="J450">
        <v>0</v>
      </c>
      <c r="K450">
        <v>0</v>
      </c>
    </row>
    <row r="451" spans="1:11" x14ac:dyDescent="0.25">
      <c r="A451" s="374">
        <v>46251</v>
      </c>
      <c r="C451" s="294"/>
      <c r="D451" s="294"/>
      <c r="I451">
        <v>0</v>
      </c>
      <c r="J451">
        <v>0</v>
      </c>
      <c r="K451">
        <v>0</v>
      </c>
    </row>
    <row r="452" spans="1:11" x14ac:dyDescent="0.25">
      <c r="A452" s="374">
        <v>46251</v>
      </c>
      <c r="C452" s="294"/>
      <c r="D452" s="294"/>
      <c r="I452">
        <v>0</v>
      </c>
      <c r="J452">
        <v>0</v>
      </c>
      <c r="K452">
        <v>0</v>
      </c>
    </row>
    <row r="453" spans="1:11" x14ac:dyDescent="0.25">
      <c r="A453" s="374">
        <v>46251</v>
      </c>
      <c r="C453" s="294"/>
      <c r="D453" s="294"/>
      <c r="I453">
        <v>0</v>
      </c>
      <c r="J453">
        <v>0</v>
      </c>
      <c r="K453">
        <v>0</v>
      </c>
    </row>
    <row r="454" spans="1:11" x14ac:dyDescent="0.25">
      <c r="A454" s="374">
        <v>46251</v>
      </c>
      <c r="C454" s="294"/>
      <c r="D454" s="294"/>
      <c r="I454">
        <v>0</v>
      </c>
      <c r="J454">
        <v>0</v>
      </c>
      <c r="K454">
        <v>0</v>
      </c>
    </row>
    <row r="455" spans="1:11" x14ac:dyDescent="0.25">
      <c r="A455" s="374">
        <v>46251</v>
      </c>
      <c r="C455" s="294"/>
      <c r="D455" s="294"/>
      <c r="I455">
        <v>0</v>
      </c>
      <c r="J455">
        <v>0</v>
      </c>
      <c r="K455">
        <v>0</v>
      </c>
    </row>
    <row r="456" spans="1:11" x14ac:dyDescent="0.25">
      <c r="A456" s="374">
        <v>46251</v>
      </c>
      <c r="C456" s="294"/>
      <c r="D456" s="294"/>
      <c r="I456">
        <v>0</v>
      </c>
      <c r="J456">
        <v>0</v>
      </c>
      <c r="K456">
        <v>0</v>
      </c>
    </row>
    <row r="457" spans="1:11" x14ac:dyDescent="0.25">
      <c r="A457" s="374">
        <v>46252</v>
      </c>
      <c r="B457" t="s">
        <v>9</v>
      </c>
      <c r="C457" s="294">
        <v>46260</v>
      </c>
      <c r="D457" s="294">
        <v>46295</v>
      </c>
      <c r="E457">
        <v>1.6619380791665499</v>
      </c>
      <c r="F457">
        <v>2.0938079166549883</v>
      </c>
      <c r="G457">
        <v>2.0938079166549883</v>
      </c>
      <c r="H457">
        <v>8.3752316666199533E-2</v>
      </c>
      <c r="I457">
        <v>-0.19964605356301846</v>
      </c>
      <c r="J457">
        <v>-1.4821208370760175</v>
      </c>
      <c r="K457">
        <v>-1.5037863732760171</v>
      </c>
    </row>
    <row r="458" spans="1:11" x14ac:dyDescent="0.25">
      <c r="A458" s="374">
        <v>46252</v>
      </c>
      <c r="B458" t="s">
        <v>10</v>
      </c>
      <c r="C458" s="294">
        <v>46295</v>
      </c>
      <c r="D458" s="294">
        <v>46337</v>
      </c>
      <c r="E458">
        <v>1.7719876544985</v>
      </c>
      <c r="F458">
        <v>11.004957533195014</v>
      </c>
      <c r="G458">
        <v>13.098765449850003</v>
      </c>
      <c r="H458">
        <v>0.52395061799400011</v>
      </c>
      <c r="I458">
        <v>0.99928446945800609</v>
      </c>
      <c r="J458">
        <v>-0.69697889947100133</v>
      </c>
      <c r="K458">
        <v>-0.20167096191099354</v>
      </c>
    </row>
    <row r="459" spans="1:11" x14ac:dyDescent="0.25">
      <c r="A459" s="374">
        <v>46252</v>
      </c>
      <c r="B459" t="s">
        <v>12</v>
      </c>
      <c r="C459" s="294">
        <v>46337</v>
      </c>
      <c r="D459" s="294">
        <v>46379</v>
      </c>
      <c r="E459">
        <v>1.8539961785659</v>
      </c>
      <c r="F459">
        <v>8.200852406740001</v>
      </c>
      <c r="G459">
        <v>21.299617856590004</v>
      </c>
      <c r="H459">
        <v>0.85198471426360012</v>
      </c>
      <c r="I459">
        <v>1.6000071200530153</v>
      </c>
      <c r="J459">
        <v>-2.0999160385410054</v>
      </c>
      <c r="K459">
        <v>-0.69948385695000059</v>
      </c>
    </row>
    <row r="460" spans="1:11" x14ac:dyDescent="0.25">
      <c r="A460" s="374">
        <v>46252</v>
      </c>
      <c r="B460" t="s">
        <v>13</v>
      </c>
      <c r="C460" s="294">
        <v>46379</v>
      </c>
      <c r="D460" s="294">
        <v>46421</v>
      </c>
      <c r="E460">
        <v>1.9295206397862701</v>
      </c>
      <c r="F460">
        <v>7.5524461220370043</v>
      </c>
      <c r="G460">
        <v>28.852063978627008</v>
      </c>
      <c r="H460">
        <v>1.1540825591450803</v>
      </c>
      <c r="I460">
        <v>2.6390308494120163</v>
      </c>
      <c r="J460">
        <v>0.16319924019800869</v>
      </c>
      <c r="K460">
        <v>-41.200010749164996</v>
      </c>
    </row>
    <row r="461" spans="1:11" x14ac:dyDescent="0.25">
      <c r="A461" s="374">
        <v>46252</v>
      </c>
      <c r="B461" t="s">
        <v>14</v>
      </c>
      <c r="C461" s="294">
        <v>46421</v>
      </c>
      <c r="D461" s="294">
        <v>46470</v>
      </c>
      <c r="E461">
        <v>1.9914872764406799</v>
      </c>
      <c r="F461">
        <v>6.1966636654409823</v>
      </c>
      <c r="G461">
        <v>35.048727644067988</v>
      </c>
      <c r="H461">
        <v>1.4019491057627196</v>
      </c>
      <c r="I461">
        <v>3.3887818754559929</v>
      </c>
      <c r="J461">
        <v>1.7077139160569965</v>
      </c>
      <c r="K461">
        <v>-36.883187184292019</v>
      </c>
    </row>
    <row r="462" spans="1:11" x14ac:dyDescent="0.25">
      <c r="A462" s="374">
        <v>46252</v>
      </c>
      <c r="C462" s="294"/>
      <c r="D462" s="294"/>
      <c r="I462">
        <v>0</v>
      </c>
      <c r="J462">
        <v>0</v>
      </c>
      <c r="K462">
        <v>0</v>
      </c>
    </row>
    <row r="463" spans="1:11" x14ac:dyDescent="0.25">
      <c r="A463" s="374">
        <v>46252</v>
      </c>
      <c r="C463" s="294"/>
      <c r="D463" s="294"/>
      <c r="I463">
        <v>0</v>
      </c>
      <c r="J463">
        <v>0</v>
      </c>
      <c r="K463">
        <v>0</v>
      </c>
    </row>
    <row r="464" spans="1:11" x14ac:dyDescent="0.25">
      <c r="A464" s="374">
        <v>46252</v>
      </c>
      <c r="C464" s="294"/>
      <c r="D464" s="294"/>
      <c r="I464">
        <v>0</v>
      </c>
      <c r="J464">
        <v>0</v>
      </c>
      <c r="K464">
        <v>0</v>
      </c>
    </row>
    <row r="465" spans="1:11" x14ac:dyDescent="0.25">
      <c r="A465" s="374">
        <v>46252</v>
      </c>
      <c r="C465" s="294"/>
      <c r="D465" s="294"/>
      <c r="I465">
        <v>0</v>
      </c>
      <c r="J465">
        <v>0</v>
      </c>
      <c r="K465">
        <v>0</v>
      </c>
    </row>
    <row r="466" spans="1:11" x14ac:dyDescent="0.25">
      <c r="A466" s="374">
        <v>46252</v>
      </c>
      <c r="C466" s="294"/>
      <c r="D466" s="294"/>
      <c r="I466">
        <v>0</v>
      </c>
      <c r="J466">
        <v>0</v>
      </c>
      <c r="K466">
        <v>0</v>
      </c>
    </row>
    <row r="467" spans="1:11" x14ac:dyDescent="0.25">
      <c r="A467" s="374">
        <v>46252</v>
      </c>
      <c r="C467" s="294"/>
      <c r="D467" s="294"/>
      <c r="I467">
        <v>0</v>
      </c>
      <c r="J467">
        <v>0</v>
      </c>
      <c r="K467">
        <v>0</v>
      </c>
    </row>
    <row r="468" spans="1:11" x14ac:dyDescent="0.25">
      <c r="A468" s="374">
        <v>46252</v>
      </c>
      <c r="C468" s="294"/>
      <c r="D468" s="294"/>
      <c r="I468">
        <v>0</v>
      </c>
      <c r="J468">
        <v>0</v>
      </c>
      <c r="K468">
        <v>0</v>
      </c>
    </row>
    <row r="469" spans="1:11" x14ac:dyDescent="0.25">
      <c r="A469" s="374">
        <v>46253</v>
      </c>
      <c r="B469" t="s">
        <v>9</v>
      </c>
      <c r="C469" s="294">
        <v>46260</v>
      </c>
      <c r="D469" s="294">
        <v>46295</v>
      </c>
      <c r="E469">
        <v>1.6599244714274799</v>
      </c>
      <c r="F469">
        <v>1.6924471427479881</v>
      </c>
      <c r="G469">
        <v>1.6924471427479881</v>
      </c>
      <c r="H469">
        <v>6.7697885709919525E-2</v>
      </c>
      <c r="I469">
        <v>-0.20136077390700002</v>
      </c>
      <c r="J469">
        <v>-0.9925739914790066</v>
      </c>
      <c r="K469">
        <v>-1.9065466310840051</v>
      </c>
    </row>
    <row r="470" spans="1:11" x14ac:dyDescent="0.25">
      <c r="A470" s="374">
        <v>46253</v>
      </c>
      <c r="B470" t="s">
        <v>10</v>
      </c>
      <c r="C470" s="294">
        <v>46295</v>
      </c>
      <c r="D470" s="294">
        <v>46337</v>
      </c>
      <c r="E470">
        <v>1.76897168785654</v>
      </c>
      <c r="F470">
        <v>10.904721642906011</v>
      </c>
      <c r="G470">
        <v>12.597168785654</v>
      </c>
      <c r="H470">
        <v>0.50388675142616002</v>
      </c>
      <c r="I470">
        <v>-0.30159666419600217</v>
      </c>
      <c r="J470">
        <v>0.40003672877100271</v>
      </c>
      <c r="K470">
        <v>0.69676150274100568</v>
      </c>
    </row>
    <row r="471" spans="1:11" x14ac:dyDescent="0.25">
      <c r="A471" s="374">
        <v>46253</v>
      </c>
      <c r="B471" t="s">
        <v>12</v>
      </c>
      <c r="C471" s="294">
        <v>46337</v>
      </c>
      <c r="D471" s="294">
        <v>46379</v>
      </c>
      <c r="E471">
        <v>1.84699634314508</v>
      </c>
      <c r="F471">
        <v>7.8024655288539968</v>
      </c>
      <c r="G471">
        <v>20.399634314507999</v>
      </c>
      <c r="H471">
        <v>0.81598537258032</v>
      </c>
      <c r="I471">
        <v>-0.69998354208200553</v>
      </c>
      <c r="J471">
        <v>-0.79991810339399283</v>
      </c>
      <c r="K471">
        <v>1.2004679956389985</v>
      </c>
    </row>
    <row r="472" spans="1:11" x14ac:dyDescent="0.25">
      <c r="A472" s="374">
        <v>46253</v>
      </c>
      <c r="B472" t="s">
        <v>13</v>
      </c>
      <c r="C472" s="294">
        <v>46379</v>
      </c>
      <c r="D472" s="294">
        <v>46421</v>
      </c>
      <c r="E472">
        <v>1.93226339035579</v>
      </c>
      <c r="F472">
        <v>8.526704721070999</v>
      </c>
      <c r="G472">
        <v>28.926339035578998</v>
      </c>
      <c r="H472">
        <v>1.1570535614231598</v>
      </c>
      <c r="I472">
        <v>0.27427505695198917</v>
      </c>
      <c r="J472">
        <v>2.5497372839180077</v>
      </c>
      <c r="K472">
        <v>-9.2576267861920201</v>
      </c>
    </row>
    <row r="473" spans="1:11" x14ac:dyDescent="0.25">
      <c r="A473" s="374">
        <v>46253</v>
      </c>
      <c r="B473" t="s">
        <v>14</v>
      </c>
      <c r="C473" s="294">
        <v>46421</v>
      </c>
      <c r="D473" s="294">
        <v>46470</v>
      </c>
      <c r="E473">
        <v>2.0008388355693798</v>
      </c>
      <c r="F473">
        <v>6.8575445213589825</v>
      </c>
      <c r="G473">
        <v>35.78388355693798</v>
      </c>
      <c r="H473">
        <v>1.4313553422775191</v>
      </c>
      <c r="I473">
        <v>0.93515591286998934</v>
      </c>
      <c r="J473">
        <v>4.8483022740519743</v>
      </c>
      <c r="K473">
        <v>-14.044117700376013</v>
      </c>
    </row>
    <row r="474" spans="1:11" x14ac:dyDescent="0.25">
      <c r="A474" s="374">
        <v>46253</v>
      </c>
      <c r="C474" s="294"/>
      <c r="D474" s="294"/>
      <c r="I474">
        <v>0</v>
      </c>
      <c r="J474">
        <v>0</v>
      </c>
      <c r="K474">
        <v>0</v>
      </c>
    </row>
    <row r="475" spans="1:11" x14ac:dyDescent="0.25">
      <c r="A475" s="374">
        <v>46253</v>
      </c>
      <c r="C475" s="294"/>
      <c r="D475" s="294"/>
      <c r="I475">
        <v>0</v>
      </c>
      <c r="J475">
        <v>0</v>
      </c>
      <c r="K475">
        <v>0</v>
      </c>
    </row>
    <row r="476" spans="1:11" x14ac:dyDescent="0.25">
      <c r="A476" s="374">
        <v>46253</v>
      </c>
      <c r="C476" s="294"/>
      <c r="D476" s="294"/>
      <c r="I476">
        <v>0</v>
      </c>
      <c r="J476">
        <v>0</v>
      </c>
      <c r="K476">
        <v>0</v>
      </c>
    </row>
    <row r="477" spans="1:11" x14ac:dyDescent="0.25">
      <c r="A477" s="374">
        <v>46253</v>
      </c>
      <c r="C477" s="294"/>
      <c r="D477" s="294"/>
      <c r="I477">
        <v>0</v>
      </c>
      <c r="J477">
        <v>0</v>
      </c>
      <c r="K477">
        <v>0</v>
      </c>
    </row>
    <row r="478" spans="1:11" x14ac:dyDescent="0.25">
      <c r="A478" s="374">
        <v>46253</v>
      </c>
      <c r="C478" s="294"/>
      <c r="D478" s="294"/>
      <c r="I478">
        <v>0</v>
      </c>
      <c r="J478">
        <v>0</v>
      </c>
      <c r="K478">
        <v>0</v>
      </c>
    </row>
    <row r="479" spans="1:11" x14ac:dyDescent="0.25">
      <c r="A479" s="374">
        <v>46253</v>
      </c>
      <c r="C479" s="294"/>
      <c r="D479" s="294"/>
      <c r="I479">
        <v>0</v>
      </c>
      <c r="J479">
        <v>0</v>
      </c>
      <c r="K479">
        <v>0</v>
      </c>
    </row>
    <row r="480" spans="1:11" x14ac:dyDescent="0.25">
      <c r="A480" s="374">
        <v>46253</v>
      </c>
      <c r="C480" s="294"/>
      <c r="D480" s="294"/>
      <c r="I480">
        <v>0</v>
      </c>
      <c r="J480">
        <v>0</v>
      </c>
      <c r="K480">
        <v>0</v>
      </c>
    </row>
  </sheetData>
  <hyperlinks>
    <hyperlink ref="I1" r:id="rId1" display="https://www.worldsport.ge/ge/page/186696_realma-pogbas-damatebistvis-fexburteli-unda-gayidos?fbclid=IwAR1Q8_AuVjfuFyEqRQbAPIWQl1LwCJxT8yrAB4_5wAq_JUjGwmGboJ4jIZo" xr:uid="{BA63C290-AC27-4A41-82D7-3C165945C083}"/>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4F44A-8475-4D2C-8DBA-A333890A267D}">
  <sheetPr codeName="Sheet8"/>
  <dimension ref="A1:M50"/>
  <sheetViews>
    <sheetView zoomScaleNormal="100" workbookViewId="0">
      <selection activeCell="H32" sqref="H32"/>
    </sheetView>
  </sheetViews>
  <sheetFormatPr defaultRowHeight="15" x14ac:dyDescent="0.25"/>
  <cols>
    <col min="1" max="2" width="19.28515625" customWidth="1"/>
    <col min="3" max="6" width="12.7109375" customWidth="1"/>
    <col min="7" max="7" width="10.42578125" customWidth="1"/>
    <col min="8" max="8" width="19.28515625" customWidth="1"/>
    <col min="9" max="9" width="19.140625" style="156" customWidth="1"/>
    <col min="10" max="13" width="12.7109375" customWidth="1"/>
    <col min="15" max="17" width="11.7109375" customWidth="1"/>
  </cols>
  <sheetData>
    <row r="1" spans="1:13" x14ac:dyDescent="0.25">
      <c r="A1" s="171" t="s">
        <v>75</v>
      </c>
      <c r="B1" s="288"/>
      <c r="C1" s="164"/>
      <c r="D1" s="164"/>
      <c r="E1" s="164"/>
      <c r="F1" s="164"/>
      <c r="H1" s="171" t="s">
        <v>79</v>
      </c>
      <c r="I1" s="171"/>
      <c r="J1" s="166"/>
      <c r="K1" s="166"/>
      <c r="L1" s="164"/>
      <c r="M1" s="164"/>
    </row>
    <row r="2" spans="1:13" ht="15.75" x14ac:dyDescent="0.25">
      <c r="A2" s="157" t="s">
        <v>66</v>
      </c>
      <c r="B2" s="155" t="s">
        <v>67</v>
      </c>
      <c r="C2" s="164" t="s">
        <v>68</v>
      </c>
      <c r="D2" s="164" t="s">
        <v>69</v>
      </c>
      <c r="E2" s="164" t="s">
        <v>92</v>
      </c>
      <c r="F2" s="164" t="s">
        <v>74</v>
      </c>
      <c r="H2" s="157" t="s">
        <v>66</v>
      </c>
      <c r="I2" s="155" t="s">
        <v>67</v>
      </c>
      <c r="J2" s="164" t="s">
        <v>68</v>
      </c>
      <c r="K2" s="164" t="s">
        <v>69</v>
      </c>
      <c r="L2" s="164" t="s">
        <v>92</v>
      </c>
      <c r="M2" s="164" t="s">
        <v>73</v>
      </c>
    </row>
    <row r="3" spans="1:13" ht="15.75" x14ac:dyDescent="0.25">
      <c r="A3" s="264" t="str">
        <f>Current!F23</f>
        <v>#N/A Requesting Data...</v>
      </c>
      <c r="B3" s="158" t="str">
        <f>Current!G23</f>
        <v>#N/A Requesting Data...</v>
      </c>
      <c r="C3" s="164" t="str">
        <f>Current!H23</f>
        <v>#N/A Requesting Data...</v>
      </c>
      <c r="D3" s="164" t="e">
        <f t="shared" ref="D3:D9" si="0">C3-E3</f>
        <v>#VALUE!</v>
      </c>
      <c r="E3" s="164">
        <f>Current!L23/100</f>
        <v>3.4000000000000696E-3</v>
      </c>
      <c r="F3" s="164"/>
      <c r="H3" s="158" t="str">
        <f>Current!F40</f>
        <v>#N/A Requesting Data...</v>
      </c>
      <c r="I3" s="158" t="str">
        <f>Current!G40</f>
        <v>#N/A Requesting Data...</v>
      </c>
      <c r="J3" s="164" t="str">
        <f>Current!H40</f>
        <v>#N/A Requesting Data...</v>
      </c>
      <c r="K3" s="164" t="e">
        <f t="shared" ref="K3:K10" si="1">J3-L3</f>
        <v>#VALUE!</v>
      </c>
      <c r="L3" s="164">
        <f>Current!L40/100</f>
        <v>2.2000000000002018E-3</v>
      </c>
      <c r="M3" s="164"/>
    </row>
    <row r="4" spans="1:13" ht="15.75" x14ac:dyDescent="0.25">
      <c r="A4" s="264" t="str">
        <f>Current!F24</f>
        <v>#N/A Requesting Data...</v>
      </c>
      <c r="B4" s="158" t="str">
        <f>Current!G24</f>
        <v>#N/A Requesting Data...</v>
      </c>
      <c r="C4" s="164" t="str">
        <f>Current!H24</f>
        <v>#N/A Requesting Data...</v>
      </c>
      <c r="D4" s="164" t="e">
        <f t="shared" si="0"/>
        <v>#VALUE!</v>
      </c>
      <c r="E4" s="164">
        <f>Current!L24/100</f>
        <v>1.4000000000002899E-3</v>
      </c>
      <c r="F4" s="164" t="e">
        <f t="shared" ref="F4:F9" si="2">C4-C3</f>
        <v>#VALUE!</v>
      </c>
      <c r="H4" s="158" t="str">
        <f>Current!F41</f>
        <v>#N/A Requesting Data...</v>
      </c>
      <c r="I4" s="158" t="str">
        <f>Current!G41</f>
        <v>#N/A Requesting Data...</v>
      </c>
      <c r="J4" s="164" t="str">
        <f>Current!H41</f>
        <v>#N/A Requesting Data...</v>
      </c>
      <c r="K4" s="164" t="e">
        <f t="shared" si="1"/>
        <v>#VALUE!</v>
      </c>
      <c r="L4" s="164">
        <f>Current!L41/100</f>
        <v>5.5000000000000604E-3</v>
      </c>
      <c r="M4" s="164" t="e">
        <f>J4-J3</f>
        <v>#VALUE!</v>
      </c>
    </row>
    <row r="5" spans="1:13" ht="15.75" x14ac:dyDescent="0.25">
      <c r="A5" s="264" t="str">
        <f>Current!F25</f>
        <v>#N/A Requesting Data...</v>
      </c>
      <c r="B5" s="158" t="str">
        <f>Current!G25</f>
        <v>#N/A Requesting Data...</v>
      </c>
      <c r="C5" s="164" t="str">
        <f>Current!H25</f>
        <v>#N/A Requesting Data...</v>
      </c>
      <c r="D5" s="164" t="e">
        <f t="shared" si="0"/>
        <v>#VALUE!</v>
      </c>
      <c r="E5" s="164">
        <f>Current!L25/100</f>
        <v>4.9999999999998934E-3</v>
      </c>
      <c r="F5" s="164" t="e">
        <f t="shared" si="2"/>
        <v>#VALUE!</v>
      </c>
      <c r="H5" s="158" t="str">
        <f>Current!F42</f>
        <v>#N/A Requesting Data...</v>
      </c>
      <c r="I5" s="158" t="str">
        <f>Current!G42</f>
        <v>#N/A Requesting Data...</v>
      </c>
      <c r="J5" s="164" t="str">
        <f>Current!H42</f>
        <v>#N/A Requesting Data...</v>
      </c>
      <c r="K5" s="164" t="e">
        <f t="shared" si="1"/>
        <v>#VALUE!</v>
      </c>
      <c r="L5" s="164">
        <f>Current!L42/100</f>
        <v>5.7000000000000384E-3</v>
      </c>
      <c r="M5" s="164" t="e">
        <f t="shared" ref="M5:M10" si="3">J5-J4</f>
        <v>#VALUE!</v>
      </c>
    </row>
    <row r="6" spans="1:13" ht="15.75" x14ac:dyDescent="0.25">
      <c r="A6" s="264" t="str">
        <f>Current!F26</f>
        <v>#N/A Requesting Data...</v>
      </c>
      <c r="B6" s="158" t="str">
        <f>Current!G26</f>
        <v>#N/A Requesting Data...</v>
      </c>
      <c r="C6" s="164" t="str">
        <f>Current!H26</f>
        <v>#N/A Requesting Data...</v>
      </c>
      <c r="D6" s="164" t="e">
        <f t="shared" si="0"/>
        <v>#VALUE!</v>
      </c>
      <c r="E6" s="164">
        <f>Current!L26/100</f>
        <v>8.799999999999919E-3</v>
      </c>
      <c r="F6" s="164" t="e">
        <f t="shared" si="2"/>
        <v>#VALUE!</v>
      </c>
      <c r="H6" s="158" t="str">
        <f>Current!F43</f>
        <v>#N/A Requesting Data...</v>
      </c>
      <c r="I6" s="158" t="str">
        <f>Current!G43</f>
        <v>#N/A Requesting Data...</v>
      </c>
      <c r="J6" s="164" t="str">
        <f>Current!H43</f>
        <v>#N/A Requesting Data...</v>
      </c>
      <c r="K6" s="164" t="e">
        <f t="shared" si="1"/>
        <v>#VALUE!</v>
      </c>
      <c r="L6" s="164">
        <f>Current!L43/100</f>
        <v>6.6000000000001613E-3</v>
      </c>
      <c r="M6" s="164" t="e">
        <f t="shared" si="3"/>
        <v>#VALUE!</v>
      </c>
    </row>
    <row r="7" spans="1:13" ht="15.75" x14ac:dyDescent="0.25">
      <c r="A7" s="264" t="str">
        <f>Current!F27</f>
        <v>#N/A Requesting Data...</v>
      </c>
      <c r="B7" s="158" t="str">
        <f>Current!G27</f>
        <v>#N/A Requesting Data...</v>
      </c>
      <c r="C7" s="164" t="str">
        <f>Current!H27</f>
        <v>#N/A Requesting Data...</v>
      </c>
      <c r="D7" s="164" t="e">
        <f t="shared" si="0"/>
        <v>#VALUE!</v>
      </c>
      <c r="E7" s="164">
        <f>Current!L27/100</f>
        <v>1.2500000000000178E-2</v>
      </c>
      <c r="F7" s="164" t="e">
        <f t="shared" si="2"/>
        <v>#VALUE!</v>
      </c>
      <c r="H7" s="158" t="str">
        <f>Current!F44</f>
        <v>#N/A Requesting Data...</v>
      </c>
      <c r="I7" s="158" t="str">
        <f>Current!G44</f>
        <v>#N/A Requesting Data...</v>
      </c>
      <c r="J7" s="164" t="str">
        <f>Current!H44</f>
        <v>#N/A Requesting Data...</v>
      </c>
      <c r="K7" s="164" t="e">
        <f t="shared" si="1"/>
        <v>#VALUE!</v>
      </c>
      <c r="L7" s="164">
        <f>Current!L44/100</f>
        <v>1.0499999999999954E-2</v>
      </c>
      <c r="M7" s="164" t="e">
        <f t="shared" si="3"/>
        <v>#VALUE!</v>
      </c>
    </row>
    <row r="8" spans="1:13" ht="15.75" x14ac:dyDescent="0.25">
      <c r="A8" s="264" t="str">
        <f>Current!F28</f>
        <v>#N/A Requesting Data...</v>
      </c>
      <c r="B8" s="158" t="str">
        <f>Current!G28</f>
        <v>#N/A Requesting Data...</v>
      </c>
      <c r="C8" s="164" t="str">
        <f>Current!H28</f>
        <v>#N/A Requesting Data...</v>
      </c>
      <c r="D8" s="164" t="e">
        <f t="shared" si="0"/>
        <v>#VALUE!</v>
      </c>
      <c r="E8" s="164">
        <f>Current!L28/100</f>
        <v>1.7999999999999794E-2</v>
      </c>
      <c r="F8" s="164" t="e">
        <f t="shared" si="2"/>
        <v>#VALUE!</v>
      </c>
      <c r="H8" s="158" t="str">
        <f>Current!F45</f>
        <v>#N/A Requesting Data...</v>
      </c>
      <c r="I8" s="158" t="str">
        <f>Current!G45</f>
        <v>#N/A Requesting Data...</v>
      </c>
      <c r="J8" s="164" t="str">
        <f>Current!H45</f>
        <v>#N/A Requesting Data...</v>
      </c>
      <c r="K8" s="164" t="e">
        <f t="shared" si="1"/>
        <v>#VALUE!</v>
      </c>
      <c r="L8" s="164">
        <f>Current!L45/100</f>
        <v>1.6899999999999693E-2</v>
      </c>
      <c r="M8" s="164" t="e">
        <f t="shared" si="3"/>
        <v>#VALUE!</v>
      </c>
    </row>
    <row r="9" spans="1:13" ht="15.75" x14ac:dyDescent="0.25">
      <c r="A9" s="264" t="str">
        <f>Current!F29</f>
        <v>#N/A Requesting Data...</v>
      </c>
      <c r="B9" s="158" t="str">
        <f>Current!G29</f>
        <v>#N/A Requesting Data...</v>
      </c>
      <c r="C9" s="164" t="str">
        <f>Current!H29</f>
        <v>#N/A Requesting Data...</v>
      </c>
      <c r="D9" s="164" t="e">
        <f t="shared" si="0"/>
        <v>#VALUE!</v>
      </c>
      <c r="E9" s="164">
        <f>Current!L29/100</f>
        <v>1.8900000000000361E-2</v>
      </c>
      <c r="F9" s="164" t="e">
        <f t="shared" si="2"/>
        <v>#VALUE!</v>
      </c>
      <c r="H9" s="158" t="str">
        <f>Current!F46</f>
        <v>#N/A Requesting Data...</v>
      </c>
      <c r="I9" s="158" t="str">
        <f>Current!G46</f>
        <v>#N/A Requesting Data...</v>
      </c>
      <c r="J9" s="164" t="str">
        <f>Current!H46</f>
        <v>#N/A Requesting Data...</v>
      </c>
      <c r="K9" s="164" t="e">
        <f t="shared" si="1"/>
        <v>#VALUE!</v>
      </c>
      <c r="L9" s="164">
        <f>Current!L46/100</f>
        <v>2.2999999999999687E-2</v>
      </c>
      <c r="M9" s="164" t="e">
        <f t="shared" si="3"/>
        <v>#VALUE!</v>
      </c>
    </row>
    <row r="10" spans="1:13" ht="15.75" x14ac:dyDescent="0.25">
      <c r="A10" s="264"/>
      <c r="B10" s="158"/>
      <c r="C10" s="164"/>
      <c r="D10" s="164"/>
      <c r="E10" s="164"/>
      <c r="F10" s="164"/>
      <c r="H10" s="158" t="str">
        <f>Current!F47</f>
        <v>#N/A Requesting Data...</v>
      </c>
      <c r="I10" s="158" t="str">
        <f>Current!G47</f>
        <v>#N/A Requesting Data...</v>
      </c>
      <c r="J10" s="164" t="str">
        <f>Current!H47</f>
        <v>#N/A Requesting Data...</v>
      </c>
      <c r="K10" s="164" t="e">
        <f t="shared" si="1"/>
        <v>#VALUE!</v>
      </c>
      <c r="L10" s="164">
        <f>Current!L47/100</f>
        <v>2.4000000000000021E-2</v>
      </c>
      <c r="M10" s="164" t="e">
        <f t="shared" si="3"/>
        <v>#VALUE!</v>
      </c>
    </row>
    <row r="11" spans="1:13" ht="15.75" x14ac:dyDescent="0.25">
      <c r="A11" s="264"/>
      <c r="B11" s="158"/>
      <c r="C11" s="164"/>
      <c r="D11" s="164"/>
      <c r="E11" s="164"/>
      <c r="F11" s="164"/>
      <c r="H11" s="158"/>
      <c r="I11" s="158"/>
      <c r="J11" s="164"/>
      <c r="K11" s="164"/>
      <c r="L11" s="164"/>
      <c r="M11" s="164"/>
    </row>
    <row r="12" spans="1:13" ht="18" customHeight="1" x14ac:dyDescent="0.25">
      <c r="A12" s="264"/>
      <c r="B12" s="158"/>
      <c r="C12" s="164"/>
      <c r="D12" s="164"/>
      <c r="E12" s="164"/>
      <c r="F12" s="164"/>
      <c r="H12" s="171" t="s">
        <v>80</v>
      </c>
      <c r="I12" s="171"/>
      <c r="J12" s="164"/>
      <c r="K12" s="164"/>
      <c r="L12" s="164"/>
      <c r="M12" s="164"/>
    </row>
    <row r="13" spans="1:13" ht="15.75" x14ac:dyDescent="0.25">
      <c r="A13" s="171" t="s">
        <v>76</v>
      </c>
      <c r="B13" s="288"/>
      <c r="C13" s="164"/>
      <c r="D13" s="164"/>
      <c r="E13" s="164"/>
      <c r="F13" s="164"/>
      <c r="H13" s="157" t="s">
        <v>66</v>
      </c>
      <c r="I13" s="155" t="s">
        <v>67</v>
      </c>
      <c r="J13" s="164" t="s">
        <v>68</v>
      </c>
      <c r="K13" s="164" t="s">
        <v>69</v>
      </c>
      <c r="L13" s="164" t="s">
        <v>92</v>
      </c>
      <c r="M13" s="164" t="s">
        <v>73</v>
      </c>
    </row>
    <row r="14" spans="1:13" ht="15.75" x14ac:dyDescent="0.25">
      <c r="A14" s="157" t="s">
        <v>66</v>
      </c>
      <c r="B14" s="155" t="s">
        <v>67</v>
      </c>
      <c r="C14" s="164" t="s">
        <v>68</v>
      </c>
      <c r="D14" s="164" t="s">
        <v>69</v>
      </c>
      <c r="E14" s="164" t="s">
        <v>92</v>
      </c>
      <c r="F14" s="164" t="s">
        <v>73</v>
      </c>
      <c r="H14" s="158" t="str">
        <f>Current!V40</f>
        <v>#N/A Requesting Data...</v>
      </c>
      <c r="I14" s="158" t="str">
        <f>Current!W40</f>
        <v>#N/A Requesting Data...</v>
      </c>
      <c r="J14" s="164" t="str">
        <f>Current!X40</f>
        <v>#N/A Requesting Data...</v>
      </c>
      <c r="K14" s="164" t="e">
        <f t="shared" ref="K14:K20" si="4">J14-L14</f>
        <v>#VALUE!</v>
      </c>
      <c r="L14" s="164">
        <f>Current!AB40/100</f>
        <v>-2.4999999999999467E-3</v>
      </c>
      <c r="M14" s="164"/>
    </row>
    <row r="15" spans="1:13" ht="15.75" x14ac:dyDescent="0.25">
      <c r="A15" s="158" t="str">
        <f>Current!V23</f>
        <v>#N/A Requesting Data...</v>
      </c>
      <c r="B15" s="158" t="str">
        <f>Current!W23</f>
        <v>#N/A Requesting Data...</v>
      </c>
      <c r="C15" s="164" t="str">
        <f>Current!X23</f>
        <v>#N/A Requesting Data...</v>
      </c>
      <c r="D15" s="164" t="e">
        <f>C15-E15</f>
        <v>#VALUE!</v>
      </c>
      <c r="E15" s="164">
        <f>Current!AB23/100</f>
        <v>-1.6439999999999788E-2</v>
      </c>
      <c r="F15" s="164"/>
      <c r="H15" s="158" t="str">
        <f>Current!V41</f>
        <v>#N/A Requesting Data...</v>
      </c>
      <c r="I15" s="158" t="str">
        <f>Current!W41</f>
        <v>#N/A Requesting Data...</v>
      </c>
      <c r="J15" s="164" t="str">
        <f>Current!X41</f>
        <v>#N/A Requesting Data...</v>
      </c>
      <c r="K15" s="164" t="e">
        <f t="shared" si="4"/>
        <v>#VALUE!</v>
      </c>
      <c r="L15" s="164">
        <f>Current!AB41/100</f>
        <v>-2.4999999999999467E-3</v>
      </c>
      <c r="M15" s="164" t="e">
        <f t="shared" ref="M15:M20" si="5">J15-J14</f>
        <v>#VALUE!</v>
      </c>
    </row>
    <row r="16" spans="1:13" ht="15.75" x14ac:dyDescent="0.25">
      <c r="A16" s="158" t="str">
        <f>Current!V24</f>
        <v>#N/A Requesting Data...</v>
      </c>
      <c r="B16" s="158" t="str">
        <f>Current!W24</f>
        <v>#N/A Requesting Data...</v>
      </c>
      <c r="C16" s="164" t="str">
        <f>Current!X24</f>
        <v>#N/A Requesting Data...</v>
      </c>
      <c r="D16" s="164" t="e">
        <f t="shared" ref="D16:D22" si="6">C16-E16</f>
        <v>#VALUE!</v>
      </c>
      <c r="E16" s="164">
        <f>Current!AB24/100</f>
        <v>-2.1090000000000053E-2</v>
      </c>
      <c r="F16" s="164" t="e">
        <f t="shared" ref="F16:F22" si="7">C16-C15</f>
        <v>#VALUE!</v>
      </c>
      <c r="H16" s="158" t="str">
        <f>Current!V42</f>
        <v>#N/A Requesting Data...</v>
      </c>
      <c r="I16" s="158" t="str">
        <f>Current!W42</f>
        <v>#N/A Requesting Data...</v>
      </c>
      <c r="J16" s="164" t="str">
        <f>Current!X42</f>
        <v>#N/A Requesting Data...</v>
      </c>
      <c r="K16" s="164" t="e">
        <f t="shared" si="4"/>
        <v>#VALUE!</v>
      </c>
      <c r="L16" s="164">
        <f>Current!AB42/100</f>
        <v>2.4999999999999467E-3</v>
      </c>
      <c r="M16" s="164" t="e">
        <f t="shared" si="5"/>
        <v>#VALUE!</v>
      </c>
    </row>
    <row r="17" spans="1:13" ht="15.75" x14ac:dyDescent="0.25">
      <c r="A17" s="158" t="str">
        <f>Current!V25</f>
        <v>#N/A Requesting Data...</v>
      </c>
      <c r="B17" s="158" t="str">
        <f>Current!W25</f>
        <v>#N/A Requesting Data...</v>
      </c>
      <c r="C17" s="164" t="str">
        <f>Current!X25</f>
        <v>#N/A Requesting Data...</v>
      </c>
      <c r="D17" s="164" t="e">
        <f t="shared" si="6"/>
        <v>#VALUE!</v>
      </c>
      <c r="E17" s="164">
        <f>Current!AB25/100</f>
        <v>-1.9619999999999749E-2</v>
      </c>
      <c r="F17" s="164" t="e">
        <f>C17-C16</f>
        <v>#VALUE!</v>
      </c>
      <c r="H17" s="158" t="str">
        <f>Current!V43</f>
        <v>#N/A Requesting Data...</v>
      </c>
      <c r="I17" s="158" t="str">
        <f>Current!W43</f>
        <v>#N/A Requesting Data...</v>
      </c>
      <c r="J17" s="164" t="str">
        <f>Current!X43</f>
        <v>#N/A Requesting Data...</v>
      </c>
      <c r="K17" s="164" t="e">
        <f>J17-L17</f>
        <v>#VALUE!</v>
      </c>
      <c r="L17" s="164">
        <f>Current!AB43/100</f>
        <v>7.5000000000002842E-3</v>
      </c>
      <c r="M17" s="164" t="e">
        <f t="shared" si="5"/>
        <v>#VALUE!</v>
      </c>
    </row>
    <row r="18" spans="1:13" ht="15.75" x14ac:dyDescent="0.25">
      <c r="A18" s="158" t="str">
        <f>Current!V26</f>
        <v>#N/A Requesting Data...</v>
      </c>
      <c r="B18" s="158" t="str">
        <f>Current!W26</f>
        <v>#N/A Requesting Data...</v>
      </c>
      <c r="C18" s="164" t="str">
        <f>Current!X26</f>
        <v>#N/A Requesting Data...</v>
      </c>
      <c r="D18" s="164" t="e">
        <f t="shared" si="6"/>
        <v>#VALUE!</v>
      </c>
      <c r="E18" s="164">
        <f>Current!AB26/100</f>
        <v>-1.3340000000000352E-2</v>
      </c>
      <c r="F18" s="164" t="e">
        <f t="shared" si="7"/>
        <v>#VALUE!</v>
      </c>
      <c r="H18" s="158" t="str">
        <f>Current!V44</f>
        <v>#N/A Requesting Data...</v>
      </c>
      <c r="I18" s="158" t="str">
        <f>Current!W44</f>
        <v>#N/A Requesting Data...</v>
      </c>
      <c r="J18" s="164" t="str">
        <f>Current!X44</f>
        <v>#N/A Requesting Data...</v>
      </c>
      <c r="K18" s="164" t="e">
        <f t="shared" si="4"/>
        <v>#VALUE!</v>
      </c>
      <c r="L18" s="164">
        <f>Current!AB44/100</f>
        <v>9.9999999999997868E-3</v>
      </c>
      <c r="M18" s="164" t="e">
        <f t="shared" si="5"/>
        <v>#VALUE!</v>
      </c>
    </row>
    <row r="19" spans="1:13" ht="15.75" x14ac:dyDescent="0.25">
      <c r="A19" s="158" t="str">
        <f>Current!V27</f>
        <v>#N/A Requesting Data...</v>
      </c>
      <c r="B19" s="158" t="str">
        <f>Current!W27</f>
        <v>#N/A Requesting Data...</v>
      </c>
      <c r="C19" s="164" t="str">
        <f>Current!X27</f>
        <v>#N/A Requesting Data...</v>
      </c>
      <c r="D19" s="164" t="e">
        <f t="shared" si="6"/>
        <v>#VALUE!</v>
      </c>
      <c r="E19" s="164">
        <f>Current!AB27/100</f>
        <v>-1.2670000000000847E-2</v>
      </c>
      <c r="F19" s="164" t="e">
        <f t="shared" si="7"/>
        <v>#VALUE!</v>
      </c>
      <c r="H19" s="158" t="str">
        <f>Current!V45</f>
        <v>#N/A Requesting Data...</v>
      </c>
      <c r="I19" s="158" t="str">
        <f>Current!W45</f>
        <v>#N/A Requesting Data...</v>
      </c>
      <c r="J19" s="164" t="str">
        <f>Current!X45</f>
        <v>#N/A Requesting Data...</v>
      </c>
      <c r="K19" s="164" t="e">
        <f t="shared" si="4"/>
        <v>#VALUE!</v>
      </c>
      <c r="L19" s="164">
        <f>Current!AB45/100</f>
        <v>1.2500000000000178E-2</v>
      </c>
      <c r="M19" s="164" t="e">
        <f>J19-J18</f>
        <v>#VALUE!</v>
      </c>
    </row>
    <row r="20" spans="1:13" ht="15.75" x14ac:dyDescent="0.25">
      <c r="A20" s="158" t="str">
        <f>Current!V28</f>
        <v>#N/A Requesting Data...</v>
      </c>
      <c r="B20" s="158" t="str">
        <f>Current!W28</f>
        <v>#N/A Requesting Data...</v>
      </c>
      <c r="C20" s="164" t="str">
        <f>Current!X28</f>
        <v>#N/A Requesting Data...</v>
      </c>
      <c r="D20" s="164" t="e">
        <f t="shared" si="6"/>
        <v>#VALUE!</v>
      </c>
      <c r="E20" s="164">
        <f>Current!AB28/100</f>
        <v>-9.8700000000002674E-3</v>
      </c>
      <c r="F20" s="164" t="e">
        <f t="shared" si="7"/>
        <v>#VALUE!</v>
      </c>
      <c r="H20" s="158" t="str">
        <f>Current!V46</f>
        <v>#N/A Requesting Data...</v>
      </c>
      <c r="I20" s="158" t="str">
        <f>Current!W46</f>
        <v>#N/A Requesting Data...</v>
      </c>
      <c r="J20" s="164" t="str">
        <f>Current!X46</f>
        <v>#N/A Requesting Data...</v>
      </c>
      <c r="K20" s="164" t="e">
        <f t="shared" si="4"/>
        <v>#VALUE!</v>
      </c>
      <c r="L20" s="164">
        <f>Current!AB46/100</f>
        <v>1.2500000000000178E-2</v>
      </c>
      <c r="M20" s="164" t="e">
        <f t="shared" si="5"/>
        <v>#VALUE!</v>
      </c>
    </row>
    <row r="21" spans="1:13" ht="15.75" x14ac:dyDescent="0.25">
      <c r="A21" s="158" t="str">
        <f>Current!V29</f>
        <v>#N/A Requesting Data...</v>
      </c>
      <c r="B21" s="158" t="str">
        <f>Current!W29</f>
        <v>#N/A Requesting Data...</v>
      </c>
      <c r="C21" s="164" t="str">
        <f>Current!X29</f>
        <v>#N/A Requesting Data...</v>
      </c>
      <c r="D21" s="164" t="e">
        <f t="shared" si="6"/>
        <v>#VALUE!</v>
      </c>
      <c r="E21" s="164">
        <f>Current!AB29/100</f>
        <v>-7.5599999999997891E-3</v>
      </c>
      <c r="F21" s="164" t="e">
        <f t="shared" si="7"/>
        <v>#VALUE!</v>
      </c>
      <c r="H21" s="158"/>
      <c r="I21" s="158"/>
      <c r="J21" s="164"/>
      <c r="K21" s="164"/>
      <c r="L21" s="164"/>
      <c r="M21" s="164"/>
    </row>
    <row r="22" spans="1:13" ht="15.75" x14ac:dyDescent="0.25">
      <c r="A22" s="158" t="str">
        <f>Current!V30</f>
        <v>#N/A Requesting Data...</v>
      </c>
      <c r="B22" s="158" t="str">
        <f>Current!W30</f>
        <v>#N/A Requesting Data...</v>
      </c>
      <c r="C22" s="164" t="str">
        <f>Current!X30</f>
        <v>#N/A Requesting Data...</v>
      </c>
      <c r="D22" s="164" t="e">
        <f t="shared" si="6"/>
        <v>#VALUE!</v>
      </c>
      <c r="E22" s="164">
        <f>Current!AB30/100</f>
        <v>-5.1399999999999224E-3</v>
      </c>
      <c r="F22" s="164" t="e">
        <f t="shared" si="7"/>
        <v>#VALUE!</v>
      </c>
      <c r="H22" s="171"/>
      <c r="I22" s="171"/>
      <c r="J22" s="164"/>
      <c r="K22" s="164"/>
      <c r="L22" s="164"/>
      <c r="M22" s="164"/>
    </row>
    <row r="23" spans="1:13" ht="15.75" x14ac:dyDescent="0.25">
      <c r="A23" s="158"/>
      <c r="B23" s="158"/>
      <c r="C23" s="164"/>
      <c r="D23" s="164"/>
      <c r="E23" s="164"/>
      <c r="F23" s="164"/>
      <c r="H23" s="171" t="s">
        <v>189</v>
      </c>
      <c r="I23" s="171"/>
      <c r="J23" s="164"/>
      <c r="K23" s="164"/>
      <c r="L23" s="164"/>
      <c r="M23" s="164"/>
    </row>
    <row r="24" spans="1:13" ht="15.75" hidden="1" x14ac:dyDescent="0.25">
      <c r="A24" s="158"/>
      <c r="B24" s="158"/>
      <c r="C24" s="164"/>
      <c r="D24" s="164"/>
      <c r="E24" s="164"/>
      <c r="F24" s="164"/>
      <c r="H24" s="157" t="s">
        <v>66</v>
      </c>
      <c r="I24" s="155" t="s">
        <v>67</v>
      </c>
      <c r="J24" s="164" t="s">
        <v>68</v>
      </c>
      <c r="K24" s="164" t="s">
        <v>69</v>
      </c>
      <c r="L24" s="164" t="s">
        <v>92</v>
      </c>
      <c r="M24" s="164" t="s">
        <v>73</v>
      </c>
    </row>
    <row r="25" spans="1:13" ht="15.75" hidden="1" customHeight="1" x14ac:dyDescent="0.25">
      <c r="A25" s="158"/>
      <c r="B25" s="158"/>
      <c r="C25" s="164"/>
      <c r="D25" s="164"/>
      <c r="E25" s="164"/>
      <c r="F25" s="164"/>
      <c r="I25"/>
    </row>
    <row r="26" spans="1:13" ht="15.75" x14ac:dyDescent="0.25">
      <c r="A26" s="171" t="s">
        <v>77</v>
      </c>
      <c r="B26" s="171"/>
      <c r="C26" s="164"/>
      <c r="D26" s="164"/>
      <c r="E26" s="164"/>
      <c r="F26" s="164"/>
      <c r="H26" s="157" t="s">
        <v>66</v>
      </c>
      <c r="I26" s="155" t="s">
        <v>67</v>
      </c>
      <c r="J26" s="164" t="s">
        <v>68</v>
      </c>
      <c r="K26" s="164" t="s">
        <v>69</v>
      </c>
      <c r="L26" s="164" t="s">
        <v>92</v>
      </c>
      <c r="M26" s="164" t="s">
        <v>73</v>
      </c>
    </row>
    <row r="27" spans="1:13" ht="15.75" x14ac:dyDescent="0.25">
      <c r="A27" s="157" t="s">
        <v>66</v>
      </c>
      <c r="B27" s="155" t="s">
        <v>67</v>
      </c>
      <c r="C27" s="164" t="s">
        <v>68</v>
      </c>
      <c r="D27" s="164" t="s">
        <v>69</v>
      </c>
      <c r="E27" s="164" t="s">
        <v>92</v>
      </c>
      <c r="F27" s="164" t="s">
        <v>73</v>
      </c>
      <c r="H27" s="158" t="str">
        <f>Current!V57</f>
        <v>#N/A Requesting Data...</v>
      </c>
      <c r="I27" s="158" t="str">
        <f>Current!W57</f>
        <v>#N/A Requesting Data...</v>
      </c>
      <c r="J27" s="164" t="str">
        <f>Current!X57</f>
        <v>#N/A Requesting Data...</v>
      </c>
      <c r="K27" s="164" t="e">
        <f>J27-L27</f>
        <v>#VALUE!</v>
      </c>
      <c r="L27" s="164">
        <f>Current!AB57/100</f>
        <v>-6.2499999999998668E-3</v>
      </c>
      <c r="M27" s="403"/>
    </row>
    <row r="28" spans="1:13" ht="15.75" x14ac:dyDescent="0.25">
      <c r="A28" s="158" t="str">
        <f>Current!F7</f>
        <v>#N/A Requesting Data...</v>
      </c>
      <c r="B28" s="158" t="str">
        <f>Current!G7</f>
        <v>#N/A Requesting Data...</v>
      </c>
      <c r="C28" s="164" t="str">
        <f ca="1">Current!H7</f>
        <v>#N/A Requesting Data...</v>
      </c>
      <c r="D28" s="164" t="e">
        <f t="shared" ref="D28:D34" ca="1" si="8">C28-E28</f>
        <v>#VALUE!</v>
      </c>
      <c r="E28" s="164">
        <f>IFERROR(Current!L7/100,0)</f>
        <v>-1.000000000000334E-3</v>
      </c>
      <c r="F28" s="164"/>
      <c r="H28" s="158" t="str">
        <f>Current!V58</f>
        <v>#N/A Requesting Data...</v>
      </c>
      <c r="I28" s="158" t="str">
        <f>Current!W58</f>
        <v>#N/A Requesting Data...</v>
      </c>
      <c r="J28" s="164" t="str">
        <f>Current!X58</f>
        <v>#N/A Requesting Data...</v>
      </c>
      <c r="K28" s="164" t="e">
        <f t="shared" ref="K28:K31" si="9">J28-L28</f>
        <v>#VALUE!</v>
      </c>
      <c r="L28" s="164">
        <f>Current!AB58/100</f>
        <v>-3.7499999999999201E-3</v>
      </c>
      <c r="M28" s="404" t="e">
        <f>J28-J27</f>
        <v>#VALUE!</v>
      </c>
    </row>
    <row r="29" spans="1:13" ht="15.75" x14ac:dyDescent="0.25">
      <c r="A29" s="158" t="str">
        <f>Current!F8</f>
        <v>#N/A Requesting Data...</v>
      </c>
      <c r="B29" s="158" t="str">
        <f>Current!G8</f>
        <v>#N/A Requesting Data...</v>
      </c>
      <c r="C29" s="164" t="str">
        <f ca="1">Current!H8</f>
        <v>#N/A Requesting Data...</v>
      </c>
      <c r="D29" s="164" t="e">
        <f t="shared" ca="1" si="8"/>
        <v>#VALUE!</v>
      </c>
      <c r="E29" s="164">
        <f>IFERROR(Current!L8/100,0)</f>
        <v>-1.000000000000334E-3</v>
      </c>
      <c r="F29" s="164" t="e">
        <f t="shared" ref="F29:F34" ca="1" si="10">C29-C28</f>
        <v>#VALUE!</v>
      </c>
      <c r="H29" s="158" t="str">
        <f>Current!V59</f>
        <v>#N/A Requesting Data...</v>
      </c>
      <c r="I29" s="158" t="str">
        <f>Current!W59</f>
        <v>#N/A Requesting Data...</v>
      </c>
      <c r="J29" s="164" t="str">
        <f>Current!X59</f>
        <v>#N/A Requesting Data...</v>
      </c>
      <c r="K29" s="164" t="e">
        <f t="shared" si="9"/>
        <v>#VALUE!</v>
      </c>
      <c r="L29" s="164">
        <f>Current!AB59/100</f>
        <v>-2.4999999999999467E-3</v>
      </c>
      <c r="M29" s="404" t="e">
        <f t="shared" ref="M29:M30" si="11">J29-J28</f>
        <v>#VALUE!</v>
      </c>
    </row>
    <row r="30" spans="1:13" ht="15.75" x14ac:dyDescent="0.25">
      <c r="A30" s="158" t="str">
        <f>Current!F9</f>
        <v>#N/A Requesting Data...</v>
      </c>
      <c r="B30" s="158" t="str">
        <f>Current!G9</f>
        <v>#N/A Requesting Data...</v>
      </c>
      <c r="C30" s="164" t="str">
        <f ca="1">Current!H9</f>
        <v>#N/A Requesting Data...</v>
      </c>
      <c r="D30" s="164" t="e">
        <f t="shared" ca="1" si="8"/>
        <v>#VALUE!</v>
      </c>
      <c r="E30" s="164">
        <f>IFERROR(Current!L9/100,0)</f>
        <v>-6.0000000000002274E-3</v>
      </c>
      <c r="F30" s="164" t="e">
        <f t="shared" ca="1" si="10"/>
        <v>#VALUE!</v>
      </c>
      <c r="H30" s="158" t="str">
        <f>Current!V60</f>
        <v>#N/A Requesting Data...</v>
      </c>
      <c r="I30" s="158" t="str">
        <f>Current!W60</f>
        <v>#N/A Requesting Data...</v>
      </c>
      <c r="J30" s="164" t="str">
        <f>Current!X60</f>
        <v>#N/A Requesting Data...</v>
      </c>
      <c r="K30" s="164" t="e">
        <f t="shared" si="9"/>
        <v>#VALUE!</v>
      </c>
      <c r="L30" s="164">
        <f>Current!AB60/100</f>
        <v>-2.4999999999999467E-3</v>
      </c>
      <c r="M30" s="404" t="e">
        <f t="shared" si="11"/>
        <v>#VALUE!</v>
      </c>
    </row>
    <row r="31" spans="1:13" ht="15.75" x14ac:dyDescent="0.25">
      <c r="A31" s="158" t="str">
        <f>Current!F10</f>
        <v>#N/A Requesting Data...</v>
      </c>
      <c r="B31" s="158" t="str">
        <f>Current!G10</f>
        <v>#N/A Requesting Data...</v>
      </c>
      <c r="C31" s="164" t="str">
        <f ca="1">Current!H10</f>
        <v>#N/A Requesting Data...</v>
      </c>
      <c r="D31" s="164" t="e">
        <f t="shared" ca="1" si="8"/>
        <v>#VALUE!</v>
      </c>
      <c r="E31" s="164">
        <f>IFERROR(Current!L10/100,0)</f>
        <v>-7.6000000000000512E-3</v>
      </c>
      <c r="F31" s="164" t="e">
        <f t="shared" ca="1" si="10"/>
        <v>#VALUE!</v>
      </c>
      <c r="H31" s="158" t="str">
        <f>Current!V61</f>
        <v>#N/A Requesting Data...</v>
      </c>
      <c r="I31" s="158" t="str">
        <f>Current!W61</f>
        <v>#N/A Requesting Data...</v>
      </c>
      <c r="J31" s="164" t="str">
        <f>Current!X61</f>
        <v>#N/A Requesting Data...</v>
      </c>
      <c r="K31" s="164" t="e">
        <f t="shared" si="9"/>
        <v>#VALUE!</v>
      </c>
      <c r="L31" s="164">
        <f>Current!AB61/100</f>
        <v>-3.7499999999999201E-3</v>
      </c>
      <c r="M31" s="404" t="e">
        <f t="shared" ref="M31" si="12">J31-J30</f>
        <v>#VALUE!</v>
      </c>
    </row>
    <row r="32" spans="1:13" ht="15.75" x14ac:dyDescent="0.25">
      <c r="A32" s="158" t="str">
        <f>Current!F11</f>
        <v>#N/A Requesting Data...</v>
      </c>
      <c r="B32" s="158" t="str">
        <f>Current!G11</f>
        <v>#N/A Requesting Data...</v>
      </c>
      <c r="C32" s="164" t="str">
        <f ca="1">Current!H11</f>
        <v>#N/A Requesting Data...</v>
      </c>
      <c r="D32" s="164" t="e">
        <f t="shared" ca="1" si="8"/>
        <v>#VALUE!</v>
      </c>
      <c r="E32" s="164">
        <f>IFERROR(Current!L11/100,0)</f>
        <v>-2.3999999999997357E-3</v>
      </c>
      <c r="F32" s="164" t="e">
        <f t="shared" ca="1" si="10"/>
        <v>#VALUE!</v>
      </c>
      <c r="H32" s="158" t="str">
        <f>Current!V62</f>
        <v>#N/A Requesting Data...</v>
      </c>
      <c r="I32" s="158" t="str">
        <f>Current!W62</f>
        <v>#N/A Requesting Data...</v>
      </c>
      <c r="J32" s="164" t="str">
        <f>Current!X62</f>
        <v>#N/A Requesting Data...</v>
      </c>
      <c r="K32" s="164" t="e">
        <f t="shared" ref="K32" si="13">J32-L32</f>
        <v>#VALUE!</v>
      </c>
      <c r="L32" s="164">
        <f>Current!AB62/100</f>
        <v>-5.0000000000001155E-3</v>
      </c>
      <c r="M32" s="404" t="e">
        <f t="shared" ref="M32" si="14">J32-J31</f>
        <v>#VALUE!</v>
      </c>
    </row>
    <row r="33" spans="1:13" ht="15.75" x14ac:dyDescent="0.25">
      <c r="A33" s="158" t="str">
        <f>Current!F12</f>
        <v>#N/A Requesting Data...</v>
      </c>
      <c r="B33" s="158" t="str">
        <f>Current!G12</f>
        <v>#N/A Requesting Data...</v>
      </c>
      <c r="C33" s="164" t="str">
        <f ca="1">Current!H12</f>
        <v>#N/A Requesting Data...</v>
      </c>
      <c r="D33" s="164" t="e">
        <f t="shared" ca="1" si="8"/>
        <v>#VALUE!</v>
      </c>
      <c r="E33" s="164">
        <f>IFERROR(Current!L12/100,0)</f>
        <v>9.700000000000486E-3</v>
      </c>
      <c r="F33" s="164" t="e">
        <f t="shared" ca="1" si="10"/>
        <v>#VALUE!</v>
      </c>
      <c r="H33" s="171"/>
      <c r="I33" s="171"/>
      <c r="J33" s="164"/>
      <c r="K33" s="164"/>
      <c r="L33" s="164"/>
      <c r="M33" s="164"/>
    </row>
    <row r="34" spans="1:13" ht="15.75" x14ac:dyDescent="0.25">
      <c r="A34" s="158" t="str">
        <f>Current!F13</f>
        <v>#N/A Requesting Data...</v>
      </c>
      <c r="B34" s="158" t="str">
        <f>Current!G13</f>
        <v>#N/A Requesting Data...</v>
      </c>
      <c r="C34" s="164" t="str">
        <f ca="1">Current!H13</f>
        <v>#N/A Requesting Data...</v>
      </c>
      <c r="D34" s="164" t="e">
        <f t="shared" ca="1" si="8"/>
        <v>#VALUE!</v>
      </c>
      <c r="E34" s="164">
        <f>IFERROR(Current!L13/100,0)</f>
        <v>-2.4999999999995026E-3</v>
      </c>
      <c r="F34" s="164" t="e">
        <f t="shared" ca="1" si="10"/>
        <v>#VALUE!</v>
      </c>
      <c r="H34" s="171" t="s">
        <v>190</v>
      </c>
      <c r="I34" s="171"/>
      <c r="J34" s="164"/>
      <c r="K34" s="164"/>
      <c r="L34" s="164"/>
      <c r="M34" s="164"/>
    </row>
    <row r="35" spans="1:13" ht="15.75" hidden="1" x14ac:dyDescent="0.25">
      <c r="A35" s="158">
        <f>Current!F14</f>
        <v>0</v>
      </c>
      <c r="B35" s="158">
        <f>Current!G14</f>
        <v>0</v>
      </c>
      <c r="C35" s="164">
        <f>Current!H14</f>
        <v>0</v>
      </c>
      <c r="D35" s="164">
        <f>C35-E35</f>
        <v>0</v>
      </c>
      <c r="E35" s="164">
        <f>Current!L14/100</f>
        <v>0</v>
      </c>
      <c r="F35" s="164" t="e">
        <f ca="1">C35-C34</f>
        <v>#VALUE!</v>
      </c>
      <c r="H35" s="157" t="s">
        <v>66</v>
      </c>
      <c r="I35" s="155" t="s">
        <v>67</v>
      </c>
      <c r="J35" s="164" t="s">
        <v>68</v>
      </c>
      <c r="K35" s="164" t="s">
        <v>69</v>
      </c>
      <c r="L35" s="164" t="s">
        <v>92</v>
      </c>
      <c r="M35" s="164" t="s">
        <v>73</v>
      </c>
    </row>
    <row r="36" spans="1:13" ht="15.75" hidden="1" x14ac:dyDescent="0.25">
      <c r="A36" s="158">
        <f>Current!F15</f>
        <v>0</v>
      </c>
      <c r="B36" s="158">
        <f>Current!G15</f>
        <v>0</v>
      </c>
      <c r="C36" s="164">
        <f>Current!H15</f>
        <v>0</v>
      </c>
      <c r="D36" s="164">
        <f>C36-E36</f>
        <v>0</v>
      </c>
      <c r="E36" s="164">
        <f>Current!L15/100</f>
        <v>0</v>
      </c>
      <c r="F36" s="164">
        <f>C36-C35</f>
        <v>0</v>
      </c>
      <c r="H36" s="158"/>
      <c r="I36" s="158"/>
      <c r="J36" s="164"/>
      <c r="K36" s="164"/>
      <c r="L36" s="405"/>
      <c r="M36" s="404"/>
    </row>
    <row r="37" spans="1:13" ht="15.75" hidden="1" x14ac:dyDescent="0.25">
      <c r="A37" s="158"/>
      <c r="B37" s="158"/>
      <c r="C37" s="164"/>
      <c r="D37" s="164"/>
      <c r="E37" s="164"/>
      <c r="F37" s="164"/>
      <c r="H37" s="158"/>
      <c r="I37" s="158"/>
      <c r="J37" s="164"/>
      <c r="K37" s="164"/>
      <c r="L37" s="405"/>
      <c r="M37" s="404"/>
    </row>
    <row r="38" spans="1:13" ht="15.75" x14ac:dyDescent="0.25">
      <c r="A38" s="171" t="s">
        <v>78</v>
      </c>
      <c r="B38" s="171"/>
      <c r="C38" s="164"/>
      <c r="D38" s="164"/>
      <c r="E38" s="164"/>
      <c r="F38" s="164"/>
      <c r="H38" s="157" t="s">
        <v>66</v>
      </c>
      <c r="I38" s="155" t="s">
        <v>67</v>
      </c>
      <c r="J38" s="164" t="s">
        <v>68</v>
      </c>
      <c r="K38" s="164" t="s">
        <v>69</v>
      </c>
      <c r="L38" s="164" t="s">
        <v>92</v>
      </c>
      <c r="M38" s="164" t="s">
        <v>73</v>
      </c>
    </row>
    <row r="39" spans="1:13" ht="15.75" x14ac:dyDescent="0.25">
      <c r="A39" s="157" t="s">
        <v>66</v>
      </c>
      <c r="B39" s="155" t="s">
        <v>67</v>
      </c>
      <c r="C39" s="164" t="s">
        <v>68</v>
      </c>
      <c r="D39" s="164" t="s">
        <v>69</v>
      </c>
      <c r="E39" s="164" t="s">
        <v>92</v>
      </c>
      <c r="F39" s="164" t="s">
        <v>73</v>
      </c>
      <c r="H39" s="158" t="str">
        <f>Current!F57</f>
        <v>#N/A Requesting Data...</v>
      </c>
      <c r="I39" s="158" t="str">
        <f>Current!G57</f>
        <v>#N/A Requesting Data...</v>
      </c>
      <c r="J39" s="164" t="str">
        <f>Current!H57</f>
        <v>#N/A Requesting Data...</v>
      </c>
      <c r="K39" s="164" t="e">
        <f t="shared" ref="K39" si="15">J39-L39</f>
        <v>#VALUE!</v>
      </c>
      <c r="L39" s="405">
        <f>Current!L57/100</f>
        <v>-5.0000000000007816E-3</v>
      </c>
      <c r="M39" s="404"/>
    </row>
    <row r="40" spans="1:13" ht="15.75" x14ac:dyDescent="0.25">
      <c r="A40" s="158" t="str">
        <f>Current!V7</f>
        <v>#N/A Requesting Data...</v>
      </c>
      <c r="B40" s="158" t="str">
        <f>Current!W7</f>
        <v>#N/A Requesting Data...</v>
      </c>
      <c r="C40" s="164" t="str">
        <f>Current!X7</f>
        <v>#N/A Requesting Data...</v>
      </c>
      <c r="D40" s="164" t="e">
        <f t="shared" ref="D40:D45" si="16">C40-E40</f>
        <v>#VALUE!</v>
      </c>
      <c r="E40" s="164">
        <f>IFERROR(Current!AB7/100,0)</f>
        <v>2.5000000000003908E-3</v>
      </c>
      <c r="F40" s="164"/>
      <c r="H40" s="158" t="str">
        <f>Current!F58</f>
        <v>#N/A Requesting Data...</v>
      </c>
      <c r="I40" s="158" t="str">
        <f>Current!G58</f>
        <v>#N/A Requesting Data...</v>
      </c>
      <c r="J40" s="164" t="str">
        <f>Current!H58</f>
        <v>#N/A Requesting Data...</v>
      </c>
      <c r="K40" s="164" t="e">
        <f t="shared" ref="K40:K43" si="17">J40-L40</f>
        <v>#VALUE!</v>
      </c>
      <c r="L40" s="405">
        <f>Current!L58/100</f>
        <v>-1.499999999999968E-2</v>
      </c>
      <c r="M40" s="404" t="e">
        <f t="shared" ref="M40:M43" si="18">J40-J39</f>
        <v>#VALUE!</v>
      </c>
    </row>
    <row r="41" spans="1:13" ht="15.75" x14ac:dyDescent="0.25">
      <c r="A41" s="158" t="str">
        <f>Current!V8</f>
        <v>#N/A Requesting Data...</v>
      </c>
      <c r="B41" s="158" t="str">
        <f>Current!W8</f>
        <v>#N/A Requesting Data...</v>
      </c>
      <c r="C41" s="164" t="str">
        <f>Current!X8</f>
        <v>#N/A Requesting Data...</v>
      </c>
      <c r="D41" s="164" t="e">
        <f t="shared" si="16"/>
        <v>#VALUE!</v>
      </c>
      <c r="E41" s="164">
        <f>IFERROR(Current!AB8/100,0)</f>
        <v>4.9999999999998934E-3</v>
      </c>
      <c r="F41" s="164" t="e">
        <f t="shared" ref="F41:F46" si="19">C41-C40</f>
        <v>#VALUE!</v>
      </c>
      <c r="H41" s="158" t="str">
        <f>Current!F59</f>
        <v>#N/A Requesting Data...</v>
      </c>
      <c r="I41" s="158" t="str">
        <f>Current!G59</f>
        <v>#N/A Requesting Data...</v>
      </c>
      <c r="J41" s="164" t="str">
        <f>Current!H59</f>
        <v>#N/A Requesting Data...</v>
      </c>
      <c r="K41" s="164" t="e">
        <f t="shared" si="17"/>
        <v>#VALUE!</v>
      </c>
      <c r="L41" s="405">
        <f>Current!L59/100</f>
        <v>-1.499999999999968E-2</v>
      </c>
      <c r="M41" s="404" t="e">
        <f t="shared" si="18"/>
        <v>#VALUE!</v>
      </c>
    </row>
    <row r="42" spans="1:13" ht="15.75" x14ac:dyDescent="0.25">
      <c r="A42" s="158" t="str">
        <f>Current!V9</f>
        <v>#N/A Requesting Data...</v>
      </c>
      <c r="B42" s="158" t="str">
        <f>Current!W9</f>
        <v>#N/A Requesting Data...</v>
      </c>
      <c r="C42" s="164" t="str">
        <f>Current!X9</f>
        <v>#N/A Requesting Data...</v>
      </c>
      <c r="D42" s="164" t="e">
        <f t="shared" si="16"/>
        <v>#VALUE!</v>
      </c>
      <c r="E42" s="164">
        <f>IFERROR(Current!AB9/100,0)</f>
        <v>2.5000000000003908E-3</v>
      </c>
      <c r="F42" s="164" t="e">
        <f t="shared" si="19"/>
        <v>#VALUE!</v>
      </c>
      <c r="H42" s="158" t="str">
        <f>Current!F60</f>
        <v>#N/A Requesting Data...</v>
      </c>
      <c r="I42" s="158" t="str">
        <f>Current!G60</f>
        <v>#N/A Requesting Data...</v>
      </c>
      <c r="J42" s="164" t="str">
        <f>Current!H60</f>
        <v>#N/A Requesting Data...</v>
      </c>
      <c r="K42" s="164" t="e">
        <f t="shared" si="17"/>
        <v>#VALUE!</v>
      </c>
      <c r="L42" s="405">
        <f>Current!L60/100</f>
        <v>-1.9999999999999574E-2</v>
      </c>
      <c r="M42" s="404" t="e">
        <f t="shared" si="18"/>
        <v>#VALUE!</v>
      </c>
    </row>
    <row r="43" spans="1:13" ht="15.75" x14ac:dyDescent="0.25">
      <c r="A43" s="158" t="str">
        <f>Current!V10</f>
        <v>#N/A Requesting Data...</v>
      </c>
      <c r="B43" s="158" t="str">
        <f>Current!W10</f>
        <v>#N/A Requesting Data...</v>
      </c>
      <c r="C43" s="164" t="str">
        <f>Current!X10</f>
        <v>#N/A Requesting Data...</v>
      </c>
      <c r="D43" s="164" t="e">
        <f t="shared" si="16"/>
        <v>#VALUE!</v>
      </c>
      <c r="E43" s="164">
        <f>IFERROR(Current!AB10/100,0)</f>
        <v>-2.4999999999999467E-3</v>
      </c>
      <c r="F43" s="164" t="e">
        <f t="shared" si="19"/>
        <v>#VALUE!</v>
      </c>
      <c r="H43" s="158" t="str">
        <f>Current!F61</f>
        <v>#N/A Requesting Data...</v>
      </c>
      <c r="I43" s="158" t="str">
        <f>Current!G61</f>
        <v>#N/A Requesting Data...</v>
      </c>
      <c r="J43" s="164" t="str">
        <f>Current!H61</f>
        <v>#N/A Requesting Data...</v>
      </c>
      <c r="K43" s="164" t="e">
        <f t="shared" si="17"/>
        <v>#VALUE!</v>
      </c>
      <c r="L43" s="405">
        <f>Current!L61/100</f>
        <v>-2.0000000000000462E-2</v>
      </c>
      <c r="M43" s="404" t="e">
        <f t="shared" si="18"/>
        <v>#VALUE!</v>
      </c>
    </row>
    <row r="44" spans="1:13" ht="15.75" x14ac:dyDescent="0.25">
      <c r="A44" s="158" t="str">
        <f>Current!V11</f>
        <v>#N/A Requesting Data...</v>
      </c>
      <c r="B44" s="158" t="str">
        <f>Current!W11</f>
        <v>#N/A Requesting Data...</v>
      </c>
      <c r="C44" s="164" t="str">
        <f>Current!X11</f>
        <v>#N/A Requesting Data...</v>
      </c>
      <c r="D44" s="164" t="e">
        <f t="shared" si="16"/>
        <v>#VALUE!</v>
      </c>
      <c r="E44" s="164">
        <f>IFERROR(Current!AB11/100,0)</f>
        <v>-7.5000000000002842E-3</v>
      </c>
      <c r="F44" s="164" t="e">
        <f t="shared" si="19"/>
        <v>#VALUE!</v>
      </c>
      <c r="H44" s="171"/>
      <c r="I44" s="171"/>
      <c r="J44" s="164"/>
      <c r="K44" s="164"/>
      <c r="L44" s="164"/>
      <c r="M44" s="164"/>
    </row>
    <row r="45" spans="1:13" ht="15.75" x14ac:dyDescent="0.25">
      <c r="A45" s="158" t="str">
        <f>Current!V12</f>
        <v>#N/A Requesting Data...</v>
      </c>
      <c r="B45" s="158" t="str">
        <f>Current!W12</f>
        <v>#N/A Requesting Data...</v>
      </c>
      <c r="C45" s="164" t="str">
        <f>Current!X12</f>
        <v>#N/A Requesting Data...</v>
      </c>
      <c r="D45" s="164" t="e">
        <f t="shared" si="16"/>
        <v>#VALUE!</v>
      </c>
      <c r="E45" s="164">
        <f>IFERROR(Current!AB12/100,0)</f>
        <v>-1.2500000000000178E-2</v>
      </c>
      <c r="F45" s="164" t="e">
        <f t="shared" si="19"/>
        <v>#VALUE!</v>
      </c>
      <c r="H45" s="171" t="s">
        <v>193</v>
      </c>
      <c r="I45" s="171"/>
      <c r="J45" s="164"/>
      <c r="K45" s="164"/>
      <c r="L45" s="164"/>
      <c r="M45" s="164"/>
    </row>
    <row r="46" spans="1:13" ht="15.75" x14ac:dyDescent="0.25">
      <c r="A46" s="158" t="str">
        <f>Current!V13</f>
        <v>#N/A Requesting Data...</v>
      </c>
      <c r="B46" s="158" t="str">
        <f>Current!W13</f>
        <v>#N/A Requesting Data...</v>
      </c>
      <c r="C46" s="164" t="str">
        <f>Current!X13</f>
        <v>#N/A Requesting Data...</v>
      </c>
      <c r="D46" s="164" t="e">
        <f t="shared" ref="D46" si="20">C46-E46</f>
        <v>#VALUE!</v>
      </c>
      <c r="E46" s="164">
        <f>IFERROR(Current!AB13/100,0)</f>
        <v>-2.2600000000000176E-2</v>
      </c>
      <c r="F46" s="164" t="e">
        <f t="shared" si="19"/>
        <v>#VALUE!</v>
      </c>
      <c r="H46" s="157" t="s">
        <v>66</v>
      </c>
      <c r="I46" s="155" t="s">
        <v>67</v>
      </c>
      <c r="J46" s="164" t="s">
        <v>68</v>
      </c>
      <c r="K46" s="164" t="s">
        <v>69</v>
      </c>
      <c r="L46" s="164" t="s">
        <v>92</v>
      </c>
      <c r="M46" s="164" t="s">
        <v>73</v>
      </c>
    </row>
    <row r="47" spans="1:13" ht="15.75" x14ac:dyDescent="0.25">
      <c r="A47" s="158"/>
      <c r="B47" s="158"/>
      <c r="C47" s="164"/>
      <c r="D47" s="164"/>
      <c r="E47" s="164"/>
      <c r="F47" s="164"/>
      <c r="H47" s="158" t="str">
        <f>Current!F75</f>
        <v>#N/A Requesting Data...</v>
      </c>
      <c r="I47" s="158" t="str">
        <f>Current!G75</f>
        <v>#N/A Requesting Data...</v>
      </c>
      <c r="J47" s="164" t="str">
        <f>Current!H75</f>
        <v>#N/A Requesting Data...</v>
      </c>
      <c r="K47" s="164" t="e">
        <f>J47-Q50</f>
        <v>#VALUE!</v>
      </c>
      <c r="L47" s="405">
        <f>Current!L75/100</f>
        <v>-3.0159666419600217E-3</v>
      </c>
      <c r="M47" s="404"/>
    </row>
    <row r="48" spans="1:13" ht="15.75" x14ac:dyDescent="0.25">
      <c r="A48" s="158"/>
      <c r="B48" s="158"/>
      <c r="C48" s="164"/>
      <c r="D48" s="164"/>
      <c r="E48" s="164"/>
      <c r="F48" s="164"/>
      <c r="H48" s="158" t="str">
        <f>Current!F76</f>
        <v>#N/A Requesting Data...</v>
      </c>
      <c r="I48" s="158" t="str">
        <f>Current!G76</f>
        <v>#N/A Requesting Data...</v>
      </c>
      <c r="J48" s="164" t="str">
        <f>Current!H76</f>
        <v>#N/A Requesting Data...</v>
      </c>
      <c r="K48" s="164" t="e">
        <f t="shared" ref="K48:K49" si="21">J48-Q51</f>
        <v>#VALUE!</v>
      </c>
      <c r="L48" s="405">
        <f>Current!L76/100</f>
        <v>-6.9998354208200553E-3</v>
      </c>
      <c r="M48" s="404" t="e">
        <f>J48-J47</f>
        <v>#VALUE!</v>
      </c>
    </row>
    <row r="49" spans="1:13" ht="15.75" x14ac:dyDescent="0.25">
      <c r="A49" s="158"/>
      <c r="B49" s="158"/>
      <c r="C49" s="164"/>
      <c r="D49" s="164"/>
      <c r="E49" s="164"/>
      <c r="F49" s="164"/>
      <c r="H49" s="158" t="str">
        <f>Current!F77</f>
        <v>#N/A Requesting Data...</v>
      </c>
      <c r="I49" s="158" t="str">
        <f>Current!G77</f>
        <v>#N/A Requesting Data...</v>
      </c>
      <c r="J49" s="164" t="str">
        <f>Current!H77</f>
        <v>#N/A Requesting Data...</v>
      </c>
      <c r="K49" s="164" t="e">
        <f t="shared" si="21"/>
        <v>#VALUE!</v>
      </c>
      <c r="L49" s="405">
        <f>Current!L77/100</f>
        <v>2.7427505695198917E-3</v>
      </c>
      <c r="M49" s="404" t="e">
        <f t="shared" ref="M49" si="22">J49-J48</f>
        <v>#VALUE!</v>
      </c>
    </row>
    <row r="50" spans="1:13" ht="15.75" x14ac:dyDescent="0.25">
      <c r="H50" s="158"/>
      <c r="I50" s="158"/>
      <c r="J50" s="164"/>
      <c r="K50" s="164"/>
      <c r="L50" s="405"/>
      <c r="M50" s="40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47CF5-E016-45C4-B934-4D04E6DE0BFC}">
  <sheetPr codeName="Sheet11"/>
  <dimension ref="A1:AI49"/>
  <sheetViews>
    <sheetView topLeftCell="A18" zoomScaleNormal="100" workbookViewId="0">
      <selection activeCell="O34" sqref="O34"/>
    </sheetView>
  </sheetViews>
  <sheetFormatPr defaultRowHeight="15" x14ac:dyDescent="0.25"/>
  <cols>
    <col min="1" max="1" width="20.28515625" bestFit="1" customWidth="1"/>
    <col min="2" max="2" width="3.7109375" customWidth="1"/>
    <col min="3" max="3" width="11.85546875" bestFit="1" customWidth="1"/>
    <col min="4" max="4" width="4.85546875" customWidth="1"/>
    <col min="5" max="5" width="6.5703125" bestFit="1" customWidth="1"/>
    <col min="6" max="6" width="4.85546875" customWidth="1"/>
    <col min="7" max="7" width="8.42578125" bestFit="1" customWidth="1"/>
    <col min="8" max="8" width="5" customWidth="1"/>
    <col min="9" max="9" width="8.42578125" bestFit="1" customWidth="1"/>
    <col min="11" max="11" width="20.7109375" bestFit="1" customWidth="1"/>
    <col min="12" max="12" width="6.28515625" customWidth="1"/>
    <col min="13" max="13" width="11.85546875" bestFit="1" customWidth="1"/>
    <col min="14" max="14" width="6.140625" customWidth="1"/>
    <col min="15" max="15" width="11.85546875" bestFit="1" customWidth="1"/>
    <col min="16" max="16" width="4.140625" customWidth="1"/>
    <col min="17" max="17" width="8.42578125" bestFit="1" customWidth="1"/>
    <col min="18" max="18" width="4.28515625" customWidth="1"/>
    <col min="19" max="19" width="8.42578125" bestFit="1" customWidth="1"/>
    <col min="23" max="23" width="12.140625" customWidth="1"/>
    <col min="28" max="28" width="12.7109375" bestFit="1" customWidth="1"/>
  </cols>
  <sheetData>
    <row r="1" spans="1:35" x14ac:dyDescent="0.25">
      <c r="A1" s="160" t="s">
        <v>198</v>
      </c>
      <c r="B1" s="160"/>
      <c r="C1" s="155"/>
      <c r="D1" s="155"/>
      <c r="E1" s="155"/>
      <c r="F1" s="155"/>
      <c r="G1" s="155"/>
      <c r="H1" s="155"/>
      <c r="I1" s="155"/>
      <c r="J1" s="156"/>
      <c r="K1" s="155" t="s">
        <v>71</v>
      </c>
      <c r="L1" s="155"/>
      <c r="M1" s="155"/>
      <c r="N1" s="155"/>
      <c r="O1" s="155"/>
      <c r="P1" s="155"/>
      <c r="Q1" s="155"/>
      <c r="R1" s="155"/>
      <c r="S1" s="155"/>
      <c r="AE1" t="s">
        <v>95</v>
      </c>
    </row>
    <row r="2" spans="1:35" x14ac:dyDescent="0.25">
      <c r="A2" s="155"/>
      <c r="B2" s="155"/>
      <c r="C2" s="155"/>
      <c r="D2" s="155"/>
      <c r="E2" s="155"/>
      <c r="F2" s="155"/>
      <c r="G2" s="155"/>
      <c r="H2" s="155"/>
      <c r="I2" s="155"/>
      <c r="J2" s="156"/>
      <c r="K2" s="155"/>
      <c r="L2" s="155"/>
      <c r="M2" s="155"/>
      <c r="N2" s="155"/>
      <c r="O2" s="155"/>
      <c r="P2" s="155"/>
      <c r="Q2" s="155"/>
      <c r="R2" s="155"/>
      <c r="S2" s="155"/>
    </row>
    <row r="3" spans="1:35" x14ac:dyDescent="0.25">
      <c r="A3" s="155" t="s">
        <v>82</v>
      </c>
      <c r="B3" s="155"/>
      <c r="C3" s="155"/>
      <c r="D3" s="155"/>
      <c r="E3" s="155"/>
      <c r="F3" s="155"/>
      <c r="G3" s="155"/>
      <c r="H3" s="155"/>
      <c r="I3" s="155"/>
      <c r="J3" s="156"/>
      <c r="K3" s="155" t="s">
        <v>86</v>
      </c>
      <c r="L3" s="155"/>
      <c r="M3" s="155"/>
      <c r="N3" s="155"/>
      <c r="O3" s="155"/>
      <c r="P3" s="155"/>
      <c r="Q3" s="155"/>
      <c r="R3" s="155"/>
      <c r="S3" s="155"/>
      <c r="AE3" t="s">
        <v>82</v>
      </c>
    </row>
    <row r="4" spans="1:35" ht="15.75" x14ac:dyDescent="0.25">
      <c r="A4" s="155" t="str">
        <f>Vandit!A2</f>
        <v>Start_date</v>
      </c>
      <c r="B4" s="155"/>
      <c r="C4" s="158" t="str">
        <f>Vandit!B2</f>
        <v> Maturity</v>
      </c>
      <c r="D4" s="158"/>
      <c r="E4" s="164" t="str">
        <f>Vandit!C2</f>
        <v>T </v>
      </c>
      <c r="F4" s="164"/>
      <c r="G4" s="164" t="str">
        <f>Vandit!D2</f>
        <v>T-1</v>
      </c>
      <c r="H4" s="164"/>
      <c r="I4" s="155" t="s">
        <v>70</v>
      </c>
      <c r="K4" s="155" t="str">
        <f>Vandit!H2</f>
        <v>Start_date</v>
      </c>
      <c r="L4" s="155"/>
      <c r="M4" s="158" t="str">
        <f>Vandit!I2</f>
        <v> Maturity</v>
      </c>
      <c r="N4" s="158"/>
      <c r="O4" s="164" t="str">
        <f>Vandit!J2</f>
        <v>T </v>
      </c>
      <c r="P4" s="164"/>
      <c r="Q4" s="164" t="str">
        <f>Vandit!K2</f>
        <v>T-1</v>
      </c>
      <c r="R4" s="164"/>
      <c r="S4" s="161" t="str">
        <f>Vandit!L2</f>
        <v>Δ on day</v>
      </c>
      <c r="AE4" t="s">
        <v>66</v>
      </c>
      <c r="AG4" t="s">
        <v>67</v>
      </c>
      <c r="AI4" t="s">
        <v>68</v>
      </c>
    </row>
    <row r="5" spans="1:35" ht="15.75" x14ac:dyDescent="0.25">
      <c r="A5" s="158" t="str">
        <f>Vandit!A3</f>
        <v>#N/A Requesting Data...</v>
      </c>
      <c r="B5" s="158"/>
      <c r="C5" s="158" t="str">
        <f>Vandit!B3</f>
        <v>#N/A Requesting Data...</v>
      </c>
      <c r="D5" s="158"/>
      <c r="E5" s="164" t="str">
        <f>Vandit!C3</f>
        <v>#N/A Requesting Data...</v>
      </c>
      <c r="F5" s="164"/>
      <c r="G5" s="164" t="e">
        <f>Vandit!D3</f>
        <v>#VALUE!</v>
      </c>
      <c r="H5" s="164"/>
      <c r="I5" s="164">
        <f>Vandit!E3</f>
        <v>3.4000000000000696E-3</v>
      </c>
      <c r="K5" s="158" t="str">
        <f>Vandit!H3</f>
        <v>#N/A Requesting Data...</v>
      </c>
      <c r="L5" s="162"/>
      <c r="M5" s="162" t="str">
        <f>Vandit!I3</f>
        <v>#N/A Requesting Data...</v>
      </c>
      <c r="N5" s="162"/>
      <c r="O5" s="164" t="str">
        <f>Vandit!J3</f>
        <v>#N/A Requesting Data...</v>
      </c>
      <c r="P5" s="164"/>
      <c r="Q5" s="164" t="e">
        <f>Vandit!K3</f>
        <v>#VALUE!</v>
      </c>
      <c r="R5" s="164"/>
      <c r="S5" s="164">
        <f>Vandit!L3</f>
        <v>2.2000000000002018E-3</v>
      </c>
      <c r="AE5" t="s">
        <v>96</v>
      </c>
      <c r="AG5" t="s">
        <v>94</v>
      </c>
      <c r="AI5">
        <v>2.1869999999999998</v>
      </c>
    </row>
    <row r="6" spans="1:35" ht="15.75" x14ac:dyDescent="0.25">
      <c r="A6" s="158" t="str">
        <f>Vandit!A4</f>
        <v>#N/A Requesting Data...</v>
      </c>
      <c r="B6" s="158"/>
      <c r="C6" s="158" t="str">
        <f>Vandit!B4</f>
        <v>#N/A Requesting Data...</v>
      </c>
      <c r="D6" s="158"/>
      <c r="E6" s="164" t="str">
        <f>Vandit!C4</f>
        <v>#N/A Requesting Data...</v>
      </c>
      <c r="F6" s="164"/>
      <c r="G6" s="164" t="e">
        <f>Vandit!D4</f>
        <v>#VALUE!</v>
      </c>
      <c r="H6" s="164"/>
      <c r="I6" s="164">
        <f>Vandit!E4</f>
        <v>1.4000000000002899E-3</v>
      </c>
      <c r="K6" s="158" t="str">
        <f>Vandit!H4</f>
        <v>#N/A Requesting Data...</v>
      </c>
      <c r="L6" s="162"/>
      <c r="M6" s="162" t="str">
        <f>Vandit!I4</f>
        <v>#N/A Requesting Data...</v>
      </c>
      <c r="N6" s="162"/>
      <c r="O6" s="164" t="str">
        <f>Vandit!J4</f>
        <v>#N/A Requesting Data...</v>
      </c>
      <c r="P6" s="164"/>
      <c r="Q6" s="164" t="e">
        <f>Vandit!K4</f>
        <v>#VALUE!</v>
      </c>
      <c r="R6" s="164"/>
      <c r="S6" s="164">
        <f>Vandit!L4</f>
        <v>5.5000000000000604E-3</v>
      </c>
      <c r="AE6" t="s">
        <v>94</v>
      </c>
      <c r="AG6" t="s">
        <v>97</v>
      </c>
      <c r="AI6">
        <v>2.3769999999999998</v>
      </c>
    </row>
    <row r="7" spans="1:35" ht="15.75" x14ac:dyDescent="0.25">
      <c r="A7" s="158" t="str">
        <f>Vandit!A5</f>
        <v>#N/A Requesting Data...</v>
      </c>
      <c r="B7" s="158"/>
      <c r="C7" s="158" t="str">
        <f>Vandit!B5</f>
        <v>#N/A Requesting Data...</v>
      </c>
      <c r="D7" s="158"/>
      <c r="E7" s="164" t="str">
        <f>Vandit!C5</f>
        <v>#N/A Requesting Data...</v>
      </c>
      <c r="F7" s="164"/>
      <c r="G7" s="164" t="e">
        <f>Vandit!D5</f>
        <v>#VALUE!</v>
      </c>
      <c r="H7" s="164"/>
      <c r="I7" s="164">
        <f>Vandit!E5</f>
        <v>4.9999999999998934E-3</v>
      </c>
      <c r="J7" s="163"/>
      <c r="K7" s="158" t="str">
        <f>Vandit!H5</f>
        <v>#N/A Requesting Data...</v>
      </c>
      <c r="L7" s="162"/>
      <c r="M7" s="162" t="str">
        <f>Vandit!I5</f>
        <v>#N/A Requesting Data...</v>
      </c>
      <c r="N7" s="162"/>
      <c r="O7" s="164" t="str">
        <f>Vandit!J5</f>
        <v>#N/A Requesting Data...</v>
      </c>
      <c r="P7" s="164"/>
      <c r="Q7" s="164" t="e">
        <f>Vandit!K5</f>
        <v>#VALUE!</v>
      </c>
      <c r="R7" s="164"/>
      <c r="S7" s="164">
        <f>Vandit!L5</f>
        <v>5.7000000000000384E-3</v>
      </c>
      <c r="AE7" t="s">
        <v>97</v>
      </c>
      <c r="AG7" t="s">
        <v>99</v>
      </c>
      <c r="AI7">
        <v>2.5754000000000001</v>
      </c>
    </row>
    <row r="8" spans="1:35" ht="15.75" x14ac:dyDescent="0.25">
      <c r="A8" s="158" t="str">
        <f>Vandit!A6</f>
        <v>#N/A Requesting Data...</v>
      </c>
      <c r="B8" s="158"/>
      <c r="C8" s="158" t="str">
        <f>Vandit!B6</f>
        <v>#N/A Requesting Data...</v>
      </c>
      <c r="D8" s="158"/>
      <c r="E8" s="164" t="str">
        <f>Vandit!C6</f>
        <v>#N/A Requesting Data...</v>
      </c>
      <c r="F8" s="164"/>
      <c r="G8" s="164" t="e">
        <f>Vandit!D6</f>
        <v>#VALUE!</v>
      </c>
      <c r="H8" s="164"/>
      <c r="I8" s="164">
        <f>Vandit!E6</f>
        <v>8.799999999999919E-3</v>
      </c>
      <c r="K8" s="158" t="str">
        <f>Vandit!H6</f>
        <v>#N/A Requesting Data...</v>
      </c>
      <c r="L8" s="162"/>
      <c r="M8" s="162" t="str">
        <f>Vandit!I6</f>
        <v>#N/A Requesting Data...</v>
      </c>
      <c r="N8" s="162"/>
      <c r="O8" s="164" t="str">
        <f>Vandit!J6</f>
        <v>#N/A Requesting Data...</v>
      </c>
      <c r="P8" s="164"/>
      <c r="Q8" s="164" t="e">
        <f>Vandit!K6</f>
        <v>#VALUE!</v>
      </c>
      <c r="R8" s="164"/>
      <c r="S8" s="164">
        <f>Vandit!L6</f>
        <v>6.6000000000001613E-3</v>
      </c>
      <c r="AE8" t="s">
        <v>99</v>
      </c>
      <c r="AG8" t="s">
        <v>103</v>
      </c>
      <c r="AI8">
        <v>2.6844000000000001</v>
      </c>
    </row>
    <row r="9" spans="1:35" ht="15.75" x14ac:dyDescent="0.25">
      <c r="A9" s="158" t="str">
        <f>Vandit!A7</f>
        <v>#N/A Requesting Data...</v>
      </c>
      <c r="B9" s="158"/>
      <c r="C9" s="158" t="str">
        <f>Vandit!B7</f>
        <v>#N/A Requesting Data...</v>
      </c>
      <c r="D9" s="158"/>
      <c r="E9" s="164" t="str">
        <f>Vandit!C7</f>
        <v>#N/A Requesting Data...</v>
      </c>
      <c r="F9" s="164"/>
      <c r="G9" s="164" t="e">
        <f>Vandit!D7</f>
        <v>#VALUE!</v>
      </c>
      <c r="H9" s="164"/>
      <c r="I9" s="164">
        <f>Vandit!E7</f>
        <v>1.2500000000000178E-2</v>
      </c>
      <c r="K9" s="158" t="str">
        <f>Vandit!H7</f>
        <v>#N/A Requesting Data...</v>
      </c>
      <c r="L9" s="162"/>
      <c r="M9" s="162" t="str">
        <f>Vandit!I7</f>
        <v>#N/A Requesting Data...</v>
      </c>
      <c r="N9" s="162"/>
      <c r="O9" s="164" t="str">
        <f>Vandit!J7</f>
        <v>#N/A Requesting Data...</v>
      </c>
      <c r="P9" s="164"/>
      <c r="Q9" s="164" t="e">
        <f>Vandit!K7</f>
        <v>#VALUE!</v>
      </c>
      <c r="R9" s="164"/>
      <c r="S9" s="164">
        <f>Vandit!L7</f>
        <v>1.0499999999999954E-2</v>
      </c>
    </row>
    <row r="10" spans="1:35" ht="15.75" x14ac:dyDescent="0.25">
      <c r="A10" s="158" t="str">
        <f>Vandit!A8</f>
        <v>#N/A Requesting Data...</v>
      </c>
      <c r="B10" s="158"/>
      <c r="C10" s="158" t="str">
        <f>Vandit!B8</f>
        <v>#N/A Requesting Data...</v>
      </c>
      <c r="D10" s="158"/>
      <c r="E10" s="164" t="str">
        <f>Vandit!C8</f>
        <v>#N/A Requesting Data...</v>
      </c>
      <c r="F10" s="164"/>
      <c r="G10" s="164" t="e">
        <f>Vandit!D8</f>
        <v>#VALUE!</v>
      </c>
      <c r="H10" s="164"/>
      <c r="I10" s="164">
        <f>Vandit!E8</f>
        <v>1.7999999999999794E-2</v>
      </c>
      <c r="K10" s="158" t="str">
        <f>Vandit!H8</f>
        <v>#N/A Requesting Data...</v>
      </c>
      <c r="L10" s="162"/>
      <c r="M10" s="162" t="str">
        <f>Vandit!I8</f>
        <v>#N/A Requesting Data...</v>
      </c>
      <c r="N10" s="162"/>
      <c r="O10" s="164" t="str">
        <f>Vandit!J8</f>
        <v>#N/A Requesting Data...</v>
      </c>
      <c r="P10" s="164"/>
      <c r="Q10" s="164" t="e">
        <f>Vandit!K8</f>
        <v>#VALUE!</v>
      </c>
      <c r="R10" s="164"/>
      <c r="S10" s="164">
        <f>Vandit!L8</f>
        <v>1.6899999999999693E-2</v>
      </c>
      <c r="AE10" t="s">
        <v>84</v>
      </c>
    </row>
    <row r="11" spans="1:35" ht="15.75" x14ac:dyDescent="0.25">
      <c r="A11" s="158" t="str">
        <f>Vandit!A9</f>
        <v>#N/A Requesting Data...</v>
      </c>
      <c r="B11" s="158"/>
      <c r="C11" s="158" t="str">
        <f>Vandit!B9</f>
        <v>#N/A Requesting Data...</v>
      </c>
      <c r="D11" s="158"/>
      <c r="E11" s="164" t="str">
        <f>Vandit!C9</f>
        <v>#N/A Requesting Data...</v>
      </c>
      <c r="F11" s="164"/>
      <c r="G11" s="164" t="e">
        <f>Vandit!D9</f>
        <v>#VALUE!</v>
      </c>
      <c r="H11" s="164"/>
      <c r="I11" s="164">
        <f>Vandit!E9</f>
        <v>1.8900000000000361E-2</v>
      </c>
      <c r="K11" s="158" t="str">
        <f>Vandit!H9</f>
        <v>#N/A Requesting Data...</v>
      </c>
      <c r="L11" s="162"/>
      <c r="M11" s="162" t="str">
        <f>Vandit!I9</f>
        <v>#N/A Requesting Data...</v>
      </c>
      <c r="N11" s="162"/>
      <c r="O11" s="164" t="str">
        <f>Vandit!J9</f>
        <v>#N/A Requesting Data...</v>
      </c>
      <c r="P11" s="164"/>
      <c r="Q11" s="164" t="e">
        <f>Vandit!K9</f>
        <v>#VALUE!</v>
      </c>
      <c r="R11" s="164"/>
      <c r="S11" s="164">
        <f>Vandit!L9</f>
        <v>2.2999999999999687E-2</v>
      </c>
      <c r="AE11" t="s">
        <v>66</v>
      </c>
      <c r="AG11" t="s">
        <v>67</v>
      </c>
      <c r="AI11" t="s">
        <v>68</v>
      </c>
    </row>
    <row r="12" spans="1:35" ht="15.75" x14ac:dyDescent="0.25">
      <c r="A12" s="158"/>
      <c r="B12" s="158"/>
      <c r="C12" s="158"/>
      <c r="D12" s="158"/>
      <c r="E12" s="164"/>
      <c r="F12" s="164"/>
      <c r="G12" s="164"/>
      <c r="H12" s="164"/>
      <c r="I12" s="164"/>
      <c r="K12" s="158" t="str">
        <f>Vandit!H10</f>
        <v>#N/A Requesting Data...</v>
      </c>
      <c r="L12" s="162"/>
      <c r="M12" s="162" t="str">
        <f>Vandit!I10</f>
        <v>#N/A Requesting Data...</v>
      </c>
      <c r="N12" s="162"/>
      <c r="O12" s="164" t="str">
        <f>Vandit!J10</f>
        <v>#N/A Requesting Data...</v>
      </c>
      <c r="P12" s="164"/>
      <c r="Q12" s="164" t="e">
        <f>Vandit!K10</f>
        <v>#VALUE!</v>
      </c>
      <c r="R12" s="164"/>
      <c r="S12" s="164">
        <f>Vandit!L10</f>
        <v>2.4000000000000021E-2</v>
      </c>
      <c r="AE12" t="s">
        <v>93</v>
      </c>
      <c r="AG12" t="s">
        <v>96</v>
      </c>
      <c r="AI12">
        <v>4.3037999999999998</v>
      </c>
    </row>
    <row r="13" spans="1:35" ht="15.75" x14ac:dyDescent="0.25">
      <c r="A13" s="158"/>
      <c r="B13" s="158"/>
      <c r="C13" s="158"/>
      <c r="D13" s="158"/>
      <c r="E13" s="164"/>
      <c r="F13" s="164"/>
      <c r="G13" s="164"/>
      <c r="H13" s="164"/>
      <c r="I13" s="164"/>
      <c r="K13" s="158"/>
      <c r="L13" s="162"/>
      <c r="M13" s="162"/>
      <c r="N13" s="162"/>
      <c r="O13" s="164"/>
      <c r="P13" s="164"/>
      <c r="Q13" s="164"/>
      <c r="R13" s="164"/>
      <c r="S13" s="164"/>
      <c r="AE13" t="s">
        <v>96</v>
      </c>
      <c r="AG13" t="s">
        <v>109</v>
      </c>
      <c r="AI13">
        <v>4.3685999999999998</v>
      </c>
    </row>
    <row r="14" spans="1:35" ht="15.75" x14ac:dyDescent="0.25">
      <c r="A14" s="158"/>
      <c r="B14" s="158"/>
      <c r="C14" s="158"/>
      <c r="D14" s="158"/>
      <c r="E14" s="159"/>
      <c r="F14" s="159"/>
      <c r="G14" s="164"/>
      <c r="H14" s="164"/>
      <c r="I14" s="155"/>
      <c r="K14" s="158" t="s">
        <v>87</v>
      </c>
      <c r="L14" s="162"/>
      <c r="M14" s="162"/>
      <c r="N14" s="162"/>
      <c r="O14" s="164"/>
      <c r="P14" s="164"/>
      <c r="Q14" s="164"/>
      <c r="R14" s="164"/>
      <c r="S14" s="164"/>
      <c r="AE14" t="s">
        <v>109</v>
      </c>
      <c r="AG14" t="s">
        <v>110</v>
      </c>
      <c r="AI14">
        <v>4.5033000000000003</v>
      </c>
    </row>
    <row r="15" spans="1:35" ht="15.75" x14ac:dyDescent="0.25">
      <c r="A15" s="155" t="s">
        <v>83</v>
      </c>
      <c r="B15" s="155"/>
      <c r="C15" s="155"/>
      <c r="D15" s="155"/>
      <c r="E15" s="155"/>
      <c r="F15" s="155"/>
      <c r="G15" s="164"/>
      <c r="H15" s="164"/>
      <c r="I15" s="155"/>
      <c r="K15" s="155" t="str">
        <f>Vandit!H13</f>
        <v>Start_date</v>
      </c>
      <c r="L15" s="155"/>
      <c r="M15" s="158" t="str">
        <f>Vandit!I13</f>
        <v> Maturity</v>
      </c>
      <c r="N15" s="158"/>
      <c r="O15" s="164" t="str">
        <f>Vandit!J13</f>
        <v>T </v>
      </c>
      <c r="P15" s="164"/>
      <c r="Q15" s="164" t="str">
        <f>Vandit!K13</f>
        <v>T-1</v>
      </c>
      <c r="R15" s="164"/>
      <c r="S15" s="164" t="str">
        <f>Vandit!L13</f>
        <v>Δ on day</v>
      </c>
      <c r="AE15" t="s">
        <v>110</v>
      </c>
      <c r="AG15" t="s">
        <v>99</v>
      </c>
      <c r="AI15">
        <v>4.6233000000000004</v>
      </c>
    </row>
    <row r="16" spans="1:35" ht="15.75" x14ac:dyDescent="0.25">
      <c r="A16" s="155" t="str">
        <f>Vandit!A14</f>
        <v>Start_date</v>
      </c>
      <c r="B16" s="155"/>
      <c r="C16" s="158" t="str">
        <f>Vandit!B14</f>
        <v> Maturity</v>
      </c>
      <c r="D16" s="158"/>
      <c r="E16" s="164" t="str">
        <f>Vandit!C14</f>
        <v>T </v>
      </c>
      <c r="F16" s="164"/>
      <c r="G16" s="164" t="str">
        <f>Vandit!D14</f>
        <v>T-1</v>
      </c>
      <c r="H16" s="164"/>
      <c r="I16" s="155" t="s">
        <v>70</v>
      </c>
      <c r="K16" s="158" t="str">
        <f>Vandit!H14</f>
        <v>#N/A Requesting Data...</v>
      </c>
      <c r="L16" s="162"/>
      <c r="M16" s="162" t="str">
        <f>Vandit!I14</f>
        <v>#N/A Requesting Data...</v>
      </c>
      <c r="N16" s="162"/>
      <c r="O16" s="164" t="str">
        <f>Vandit!J14</f>
        <v>#N/A Requesting Data...</v>
      </c>
      <c r="P16" s="164"/>
      <c r="Q16" s="164" t="e">
        <f>Vandit!K14</f>
        <v>#VALUE!</v>
      </c>
      <c r="R16" s="164"/>
      <c r="S16" s="164">
        <f>Vandit!L14</f>
        <v>-2.4999999999999467E-3</v>
      </c>
      <c r="AE16" t="s">
        <v>99</v>
      </c>
      <c r="AG16" t="s">
        <v>111</v>
      </c>
      <c r="AI16">
        <v>4.7472000000000003</v>
      </c>
    </row>
    <row r="17" spans="1:35" ht="15.75" x14ac:dyDescent="0.25">
      <c r="A17" s="158" t="str">
        <f>Vandit!A15</f>
        <v>#N/A Requesting Data...</v>
      </c>
      <c r="B17" s="158"/>
      <c r="C17" s="158" t="str">
        <f>Vandit!B15</f>
        <v>#N/A Requesting Data...</v>
      </c>
      <c r="D17" s="158"/>
      <c r="E17" s="164" t="str">
        <f>Vandit!C15</f>
        <v>#N/A Requesting Data...</v>
      </c>
      <c r="F17" s="164"/>
      <c r="G17" s="164" t="e">
        <f>Vandit!D15</f>
        <v>#VALUE!</v>
      </c>
      <c r="H17" s="164"/>
      <c r="I17" s="164">
        <f>Vandit!E15</f>
        <v>-1.6439999999999788E-2</v>
      </c>
      <c r="K17" s="158" t="str">
        <f>Vandit!H15</f>
        <v>#N/A Requesting Data...</v>
      </c>
      <c r="L17" s="162"/>
      <c r="M17" s="162" t="str">
        <f>Vandit!I15</f>
        <v>#N/A Requesting Data...</v>
      </c>
      <c r="N17" s="162"/>
      <c r="O17" s="164" t="str">
        <f>Vandit!J15</f>
        <v>#N/A Requesting Data...</v>
      </c>
      <c r="P17" s="164"/>
      <c r="Q17" s="164" t="e">
        <f>Vandit!K15</f>
        <v>#VALUE!</v>
      </c>
      <c r="R17" s="164"/>
      <c r="S17" s="164">
        <f>Vandit!L15</f>
        <v>-2.4999999999999467E-3</v>
      </c>
      <c r="AE17" t="s">
        <v>111</v>
      </c>
      <c r="AG17" t="s">
        <v>125</v>
      </c>
      <c r="AI17">
        <v>4.7564000000000002</v>
      </c>
    </row>
    <row r="18" spans="1:35" ht="15.75" x14ac:dyDescent="0.25">
      <c r="A18" s="158" t="str">
        <f>Vandit!A16</f>
        <v>#N/A Requesting Data...</v>
      </c>
      <c r="B18" s="158"/>
      <c r="C18" s="158" t="str">
        <f>Vandit!B16</f>
        <v>#N/A Requesting Data...</v>
      </c>
      <c r="D18" s="158"/>
      <c r="E18" s="164" t="str">
        <f>Vandit!C16</f>
        <v>#N/A Requesting Data...</v>
      </c>
      <c r="F18" s="164"/>
      <c r="G18" s="164" t="e">
        <f>Vandit!D16</f>
        <v>#VALUE!</v>
      </c>
      <c r="H18" s="164"/>
      <c r="I18" s="164">
        <f>Vandit!E16</f>
        <v>-2.1090000000000053E-2</v>
      </c>
      <c r="K18" s="158" t="str">
        <f>Vandit!H16</f>
        <v>#N/A Requesting Data...</v>
      </c>
      <c r="L18" s="162"/>
      <c r="M18" s="162" t="str">
        <f>Vandit!I16</f>
        <v>#N/A Requesting Data...</v>
      </c>
      <c r="N18" s="162"/>
      <c r="O18" s="164" t="str">
        <f>Vandit!J16</f>
        <v>#N/A Requesting Data...</v>
      </c>
      <c r="P18" s="164"/>
      <c r="Q18" s="164" t="e">
        <f>Vandit!K16</f>
        <v>#VALUE!</v>
      </c>
      <c r="R18" s="164"/>
      <c r="S18" s="164">
        <f>Vandit!L16</f>
        <v>2.4999999999999467E-3</v>
      </c>
      <c r="AE18" t="s">
        <v>125</v>
      </c>
      <c r="AG18">
        <v>46470</v>
      </c>
      <c r="AI18">
        <v>4.7502000000000004</v>
      </c>
    </row>
    <row r="19" spans="1:35" ht="15.75" x14ac:dyDescent="0.25">
      <c r="A19" s="158" t="str">
        <f>Vandit!A17</f>
        <v>#N/A Requesting Data...</v>
      </c>
      <c r="B19" s="158"/>
      <c r="C19" s="158" t="str">
        <f>Vandit!B17</f>
        <v>#N/A Requesting Data...</v>
      </c>
      <c r="D19" s="158"/>
      <c r="E19" s="164" t="str">
        <f>Vandit!C17</f>
        <v>#N/A Requesting Data...</v>
      </c>
      <c r="F19" s="164"/>
      <c r="G19" s="164" t="e">
        <f>Vandit!D17</f>
        <v>#VALUE!</v>
      </c>
      <c r="H19" s="164"/>
      <c r="I19" s="164">
        <f>Vandit!E17</f>
        <v>-1.9619999999999749E-2</v>
      </c>
      <c r="K19" s="158" t="str">
        <f>Vandit!H17</f>
        <v>#N/A Requesting Data...</v>
      </c>
      <c r="L19" s="162"/>
      <c r="M19" s="162" t="str">
        <f>Vandit!I17</f>
        <v>#N/A Requesting Data...</v>
      </c>
      <c r="N19" s="162"/>
      <c r="O19" s="164" t="str">
        <f>Vandit!J17</f>
        <v>#N/A Requesting Data...</v>
      </c>
      <c r="P19" s="164"/>
      <c r="Q19" s="164" t="e">
        <f>Vandit!K17</f>
        <v>#VALUE!</v>
      </c>
      <c r="R19" s="164"/>
      <c r="S19" s="164">
        <f>Vandit!L17</f>
        <v>7.5000000000002842E-3</v>
      </c>
    </row>
    <row r="20" spans="1:35" ht="15.75" x14ac:dyDescent="0.25">
      <c r="A20" s="158" t="str">
        <f>Vandit!A18</f>
        <v>#N/A Requesting Data...</v>
      </c>
      <c r="B20" s="158"/>
      <c r="C20" s="158" t="str">
        <f>Vandit!B18</f>
        <v>#N/A Requesting Data...</v>
      </c>
      <c r="D20" s="158"/>
      <c r="E20" s="164" t="str">
        <f>Vandit!C18</f>
        <v>#N/A Requesting Data...</v>
      </c>
      <c r="F20" s="164"/>
      <c r="G20" s="164" t="e">
        <f>Vandit!D18</f>
        <v>#VALUE!</v>
      </c>
      <c r="H20" s="164"/>
      <c r="I20" s="164">
        <f>Vandit!E18</f>
        <v>-1.3340000000000352E-2</v>
      </c>
      <c r="J20" s="163"/>
      <c r="K20" s="158" t="str">
        <f>Vandit!H18</f>
        <v>#N/A Requesting Data...</v>
      </c>
      <c r="L20" s="162"/>
      <c r="M20" s="162" t="str">
        <f>Vandit!I18</f>
        <v>#N/A Requesting Data...</v>
      </c>
      <c r="N20" s="162"/>
      <c r="O20" s="164" t="str">
        <f>Vandit!J18</f>
        <v>#N/A Requesting Data...</v>
      </c>
      <c r="P20" s="164"/>
      <c r="Q20" s="164" t="e">
        <f>Vandit!K18</f>
        <v>#VALUE!</v>
      </c>
      <c r="R20" s="164"/>
      <c r="S20" s="164">
        <f>Vandit!L18</f>
        <v>9.9999999999997868E-3</v>
      </c>
    </row>
    <row r="21" spans="1:35" ht="15.75" x14ac:dyDescent="0.25">
      <c r="A21" s="158" t="str">
        <f>Vandit!A19</f>
        <v>#N/A Requesting Data...</v>
      </c>
      <c r="B21" s="158"/>
      <c r="C21" s="158" t="str">
        <f>Vandit!B19</f>
        <v>#N/A Requesting Data...</v>
      </c>
      <c r="D21" s="158"/>
      <c r="E21" s="164" t="str">
        <f>Vandit!C19</f>
        <v>#N/A Requesting Data...</v>
      </c>
      <c r="F21" s="164"/>
      <c r="G21" s="164" t="e">
        <f>Vandit!D19</f>
        <v>#VALUE!</v>
      </c>
      <c r="H21" s="164"/>
      <c r="I21" s="164">
        <f>Vandit!E19</f>
        <v>-1.2670000000000847E-2</v>
      </c>
      <c r="J21" s="163"/>
      <c r="K21" s="158" t="str">
        <f>Vandit!H19</f>
        <v>#N/A Requesting Data...</v>
      </c>
      <c r="L21" s="162"/>
      <c r="M21" s="162" t="str">
        <f>Vandit!I19</f>
        <v>#N/A Requesting Data...</v>
      </c>
      <c r="N21" s="162"/>
      <c r="O21" s="164" t="str">
        <f>Vandit!J19</f>
        <v>#N/A Requesting Data...</v>
      </c>
      <c r="P21" s="164"/>
      <c r="Q21" s="164" t="e">
        <f>Vandit!K19</f>
        <v>#VALUE!</v>
      </c>
      <c r="R21" s="164"/>
      <c r="S21" s="164">
        <f>Vandit!L19</f>
        <v>1.2500000000000178E-2</v>
      </c>
      <c r="AE21" t="s">
        <v>85</v>
      </c>
    </row>
    <row r="22" spans="1:35" ht="15.75" x14ac:dyDescent="0.25">
      <c r="A22" s="158" t="str">
        <f>Vandit!A20</f>
        <v>#N/A Requesting Data...</v>
      </c>
      <c r="B22" s="158"/>
      <c r="C22" s="158" t="str">
        <f>Vandit!B20</f>
        <v>#N/A Requesting Data...</v>
      </c>
      <c r="D22" s="158"/>
      <c r="E22" s="164" t="str">
        <f>Vandit!C20</f>
        <v>#N/A Requesting Data...</v>
      </c>
      <c r="F22" s="164"/>
      <c r="G22" s="164" t="e">
        <f>Vandit!D20</f>
        <v>#VALUE!</v>
      </c>
      <c r="H22" s="164"/>
      <c r="I22" s="164">
        <f>Vandit!E20</f>
        <v>-9.8700000000002674E-3</v>
      </c>
      <c r="K22" s="158" t="str">
        <f>Vandit!H20</f>
        <v>#N/A Requesting Data...</v>
      </c>
      <c r="L22" s="162"/>
      <c r="M22" s="162" t="str">
        <f>Vandit!I20</f>
        <v>#N/A Requesting Data...</v>
      </c>
      <c r="N22" s="162"/>
      <c r="O22" s="164" t="str">
        <f>Vandit!J20</f>
        <v>#N/A Requesting Data...</v>
      </c>
      <c r="P22" s="164"/>
      <c r="Q22" s="164" t="e">
        <f>Vandit!K20</f>
        <v>#VALUE!</v>
      </c>
      <c r="R22" s="164"/>
      <c r="S22" s="164">
        <f>Vandit!L20</f>
        <v>1.2500000000000178E-2</v>
      </c>
      <c r="AE22" t="s">
        <v>66</v>
      </c>
      <c r="AG22" t="s">
        <v>67</v>
      </c>
      <c r="AI22" t="s">
        <v>68</v>
      </c>
    </row>
    <row r="23" spans="1:35" ht="15.75" x14ac:dyDescent="0.25">
      <c r="A23" s="158" t="str">
        <f>Vandit!A21</f>
        <v>#N/A Requesting Data...</v>
      </c>
      <c r="B23" s="158"/>
      <c r="C23" s="158" t="str">
        <f>Vandit!B21</f>
        <v>#N/A Requesting Data...</v>
      </c>
      <c r="D23" s="158"/>
      <c r="E23" s="164" t="str">
        <f>Vandit!C21</f>
        <v>#N/A Requesting Data...</v>
      </c>
      <c r="F23" s="164"/>
      <c r="G23" s="164" t="e">
        <f>Vandit!D21</f>
        <v>#VALUE!</v>
      </c>
      <c r="H23" s="164"/>
      <c r="I23" s="164">
        <f>Vandit!E21</f>
        <v>-7.5599999999997891E-3</v>
      </c>
      <c r="K23" s="158"/>
      <c r="L23" s="158"/>
      <c r="M23" s="158"/>
      <c r="N23" s="158"/>
      <c r="O23" s="164"/>
      <c r="P23" s="164"/>
      <c r="Q23" s="164"/>
      <c r="R23" s="164"/>
      <c r="S23" s="164"/>
      <c r="AE23" s="163" t="s">
        <v>101</v>
      </c>
      <c r="AG23" t="s">
        <v>102</v>
      </c>
      <c r="AI23">
        <v>2.3331</v>
      </c>
    </row>
    <row r="24" spans="1:35" ht="15.75" x14ac:dyDescent="0.25">
      <c r="A24" s="158"/>
      <c r="B24" s="158"/>
      <c r="C24" s="158"/>
      <c r="D24" s="158"/>
      <c r="E24" s="164"/>
      <c r="F24" s="164"/>
      <c r="G24" s="164"/>
      <c r="H24" s="164"/>
      <c r="I24" s="164"/>
      <c r="K24" s="158" t="s">
        <v>152</v>
      </c>
      <c r="L24" s="162"/>
      <c r="M24" s="162"/>
      <c r="N24" s="162"/>
      <c r="O24" s="164"/>
      <c r="P24" s="164"/>
      <c r="Q24" s="164"/>
      <c r="R24" s="164"/>
      <c r="S24" s="164"/>
      <c r="AE24" s="163" t="s">
        <v>102</v>
      </c>
      <c r="AG24" t="s">
        <v>115</v>
      </c>
      <c r="AI24">
        <v>2.5070000000000001</v>
      </c>
    </row>
    <row r="25" spans="1:35" ht="15.75" x14ac:dyDescent="0.25">
      <c r="A25" s="158"/>
      <c r="B25" s="158"/>
      <c r="C25" s="158"/>
      <c r="D25" s="158"/>
      <c r="E25" s="164"/>
      <c r="F25" s="164"/>
      <c r="G25" s="164"/>
      <c r="H25" s="164"/>
      <c r="I25" s="164"/>
      <c r="K25" s="158" t="s">
        <v>66</v>
      </c>
      <c r="L25" s="162"/>
      <c r="M25" s="162" t="s">
        <v>67</v>
      </c>
      <c r="N25" s="162"/>
      <c r="O25" s="164" t="s">
        <v>68</v>
      </c>
      <c r="P25" s="164"/>
      <c r="Q25" s="164" t="s">
        <v>69</v>
      </c>
      <c r="R25" s="164"/>
      <c r="S25" s="164" t="s">
        <v>92</v>
      </c>
      <c r="AE25" s="163" t="s">
        <v>115</v>
      </c>
      <c r="AG25" t="s">
        <v>116</v>
      </c>
      <c r="AI25">
        <v>2.7281</v>
      </c>
    </row>
    <row r="26" spans="1:35" ht="15" customHeight="1" x14ac:dyDescent="0.25">
      <c r="A26" s="158"/>
      <c r="B26" s="158"/>
      <c r="C26" s="158"/>
      <c r="D26" s="158"/>
      <c r="E26" s="164"/>
      <c r="F26" s="164"/>
      <c r="G26" s="164"/>
      <c r="H26" s="164"/>
      <c r="I26" s="164"/>
      <c r="K26" s="158" t="str">
        <f>Vandit!H27</f>
        <v>#N/A Requesting Data...</v>
      </c>
      <c r="L26" s="162"/>
      <c r="M26" s="162" t="str">
        <f>Vandit!I27</f>
        <v>#N/A Requesting Data...</v>
      </c>
      <c r="N26" s="162"/>
      <c r="O26" s="164" t="str">
        <f>Vandit!J27</f>
        <v>#N/A Requesting Data...</v>
      </c>
      <c r="P26" s="164"/>
      <c r="Q26" s="164">
        <f>IFERROR(Vandit!K27,0)</f>
        <v>0</v>
      </c>
      <c r="R26" s="164"/>
      <c r="S26" s="164">
        <f>IFERROR(Vandit!L27,0)</f>
        <v>-6.2499999999998668E-3</v>
      </c>
      <c r="AE26" s="163" t="s">
        <v>116</v>
      </c>
      <c r="AG26" t="s">
        <v>117</v>
      </c>
      <c r="AI26">
        <v>2.8972000000000002</v>
      </c>
    </row>
    <row r="27" spans="1:35" ht="15.75" x14ac:dyDescent="0.25">
      <c r="A27" s="155"/>
      <c r="B27" s="155"/>
      <c r="C27" s="158"/>
      <c r="D27" s="158"/>
      <c r="E27" s="164"/>
      <c r="F27" s="164"/>
      <c r="G27" s="164"/>
      <c r="H27" s="164"/>
      <c r="I27" s="155"/>
      <c r="K27" s="158" t="str">
        <f>Vandit!H28</f>
        <v>#N/A Requesting Data...</v>
      </c>
      <c r="L27" s="162"/>
      <c r="M27" s="162" t="str">
        <f>Vandit!I28</f>
        <v>#N/A Requesting Data...</v>
      </c>
      <c r="N27" s="162"/>
      <c r="O27" s="164" t="str">
        <f>Vandit!J28</f>
        <v>#N/A Requesting Data...</v>
      </c>
      <c r="P27" s="164"/>
      <c r="Q27" s="164">
        <f>IFERROR(Vandit!K28,0)</f>
        <v>0</v>
      </c>
      <c r="R27" s="164"/>
      <c r="S27" s="164">
        <f>IFERROR(Vandit!L28,0)</f>
        <v>-3.7499999999999201E-3</v>
      </c>
      <c r="AE27" s="163" t="s">
        <v>117</v>
      </c>
      <c r="AG27" t="s">
        <v>124</v>
      </c>
      <c r="AI27">
        <v>3.1107</v>
      </c>
    </row>
    <row r="28" spans="1:35" ht="15.75" x14ac:dyDescent="0.25">
      <c r="A28" s="155" t="s">
        <v>84</v>
      </c>
      <c r="B28" s="155"/>
      <c r="C28" s="158"/>
      <c r="D28" s="158"/>
      <c r="E28" s="164"/>
      <c r="F28" s="164"/>
      <c r="G28" s="164"/>
      <c r="H28" s="164"/>
      <c r="I28" s="155"/>
      <c r="K28" s="158" t="str">
        <f>Vandit!H29</f>
        <v>#N/A Requesting Data...</v>
      </c>
      <c r="L28" s="162"/>
      <c r="M28" s="162" t="str">
        <f>Vandit!I29</f>
        <v>#N/A Requesting Data...</v>
      </c>
      <c r="N28" s="162"/>
      <c r="O28" s="164" t="str">
        <f>Vandit!J29</f>
        <v>#N/A Requesting Data...</v>
      </c>
      <c r="P28" s="164"/>
      <c r="Q28" s="164">
        <f>IFERROR(Vandit!K29,0)</f>
        <v>0</v>
      </c>
      <c r="R28" s="164"/>
      <c r="S28" s="164">
        <f>IFERROR(Vandit!L29,0)</f>
        <v>-2.4999999999999467E-3</v>
      </c>
      <c r="AE28" s="163" t="s">
        <v>124</v>
      </c>
      <c r="AG28" t="s">
        <v>123</v>
      </c>
      <c r="AI28">
        <v>3.2825000000000002</v>
      </c>
    </row>
    <row r="29" spans="1:35" ht="15.75" x14ac:dyDescent="0.25">
      <c r="A29" s="155" t="str">
        <f>Vandit!A27</f>
        <v>Start_date</v>
      </c>
      <c r="B29" s="155"/>
      <c r="C29" s="158" t="str">
        <f>Vandit!B27</f>
        <v> Maturity</v>
      </c>
      <c r="D29" s="158"/>
      <c r="E29" s="164" t="str">
        <f>Vandit!C27</f>
        <v>T </v>
      </c>
      <c r="F29" s="164"/>
      <c r="G29" s="164" t="str">
        <f>Vandit!D27</f>
        <v>T-1</v>
      </c>
      <c r="H29" s="164"/>
      <c r="I29" s="155" t="s">
        <v>70</v>
      </c>
      <c r="K29" s="158" t="str">
        <f>Vandit!H30</f>
        <v>#N/A Requesting Data...</v>
      </c>
      <c r="L29" s="162"/>
      <c r="M29" s="162" t="str">
        <f>Vandit!I30</f>
        <v>#N/A Requesting Data...</v>
      </c>
      <c r="N29" s="162"/>
      <c r="O29" s="164" t="str">
        <f>Vandit!J30</f>
        <v>#N/A Requesting Data...</v>
      </c>
      <c r="P29" s="164"/>
      <c r="Q29" s="164">
        <f>IFERROR(Vandit!K30,0)</f>
        <v>0</v>
      </c>
      <c r="R29" s="164"/>
      <c r="S29" s="164">
        <f>IFERROR(Vandit!L30,0)</f>
        <v>-2.4999999999999467E-3</v>
      </c>
    </row>
    <row r="30" spans="1:35" ht="15.75" x14ac:dyDescent="0.25">
      <c r="A30" s="158" t="str">
        <f>Vandit!A28</f>
        <v>#N/A Requesting Data...</v>
      </c>
      <c r="B30" s="158"/>
      <c r="C30" s="158" t="str">
        <f>Vandit!B28</f>
        <v>#N/A Requesting Data...</v>
      </c>
      <c r="D30" s="158"/>
      <c r="E30" s="164" t="str">
        <f ca="1">Vandit!C28</f>
        <v>#N/A Requesting Data...</v>
      </c>
      <c r="F30" s="164"/>
      <c r="G30" s="164" t="e">
        <f ca="1">Vandit!D28</f>
        <v>#VALUE!</v>
      </c>
      <c r="H30" s="164"/>
      <c r="I30" s="164">
        <f>Vandit!E28</f>
        <v>-1.000000000000334E-3</v>
      </c>
      <c r="K30" s="158" t="str">
        <f>Vandit!H31</f>
        <v>#N/A Requesting Data...</v>
      </c>
      <c r="L30" s="162"/>
      <c r="M30" s="162" t="str">
        <f>Vandit!I31</f>
        <v>#N/A Requesting Data...</v>
      </c>
      <c r="N30" s="162"/>
      <c r="O30" s="164" t="str">
        <f>Vandit!J31</f>
        <v>#N/A Requesting Data...</v>
      </c>
      <c r="P30" s="164"/>
      <c r="Q30" s="164">
        <f>IFERROR(Vandit!K31,0)</f>
        <v>0</v>
      </c>
      <c r="R30" s="164"/>
      <c r="S30" s="164">
        <f>IFERROR(Vandit!L31,0)</f>
        <v>-3.7499999999999201E-3</v>
      </c>
    </row>
    <row r="31" spans="1:35" ht="15.75" x14ac:dyDescent="0.25">
      <c r="A31" s="158" t="str">
        <f>Vandit!A29</f>
        <v>#N/A Requesting Data...</v>
      </c>
      <c r="B31" s="158"/>
      <c r="C31" s="158" t="str">
        <f>Vandit!B29</f>
        <v>#N/A Requesting Data...</v>
      </c>
      <c r="D31" s="158"/>
      <c r="E31" s="164" t="str">
        <f ca="1">Vandit!C29</f>
        <v>#N/A Requesting Data...</v>
      </c>
      <c r="F31" s="164"/>
      <c r="G31" s="164" t="e">
        <f ca="1">Vandit!D29</f>
        <v>#VALUE!</v>
      </c>
      <c r="H31" s="164"/>
      <c r="I31" s="164">
        <f>Vandit!E29</f>
        <v>-1.000000000000334E-3</v>
      </c>
      <c r="K31" s="158" t="str">
        <f>Vandit!H32</f>
        <v>#N/A Requesting Data...</v>
      </c>
      <c r="L31" s="162"/>
      <c r="M31" s="162" t="str">
        <f>Vandit!I32</f>
        <v>#N/A Requesting Data...</v>
      </c>
      <c r="N31" s="162"/>
      <c r="O31" s="164" t="str">
        <f>Vandit!J32</f>
        <v>#N/A Requesting Data...</v>
      </c>
      <c r="P31" s="164"/>
      <c r="Q31" s="164">
        <f>IFERROR(Vandit!K32,0)</f>
        <v>0</v>
      </c>
      <c r="R31" s="164"/>
      <c r="S31" s="164">
        <f>IFERROR(Vandit!L32,0)</f>
        <v>-5.0000000000001155E-3</v>
      </c>
      <c r="AE31" t="s">
        <v>71</v>
      </c>
    </row>
    <row r="32" spans="1:35" ht="15.75" x14ac:dyDescent="0.25">
      <c r="A32" s="158" t="str">
        <f>Vandit!A30</f>
        <v>#N/A Requesting Data...</v>
      </c>
      <c r="B32" s="158"/>
      <c r="C32" s="158" t="str">
        <f>Vandit!B30</f>
        <v>#N/A Requesting Data...</v>
      </c>
      <c r="D32" s="158"/>
      <c r="E32" s="164" t="str">
        <f ca="1">Vandit!C30</f>
        <v>#N/A Requesting Data...</v>
      </c>
      <c r="F32" s="164"/>
      <c r="G32" s="164" t="e">
        <f ca="1">Vandit!D30</f>
        <v>#VALUE!</v>
      </c>
      <c r="H32" s="164"/>
      <c r="I32" s="164">
        <f>Vandit!E30</f>
        <v>-6.0000000000002274E-3</v>
      </c>
      <c r="K32" s="158" t="s">
        <v>188</v>
      </c>
      <c r="L32" s="162"/>
      <c r="M32" s="162"/>
      <c r="N32" s="162"/>
      <c r="O32" s="164"/>
      <c r="P32" s="164"/>
      <c r="Q32" s="164"/>
      <c r="R32" s="164"/>
      <c r="S32" s="164"/>
    </row>
    <row r="33" spans="1:35" ht="15.75" x14ac:dyDescent="0.25">
      <c r="A33" s="158" t="str">
        <f>Vandit!A31</f>
        <v>#N/A Requesting Data...</v>
      </c>
      <c r="B33" s="158"/>
      <c r="C33" s="158" t="str">
        <f>Vandit!B31</f>
        <v>#N/A Requesting Data...</v>
      </c>
      <c r="D33" s="158"/>
      <c r="E33" s="164" t="str">
        <f ca="1">Vandit!C31</f>
        <v>#N/A Requesting Data...</v>
      </c>
      <c r="F33" s="164"/>
      <c r="G33" s="164" t="e">
        <f ca="1">Vandit!D31</f>
        <v>#VALUE!</v>
      </c>
      <c r="H33" s="164"/>
      <c r="I33" s="164">
        <f>Vandit!E31</f>
        <v>-7.6000000000000512E-3</v>
      </c>
      <c r="K33" s="158" t="s">
        <v>66</v>
      </c>
      <c r="L33" s="162"/>
      <c r="M33" s="162" t="s">
        <v>67</v>
      </c>
      <c r="N33" s="162"/>
      <c r="O33" s="164" t="s">
        <v>68</v>
      </c>
      <c r="P33" s="164"/>
      <c r="Q33" s="164" t="s">
        <v>69</v>
      </c>
      <c r="R33" s="164"/>
      <c r="S33" s="164" t="s">
        <v>92</v>
      </c>
      <c r="AE33" t="s">
        <v>86</v>
      </c>
    </row>
    <row r="34" spans="1:35" ht="15.75" x14ac:dyDescent="0.25">
      <c r="A34" s="158" t="str">
        <f>Vandit!A32</f>
        <v>#N/A Requesting Data...</v>
      </c>
      <c r="B34" s="158"/>
      <c r="C34" s="158" t="str">
        <f>Vandit!B32</f>
        <v>#N/A Requesting Data...</v>
      </c>
      <c r="D34" s="158"/>
      <c r="E34" s="164" t="str">
        <f ca="1">Vandit!C32</f>
        <v>#N/A Requesting Data...</v>
      </c>
      <c r="F34" s="164"/>
      <c r="G34" s="164" t="e">
        <f ca="1">Vandit!D32</f>
        <v>#VALUE!</v>
      </c>
      <c r="H34" s="164"/>
      <c r="I34" s="164">
        <f>Vandit!E32</f>
        <v>-2.3999999999997357E-3</v>
      </c>
      <c r="K34" s="158" t="str">
        <f>Vandit!H39</f>
        <v>#N/A Requesting Data...</v>
      </c>
      <c r="L34" s="162"/>
      <c r="M34" s="158" t="str">
        <f>Vandit!I39</f>
        <v>#N/A Requesting Data...</v>
      </c>
      <c r="N34" s="162"/>
      <c r="O34" s="406" t="str">
        <f>Vandit!J39</f>
        <v>#N/A Requesting Data...</v>
      </c>
      <c r="P34" s="164"/>
      <c r="Q34" s="164" t="e">
        <f>Vandit!K39</f>
        <v>#VALUE!</v>
      </c>
      <c r="R34" s="164"/>
      <c r="S34" s="164">
        <f>Vandit!L39</f>
        <v>-5.0000000000007816E-3</v>
      </c>
      <c r="AE34" t="s">
        <v>66</v>
      </c>
      <c r="AG34" t="s">
        <v>67</v>
      </c>
      <c r="AI34" t="s">
        <v>68</v>
      </c>
    </row>
    <row r="35" spans="1:35" ht="15.75" x14ac:dyDescent="0.25">
      <c r="A35" s="158" t="str">
        <f>Vandit!A33</f>
        <v>#N/A Requesting Data...</v>
      </c>
      <c r="B35" s="158"/>
      <c r="C35" s="158" t="str">
        <f>Vandit!B33</f>
        <v>#N/A Requesting Data...</v>
      </c>
      <c r="D35" s="158"/>
      <c r="E35" s="164" t="str">
        <f ca="1">Vandit!C33</f>
        <v>#N/A Requesting Data...</v>
      </c>
      <c r="F35" s="164"/>
      <c r="G35" s="164" t="e">
        <f ca="1">Vandit!D33</f>
        <v>#VALUE!</v>
      </c>
      <c r="H35" s="164"/>
      <c r="I35" s="164">
        <f>Vandit!E33</f>
        <v>9.700000000000486E-3</v>
      </c>
      <c r="K35" s="158" t="str">
        <f>Vandit!H40</f>
        <v>#N/A Requesting Data...</v>
      </c>
      <c r="L35" s="162"/>
      <c r="M35" s="158" t="str">
        <f>Vandit!I40</f>
        <v>#N/A Requesting Data...</v>
      </c>
      <c r="N35" s="162"/>
      <c r="O35" s="406" t="str">
        <f>Vandit!J40</f>
        <v>#N/A Requesting Data...</v>
      </c>
      <c r="P35" s="164"/>
      <c r="Q35" s="164" t="e">
        <f>Vandit!K40</f>
        <v>#VALUE!</v>
      </c>
      <c r="R35" s="164"/>
      <c r="S35" s="164">
        <f>Vandit!L40</f>
        <v>-1.499999999999968E-2</v>
      </c>
      <c r="AE35" t="s">
        <v>96</v>
      </c>
      <c r="AG35" t="s">
        <v>94</v>
      </c>
      <c r="AI35">
        <v>3.6375999999999999</v>
      </c>
    </row>
    <row r="36" spans="1:35" ht="15.75" x14ac:dyDescent="0.25">
      <c r="A36" s="158" t="str">
        <f>Vandit!A34</f>
        <v>#N/A Requesting Data...</v>
      </c>
      <c r="B36" s="158"/>
      <c r="C36" s="158" t="str">
        <f>Vandit!B34</f>
        <v>#N/A Requesting Data...</v>
      </c>
      <c r="D36" s="158"/>
      <c r="E36" s="164" t="str">
        <f ca="1">Vandit!C34</f>
        <v>#N/A Requesting Data...</v>
      </c>
      <c r="F36" s="164"/>
      <c r="G36" s="164" t="e">
        <f ca="1">Vandit!D34</f>
        <v>#VALUE!</v>
      </c>
      <c r="H36" s="164"/>
      <c r="I36" s="164">
        <f>Vandit!E34</f>
        <v>-2.4999999999995026E-3</v>
      </c>
      <c r="K36" s="158" t="str">
        <f>Vandit!H41</f>
        <v>#N/A Requesting Data...</v>
      </c>
      <c r="L36" s="162"/>
      <c r="M36" s="158" t="str">
        <f>Vandit!I41</f>
        <v>#N/A Requesting Data...</v>
      </c>
      <c r="N36" s="162"/>
      <c r="O36" s="406" t="str">
        <f>Vandit!J41</f>
        <v>#N/A Requesting Data...</v>
      </c>
      <c r="P36" s="164"/>
      <c r="Q36" s="164" t="e">
        <f>Vandit!K41</f>
        <v>#VALUE!</v>
      </c>
      <c r="R36" s="164"/>
      <c r="S36" s="164">
        <f>Vandit!L41</f>
        <v>-1.499999999999968E-2</v>
      </c>
      <c r="AE36" t="s">
        <v>94</v>
      </c>
      <c r="AG36" t="s">
        <v>97</v>
      </c>
      <c r="AI36">
        <v>3.6406999999999998</v>
      </c>
    </row>
    <row r="37" spans="1:35" ht="15.75" x14ac:dyDescent="0.25">
      <c r="A37" s="158"/>
      <c r="B37" s="158"/>
      <c r="C37" s="158"/>
      <c r="D37" s="158"/>
      <c r="E37" s="164"/>
      <c r="F37" s="164"/>
      <c r="G37" s="164"/>
      <c r="H37" s="164"/>
      <c r="I37" s="164"/>
      <c r="K37" s="158" t="str">
        <f>Vandit!H42</f>
        <v>#N/A Requesting Data...</v>
      </c>
      <c r="L37" s="162"/>
      <c r="M37" s="158" t="str">
        <f>Vandit!I42</f>
        <v>#N/A Requesting Data...</v>
      </c>
      <c r="N37" s="162"/>
      <c r="O37" s="406" t="str">
        <f>Vandit!J42</f>
        <v>#N/A Requesting Data...</v>
      </c>
      <c r="P37" s="164"/>
      <c r="Q37" s="164" t="e">
        <f>Vandit!K42</f>
        <v>#VALUE!</v>
      </c>
      <c r="R37" s="164"/>
      <c r="S37" s="164">
        <f>Vandit!L42</f>
        <v>-1.9999999999999574E-2</v>
      </c>
      <c r="AE37" t="s">
        <v>97</v>
      </c>
      <c r="AG37" t="s">
        <v>107</v>
      </c>
      <c r="AI37">
        <v>3.6617000000000002</v>
      </c>
    </row>
    <row r="38" spans="1:35" ht="15.75" x14ac:dyDescent="0.25">
      <c r="A38" s="155"/>
      <c r="B38" s="155"/>
      <c r="C38" s="158"/>
      <c r="D38" s="158"/>
      <c r="E38" s="164"/>
      <c r="F38" s="164"/>
      <c r="G38" s="164"/>
      <c r="H38" s="164"/>
      <c r="I38" s="155"/>
      <c r="K38" s="158" t="str">
        <f>Vandit!H43</f>
        <v>#N/A Requesting Data...</v>
      </c>
      <c r="L38" s="162"/>
      <c r="M38" s="158" t="str">
        <f>Vandit!I43</f>
        <v>#N/A Requesting Data...</v>
      </c>
      <c r="N38" s="162"/>
      <c r="O38" s="406" t="str">
        <f>Vandit!J43</f>
        <v>#N/A Requesting Data...</v>
      </c>
      <c r="P38" s="164"/>
      <c r="Q38" s="164" t="e">
        <f>Vandit!K43</f>
        <v>#VALUE!</v>
      </c>
      <c r="R38" s="164"/>
      <c r="S38" s="164">
        <f>Vandit!L43</f>
        <v>-2.0000000000000462E-2</v>
      </c>
      <c r="AE38" t="s">
        <v>107</v>
      </c>
      <c r="AG38" t="s">
        <v>111</v>
      </c>
      <c r="AI38">
        <v>3.7008999999999999</v>
      </c>
    </row>
    <row r="39" spans="1:35" ht="15.75" x14ac:dyDescent="0.25">
      <c r="A39" s="155" t="s">
        <v>85</v>
      </c>
      <c r="B39" s="155"/>
      <c r="C39" s="158"/>
      <c r="D39" s="158"/>
      <c r="E39" s="164"/>
      <c r="F39" s="164"/>
      <c r="G39" s="164"/>
      <c r="H39" s="164"/>
      <c r="I39" s="155"/>
      <c r="K39" s="158"/>
      <c r="L39" s="162"/>
      <c r="M39" s="158"/>
      <c r="N39" s="162"/>
      <c r="O39" s="406"/>
      <c r="P39" s="164"/>
      <c r="Q39" s="164"/>
      <c r="R39" s="164"/>
      <c r="S39" s="164"/>
      <c r="AE39" t="s">
        <v>111</v>
      </c>
      <c r="AG39" t="s">
        <v>118</v>
      </c>
      <c r="AI39">
        <v>3.7509999999999999</v>
      </c>
    </row>
    <row r="40" spans="1:35" ht="15.75" x14ac:dyDescent="0.25">
      <c r="A40" s="155" t="str">
        <f>Vandit!A39</f>
        <v>Start_date</v>
      </c>
      <c r="B40" s="155"/>
      <c r="C40" s="158" t="str">
        <f>Vandit!B39</f>
        <v> Maturity</v>
      </c>
      <c r="D40" s="158"/>
      <c r="E40" s="164" t="str">
        <f>Vandit!C39</f>
        <v>T </v>
      </c>
      <c r="F40" s="164"/>
      <c r="G40" s="164" t="str">
        <f>Vandit!D39</f>
        <v>T-1</v>
      </c>
      <c r="H40" s="164"/>
      <c r="I40" s="155" t="s">
        <v>70</v>
      </c>
      <c r="K40" s="158"/>
      <c r="L40" s="162"/>
      <c r="M40" s="162"/>
      <c r="N40" s="162"/>
      <c r="O40" s="164"/>
      <c r="P40" s="164"/>
      <c r="Q40" s="164"/>
      <c r="R40" s="164"/>
      <c r="S40" s="164"/>
      <c r="AE40" t="s">
        <v>118</v>
      </c>
      <c r="AG40" t="s">
        <v>119</v>
      </c>
      <c r="AI40">
        <v>3.7967</v>
      </c>
    </row>
    <row r="41" spans="1:35" ht="15.75" x14ac:dyDescent="0.25">
      <c r="A41" s="158" t="str">
        <f>Vandit!A40</f>
        <v>#N/A Requesting Data...</v>
      </c>
      <c r="B41" s="158"/>
      <c r="C41" s="158" t="str">
        <f>Vandit!B40</f>
        <v>#N/A Requesting Data...</v>
      </c>
      <c r="D41" s="158"/>
      <c r="E41" s="164" t="str">
        <f>Vandit!C40</f>
        <v>#N/A Requesting Data...</v>
      </c>
      <c r="F41" s="164"/>
      <c r="G41" s="164" t="e">
        <f>Vandit!D40</f>
        <v>#VALUE!</v>
      </c>
      <c r="H41" s="164"/>
      <c r="I41" s="164">
        <f>Vandit!E40</f>
        <v>2.5000000000003908E-3</v>
      </c>
      <c r="K41" s="158" t="s">
        <v>154</v>
      </c>
      <c r="L41" s="162"/>
      <c r="M41" s="162"/>
      <c r="N41" s="162"/>
      <c r="O41" s="164"/>
      <c r="P41" s="164"/>
      <c r="Q41" s="164"/>
      <c r="R41" s="164"/>
      <c r="S41" s="164"/>
      <c r="AE41" t="s">
        <v>119</v>
      </c>
      <c r="AG41" t="s">
        <v>122</v>
      </c>
      <c r="AI41">
        <v>3.8380000000000001</v>
      </c>
    </row>
    <row r="42" spans="1:35" ht="15.75" x14ac:dyDescent="0.25">
      <c r="A42" s="158" t="str">
        <f>Vandit!A41</f>
        <v>#N/A Requesting Data...</v>
      </c>
      <c r="B42" s="158"/>
      <c r="C42" s="158" t="str">
        <f>Vandit!B41</f>
        <v>#N/A Requesting Data...</v>
      </c>
      <c r="D42" s="158"/>
      <c r="E42" s="164" t="str">
        <f>Vandit!C41</f>
        <v>#N/A Requesting Data...</v>
      </c>
      <c r="F42" s="164"/>
      <c r="G42" s="164" t="e">
        <f>Vandit!D41</f>
        <v>#VALUE!</v>
      </c>
      <c r="H42" s="164"/>
      <c r="I42" s="164">
        <f>Vandit!E41</f>
        <v>4.9999999999998934E-3</v>
      </c>
      <c r="K42" s="158" t="str">
        <f>Vandit!H46</f>
        <v>Start_date</v>
      </c>
      <c r="L42" s="162"/>
      <c r="M42" s="162" t="str">
        <f>Vandit!I46</f>
        <v> Maturity</v>
      </c>
      <c r="N42" s="162"/>
      <c r="O42" s="164" t="str">
        <f>Vandit!J46</f>
        <v>T </v>
      </c>
      <c r="P42" s="164"/>
      <c r="Q42" s="164" t="str">
        <f>Vandit!K46</f>
        <v>T-1</v>
      </c>
      <c r="R42" s="164"/>
      <c r="S42" s="164" t="str">
        <f>Vandit!L46</f>
        <v>Δ on day</v>
      </c>
      <c r="AE42" t="s">
        <v>122</v>
      </c>
      <c r="AG42" t="s">
        <v>126</v>
      </c>
      <c r="AI42">
        <v>3.851</v>
      </c>
    </row>
    <row r="43" spans="1:35" ht="15.75" x14ac:dyDescent="0.25">
      <c r="A43" s="158" t="str">
        <f>Vandit!A42</f>
        <v>#N/A Requesting Data...</v>
      </c>
      <c r="B43" s="158"/>
      <c r="C43" s="158" t="str">
        <f>Vandit!B42</f>
        <v>#N/A Requesting Data...</v>
      </c>
      <c r="D43" s="158"/>
      <c r="E43" s="164" t="str">
        <f>Vandit!C42</f>
        <v>#N/A Requesting Data...</v>
      </c>
      <c r="F43" s="164"/>
      <c r="G43" s="164" t="e">
        <f>Vandit!D42</f>
        <v>#VALUE!</v>
      </c>
      <c r="H43" s="164"/>
      <c r="I43" s="164">
        <f>Vandit!E42</f>
        <v>2.5000000000003908E-3</v>
      </c>
      <c r="J43" s="163"/>
      <c r="K43" s="158" t="str">
        <f>Vandit!H47</f>
        <v>#N/A Requesting Data...</v>
      </c>
      <c r="L43" s="162"/>
      <c r="M43" s="162" t="str">
        <f>Vandit!I47</f>
        <v>#N/A Requesting Data...</v>
      </c>
      <c r="N43" s="162"/>
      <c r="O43" s="164" t="str">
        <f>Vandit!J47</f>
        <v>#N/A Requesting Data...</v>
      </c>
      <c r="P43" s="164"/>
      <c r="Q43" s="164" t="e">
        <f>Vandit!K47</f>
        <v>#VALUE!</v>
      </c>
      <c r="R43" s="164"/>
      <c r="S43" s="164">
        <f>Vandit!L47</f>
        <v>-3.0159666419600217E-3</v>
      </c>
    </row>
    <row r="44" spans="1:35" ht="15.75" x14ac:dyDescent="0.25">
      <c r="A44" s="158" t="str">
        <f>Vandit!A43</f>
        <v>#N/A Requesting Data...</v>
      </c>
      <c r="B44" s="158"/>
      <c r="C44" s="158" t="str">
        <f>Vandit!B43</f>
        <v>#N/A Requesting Data...</v>
      </c>
      <c r="D44" s="158"/>
      <c r="E44" s="164" t="str">
        <f>Vandit!C43</f>
        <v>#N/A Requesting Data...</v>
      </c>
      <c r="F44" s="164"/>
      <c r="G44" s="164" t="e">
        <f>Vandit!D43</f>
        <v>#VALUE!</v>
      </c>
      <c r="H44" s="164"/>
      <c r="I44" s="164">
        <f>Vandit!E43</f>
        <v>-2.4999999999999467E-3</v>
      </c>
      <c r="K44" s="158" t="str">
        <f>Vandit!H48</f>
        <v>#N/A Requesting Data...</v>
      </c>
      <c r="L44" s="162"/>
      <c r="M44" s="162" t="str">
        <f>Vandit!I48</f>
        <v>#N/A Requesting Data...</v>
      </c>
      <c r="N44" s="162"/>
      <c r="O44" s="164" t="str">
        <f>Vandit!J48</f>
        <v>#N/A Requesting Data...</v>
      </c>
      <c r="P44" s="164"/>
      <c r="Q44" s="164" t="e">
        <f>Vandit!K48</f>
        <v>#VALUE!</v>
      </c>
      <c r="R44" s="164"/>
      <c r="S44" s="164">
        <f>Vandit!L48</f>
        <v>-6.9998354208200553E-3</v>
      </c>
      <c r="AE44" t="s">
        <v>87</v>
      </c>
    </row>
    <row r="45" spans="1:35" ht="15.75" x14ac:dyDescent="0.25">
      <c r="A45" s="158" t="str">
        <f>Vandit!A44</f>
        <v>#N/A Requesting Data...</v>
      </c>
      <c r="B45" s="158"/>
      <c r="C45" s="158" t="str">
        <f>Vandit!B44</f>
        <v>#N/A Requesting Data...</v>
      </c>
      <c r="D45" s="158"/>
      <c r="E45" s="164" t="str">
        <f>Vandit!C44</f>
        <v>#N/A Requesting Data...</v>
      </c>
      <c r="F45" s="164"/>
      <c r="G45" s="164" t="e">
        <f>Vandit!D44</f>
        <v>#VALUE!</v>
      </c>
      <c r="H45" s="164"/>
      <c r="I45" s="164">
        <f>Vandit!E44</f>
        <v>-7.5000000000002842E-3</v>
      </c>
      <c r="K45" s="158" t="str">
        <f>Vandit!H49</f>
        <v>#N/A Requesting Data...</v>
      </c>
      <c r="L45" s="162"/>
      <c r="M45" s="162" t="str">
        <f>Vandit!I49</f>
        <v>#N/A Requesting Data...</v>
      </c>
      <c r="N45" s="162"/>
      <c r="O45" s="164" t="str">
        <f>Vandit!J49</f>
        <v>#N/A Requesting Data...</v>
      </c>
      <c r="P45" s="164"/>
      <c r="Q45" s="164" t="e">
        <f>Vandit!K49</f>
        <v>#VALUE!</v>
      </c>
      <c r="R45" s="164"/>
      <c r="S45" s="164">
        <f>Vandit!L49</f>
        <v>2.7427505695198917E-3</v>
      </c>
      <c r="AE45" t="s">
        <v>66</v>
      </c>
      <c r="AG45" t="s">
        <v>67</v>
      </c>
      <c r="AI45" t="s">
        <v>68</v>
      </c>
    </row>
    <row r="46" spans="1:35" ht="15.75" x14ac:dyDescent="0.25">
      <c r="A46" s="158" t="str">
        <f>Vandit!A45</f>
        <v>#N/A Requesting Data...</v>
      </c>
      <c r="B46" s="158"/>
      <c r="C46" s="158" t="str">
        <f>Vandit!B45</f>
        <v>#N/A Requesting Data...</v>
      </c>
      <c r="D46" s="158"/>
      <c r="E46" s="164" t="str">
        <f>Vandit!C45</f>
        <v>#N/A Requesting Data...</v>
      </c>
      <c r="F46" s="164"/>
      <c r="G46" s="164" t="e">
        <f>Vandit!D45</f>
        <v>#VALUE!</v>
      </c>
      <c r="H46" s="164"/>
      <c r="I46" s="164">
        <f>Vandit!E45</f>
        <v>-1.2500000000000178E-2</v>
      </c>
      <c r="K46" s="407"/>
      <c r="L46" s="408"/>
      <c r="M46" s="408"/>
      <c r="N46" s="408"/>
      <c r="O46" s="409"/>
      <c r="P46" s="409"/>
      <c r="Q46" s="409"/>
      <c r="R46" s="409"/>
      <c r="S46" s="409"/>
      <c r="T46" t="s">
        <v>192</v>
      </c>
      <c r="AE46" t="s">
        <v>113</v>
      </c>
      <c r="AG46" t="s">
        <v>114</v>
      </c>
      <c r="AI46">
        <v>2.31</v>
      </c>
    </row>
    <row r="47" spans="1:35" ht="15.75" x14ac:dyDescent="0.25">
      <c r="A47" s="158" t="str">
        <f>Vandit!A46</f>
        <v>#N/A Requesting Data...</v>
      </c>
      <c r="B47" s="158"/>
      <c r="C47" s="158" t="str">
        <f>Vandit!B46</f>
        <v>#N/A Requesting Data...</v>
      </c>
      <c r="D47" s="158"/>
      <c r="E47" s="164" t="str">
        <f>Vandit!C46</f>
        <v>#N/A Requesting Data...</v>
      </c>
      <c r="F47" s="164"/>
      <c r="G47" s="164" t="e">
        <f>Vandit!D46</f>
        <v>#VALUE!</v>
      </c>
      <c r="H47" s="164"/>
      <c r="I47" s="164">
        <f>Vandit!E46</f>
        <v>-2.2600000000000176E-2</v>
      </c>
      <c r="K47" s="407"/>
      <c r="L47" s="408"/>
      <c r="M47" s="408"/>
      <c r="N47" s="408"/>
      <c r="O47" s="409"/>
      <c r="P47" s="409"/>
      <c r="Q47" s="409"/>
      <c r="R47" s="409"/>
      <c r="S47" s="409"/>
      <c r="AE47" t="s">
        <v>114</v>
      </c>
      <c r="AG47" t="s">
        <v>115</v>
      </c>
      <c r="AI47">
        <v>2.415</v>
      </c>
    </row>
    <row r="48" spans="1:35" ht="15.75" x14ac:dyDescent="0.25">
      <c r="A48" s="158"/>
      <c r="B48" s="158"/>
      <c r="C48" s="158"/>
      <c r="D48" s="158"/>
      <c r="E48" s="164"/>
      <c r="F48" s="164"/>
      <c r="G48" s="164"/>
      <c r="H48" s="164"/>
      <c r="I48" s="164"/>
      <c r="AE48" t="s">
        <v>115</v>
      </c>
      <c r="AG48">
        <v>46051</v>
      </c>
      <c r="AI48">
        <v>2.5950000000000002</v>
      </c>
    </row>
    <row r="49" spans="31:35" x14ac:dyDescent="0.25">
      <c r="AE49" t="s">
        <v>116</v>
      </c>
      <c r="AG49" t="s">
        <v>117</v>
      </c>
      <c r="AI49">
        <v>2.7749999999999999</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7FDE6-9D80-48EA-A766-45AD5445DD03}">
  <sheetPr codeName="Sheet10"/>
  <dimension ref="B2:V84"/>
  <sheetViews>
    <sheetView zoomScaleNormal="100" workbookViewId="0"/>
  </sheetViews>
  <sheetFormatPr defaultRowHeight="15" x14ac:dyDescent="0.25"/>
  <cols>
    <col min="2" max="2" width="8.5703125" bestFit="1" customWidth="1"/>
    <col min="3" max="3" width="14.7109375" bestFit="1" customWidth="1"/>
    <col min="4" max="4" width="10" bestFit="1" customWidth="1"/>
    <col min="5" max="5" width="0" hidden="1" customWidth="1"/>
    <col min="6" max="6" width="15.140625" bestFit="1" customWidth="1"/>
    <col min="17" max="17" width="15.28515625" bestFit="1" customWidth="1"/>
    <col min="18" max="19" width="13.85546875" bestFit="1" customWidth="1"/>
    <col min="22" max="22" width="11" bestFit="1" customWidth="1"/>
  </cols>
  <sheetData>
    <row r="2" spans="2:6" ht="16.5" thickBot="1" x14ac:dyDescent="0.3">
      <c r="B2" s="280" t="s">
        <v>65</v>
      </c>
      <c r="C2" s="281"/>
      <c r="D2" s="281"/>
      <c r="E2" s="281"/>
      <c r="F2" s="281"/>
    </row>
    <row r="3" spans="2:6" ht="15.75" thickBot="1" x14ac:dyDescent="0.3">
      <c r="B3" s="247" t="s">
        <v>3</v>
      </c>
      <c r="C3" s="216" t="s">
        <v>4</v>
      </c>
      <c r="D3" s="217" t="s">
        <v>6</v>
      </c>
      <c r="E3" s="217" t="s">
        <v>21</v>
      </c>
      <c r="F3" s="218" t="s">
        <v>72</v>
      </c>
    </row>
    <row r="4" spans="2:6" x14ac:dyDescent="0.25">
      <c r="B4" s="233" t="str">
        <f>Current!E7</f>
        <v>#N/A Requesting Data...</v>
      </c>
      <c r="C4" s="250" t="str">
        <f>Current!F7</f>
        <v>#N/A Requesting Data...</v>
      </c>
      <c r="D4" s="253" t="str">
        <f ca="1">Current!H7</f>
        <v>#N/A Requesting Data...</v>
      </c>
      <c r="E4" s="222">
        <f>Current!L7</f>
        <v>-0.1000000000000334</v>
      </c>
      <c r="F4" s="223" t="e">
        <f ca="1">Current!J7</f>
        <v>#VALUE!</v>
      </c>
    </row>
    <row r="5" spans="2:6" x14ac:dyDescent="0.25">
      <c r="B5" s="248" t="str">
        <f>Current!E8</f>
        <v>#N/A Requesting Data...</v>
      </c>
      <c r="C5" s="251" t="str">
        <f>Current!F8</f>
        <v>#N/A Requesting Data...</v>
      </c>
      <c r="D5" s="254" t="str">
        <f ca="1">Current!H8</f>
        <v>#N/A Requesting Data...</v>
      </c>
      <c r="E5" s="226">
        <f>Current!L8</f>
        <v>-0.1000000000000334</v>
      </c>
      <c r="F5" s="227" t="e">
        <f ca="1">Current!J8</f>
        <v>#VALUE!</v>
      </c>
    </row>
    <row r="6" spans="2:6" x14ac:dyDescent="0.25">
      <c r="B6" s="248" t="str">
        <f>Current!E9</f>
        <v>#N/A Requesting Data...</v>
      </c>
      <c r="C6" s="251" t="str">
        <f>Current!F9</f>
        <v>#N/A Requesting Data...</v>
      </c>
      <c r="D6" s="254" t="str">
        <f ca="1">Current!H9</f>
        <v>#N/A Requesting Data...</v>
      </c>
      <c r="E6" s="226">
        <f>Current!L9</f>
        <v>-0.60000000000002274</v>
      </c>
      <c r="F6" s="227" t="e">
        <f ca="1">Current!J9</f>
        <v>#VALUE!</v>
      </c>
    </row>
    <row r="7" spans="2:6" x14ac:dyDescent="0.25">
      <c r="B7" s="248" t="str">
        <f>Current!E10</f>
        <v>#N/A Requesting Data...</v>
      </c>
      <c r="C7" s="251" t="str">
        <f>Current!F10</f>
        <v>#N/A Requesting Data...</v>
      </c>
      <c r="D7" s="254" t="str">
        <f ca="1">Current!H10</f>
        <v>#N/A Requesting Data...</v>
      </c>
      <c r="E7" s="226">
        <f>Current!L10</f>
        <v>-0.76000000000000512</v>
      </c>
      <c r="F7" s="227" t="e">
        <f ca="1">Current!J10</f>
        <v>#VALUE!</v>
      </c>
    </row>
    <row r="8" spans="2:6" x14ac:dyDescent="0.25">
      <c r="B8" s="248" t="str">
        <f>Current!E11</f>
        <v>#N/A Requesting Data...</v>
      </c>
      <c r="C8" s="251" t="str">
        <f>Current!F11</f>
        <v>#N/A Requesting Data...</v>
      </c>
      <c r="D8" s="254" t="str">
        <f ca="1">Current!H11</f>
        <v>#N/A Requesting Data...</v>
      </c>
      <c r="E8" s="226">
        <f>Current!L11</f>
        <v>-0.23999999999997357</v>
      </c>
      <c r="F8" s="227" t="e">
        <f ca="1">Current!J11</f>
        <v>#VALUE!</v>
      </c>
    </row>
    <row r="9" spans="2:6" x14ac:dyDescent="0.25">
      <c r="B9" s="248" t="str">
        <f>Current!E12</f>
        <v>#N/A Requesting Data...</v>
      </c>
      <c r="C9" s="251" t="str">
        <f>Current!F12</f>
        <v>#N/A Requesting Data...</v>
      </c>
      <c r="D9" s="254" t="str">
        <f ca="1">Current!H12</f>
        <v>#N/A Requesting Data...</v>
      </c>
      <c r="E9" s="226">
        <f>Current!L12</f>
        <v>0.9700000000000486</v>
      </c>
      <c r="F9" s="227" t="e">
        <f ca="1">Current!J12</f>
        <v>#VALUE!</v>
      </c>
    </row>
    <row r="10" spans="2:6" ht="15.75" thickBot="1" x14ac:dyDescent="0.3">
      <c r="B10" s="249" t="str">
        <f>Current!E13</f>
        <v>#N/A Requesting Data...</v>
      </c>
      <c r="C10" s="252" t="str">
        <f>Current!F13</f>
        <v>#N/A Requesting Data...</v>
      </c>
      <c r="D10" s="255" t="str">
        <f ca="1">Current!H13</f>
        <v>#N/A Requesting Data...</v>
      </c>
      <c r="E10" s="230">
        <f>Current!L13</f>
        <v>-0.24999999999995026</v>
      </c>
      <c r="F10" s="231" t="e">
        <f ca="1">Current!J13</f>
        <v>#VALUE!</v>
      </c>
    </row>
    <row r="11" spans="2:6" ht="15.75" hidden="1" thickBot="1" x14ac:dyDescent="0.3">
      <c r="B11" s="249">
        <f>Current!E14</f>
        <v>0</v>
      </c>
      <c r="C11" s="287">
        <f>Current!F14</f>
        <v>0</v>
      </c>
      <c r="D11" s="267">
        <f>Current!H14</f>
        <v>0</v>
      </c>
      <c r="E11" s="268">
        <f>Current!L14</f>
        <v>0</v>
      </c>
      <c r="F11" s="269">
        <f>Current!J14</f>
        <v>0</v>
      </c>
    </row>
    <row r="12" spans="2:6" ht="15.75" hidden="1" thickBot="1" x14ac:dyDescent="0.3">
      <c r="B12" s="249">
        <f>Current!E15</f>
        <v>0</v>
      </c>
      <c r="C12" s="266">
        <f>Current!F15</f>
        <v>0</v>
      </c>
      <c r="D12" s="267">
        <f>Current!H15</f>
        <v>0</v>
      </c>
      <c r="E12" s="268">
        <f>Current!L15</f>
        <v>0</v>
      </c>
      <c r="F12" s="269">
        <f>Current!J15</f>
        <v>0</v>
      </c>
    </row>
    <row r="13" spans="2:6" ht="15.75" thickBot="1" x14ac:dyDescent="0.3">
      <c r="B13" s="278"/>
      <c r="C13" s="278"/>
      <c r="D13" s="278"/>
      <c r="E13" s="278"/>
      <c r="F13" s="278"/>
    </row>
    <row r="14" spans="2:6" ht="16.5" thickBot="1" x14ac:dyDescent="0.3">
      <c r="B14" s="215" t="s">
        <v>26</v>
      </c>
      <c r="C14" s="278"/>
      <c r="D14" s="278"/>
      <c r="E14" s="278"/>
      <c r="F14" s="278"/>
    </row>
    <row r="15" spans="2:6" ht="15.75" thickBot="1" x14ac:dyDescent="0.3">
      <c r="B15" s="256" t="str">
        <f>[1]Current!U2</f>
        <v>Meeting</v>
      </c>
      <c r="C15" s="247" t="str">
        <f>[1]Current!V2</f>
        <v>StartDate</v>
      </c>
      <c r="D15" s="257" t="str">
        <f>[1]Current!X2</f>
        <v>Rate</v>
      </c>
      <c r="E15" s="257" t="str">
        <f>[1]Current!AB2</f>
        <v>1d Chg</v>
      </c>
      <c r="F15" s="258" t="str">
        <f>[1]Current!Z2</f>
        <v>Priced In (Total)</v>
      </c>
    </row>
    <row r="16" spans="2:6" x14ac:dyDescent="0.25">
      <c r="B16" s="233" t="str">
        <f>Current!U7</f>
        <v>#N/A Requesting Data...</v>
      </c>
      <c r="C16" s="220" t="str">
        <f>Current!V7</f>
        <v>#N/A Requesting Data...</v>
      </c>
      <c r="D16" s="221" t="str">
        <f>Current!X7</f>
        <v>#N/A Requesting Data...</v>
      </c>
      <c r="E16" s="234">
        <f>Current!AB7</f>
        <v>0.25000000000003908</v>
      </c>
      <c r="F16" s="235" t="e">
        <f>Current!Z7</f>
        <v>#VALUE!</v>
      </c>
    </row>
    <row r="17" spans="2:6" x14ac:dyDescent="0.25">
      <c r="B17" s="248" t="str">
        <f>Current!U8</f>
        <v>#N/A Requesting Data...</v>
      </c>
      <c r="C17" s="245" t="str">
        <f>Current!V8</f>
        <v>#N/A Requesting Data...</v>
      </c>
      <c r="D17" s="246" t="str">
        <f>Current!X8</f>
        <v>#N/A Requesting Data...</v>
      </c>
      <c r="E17" s="226">
        <f>Current!AB8</f>
        <v>0.49999999999998934</v>
      </c>
      <c r="F17" s="227" t="e">
        <f>Current!Z8</f>
        <v>#VALUE!</v>
      </c>
    </row>
    <row r="18" spans="2:6" x14ac:dyDescent="0.25">
      <c r="B18" s="248" t="str">
        <f>Current!U9</f>
        <v>#N/A Requesting Data...</v>
      </c>
      <c r="C18" s="224" t="str">
        <f>Current!V9</f>
        <v>#N/A Requesting Data...</v>
      </c>
      <c r="D18" s="225" t="str">
        <f>Current!X9</f>
        <v>#N/A Requesting Data...</v>
      </c>
      <c r="E18" s="226">
        <f>Current!AB9</f>
        <v>0.25000000000003908</v>
      </c>
      <c r="F18" s="227" t="e">
        <f>Current!Z9</f>
        <v>#VALUE!</v>
      </c>
    </row>
    <row r="19" spans="2:6" x14ac:dyDescent="0.25">
      <c r="B19" s="248" t="str">
        <f>Current!U10</f>
        <v>#N/A Requesting Data...</v>
      </c>
      <c r="C19" s="224" t="str">
        <f>Current!V10</f>
        <v>#N/A Requesting Data...</v>
      </c>
      <c r="D19" s="225" t="str">
        <f>Current!X10</f>
        <v>#N/A Requesting Data...</v>
      </c>
      <c r="E19" s="226">
        <f>Current!AB10</f>
        <v>-0.24999999999999467</v>
      </c>
      <c r="F19" s="227" t="e">
        <f>Current!Z10</f>
        <v>#VALUE!</v>
      </c>
    </row>
    <row r="20" spans="2:6" ht="15.75" thickBot="1" x14ac:dyDescent="0.3">
      <c r="B20" s="249" t="str">
        <f>Current!U11</f>
        <v>#N/A Requesting Data...</v>
      </c>
      <c r="C20" s="228" t="str">
        <f>Current!V11</f>
        <v>#N/A Requesting Data...</v>
      </c>
      <c r="D20" s="229" t="str">
        <f>Current!X11</f>
        <v>#N/A Requesting Data...</v>
      </c>
      <c r="E20" s="230">
        <f>Current!AB11</f>
        <v>-0.75000000000002842</v>
      </c>
      <c r="F20" s="231" t="e">
        <f>Current!Z11</f>
        <v>#VALUE!</v>
      </c>
    </row>
    <row r="21" spans="2:6" ht="15.75" hidden="1" thickBot="1" x14ac:dyDescent="0.3">
      <c r="B21" s="249" t="str">
        <f>Current!U12</f>
        <v>#N/A Requesting Data...</v>
      </c>
      <c r="C21" s="273" t="str">
        <f>Current!V12</f>
        <v>#N/A Requesting Data...</v>
      </c>
      <c r="D21" s="274" t="str">
        <f>Current!X12</f>
        <v>#N/A Requesting Data...</v>
      </c>
      <c r="E21" s="268">
        <f>Current!AB12</f>
        <v>-1.2500000000000178</v>
      </c>
      <c r="F21" s="269" t="e">
        <f>Current!Z12</f>
        <v>#VALUE!</v>
      </c>
    </row>
    <row r="22" spans="2:6" hidden="1" x14ac:dyDescent="0.25">
      <c r="B22" s="261">
        <f>Current!U14</f>
        <v>0</v>
      </c>
      <c r="C22" s="219">
        <f>Current!V14</f>
        <v>0</v>
      </c>
      <c r="D22" s="279">
        <f>Current!X14</f>
        <v>0</v>
      </c>
      <c r="E22" s="259">
        <f>Current!AB14</f>
        <v>0</v>
      </c>
      <c r="F22" s="260">
        <f>Current!Z14</f>
        <v>0</v>
      </c>
    </row>
    <row r="23" spans="2:6" ht="15.75" hidden="1" thickBot="1" x14ac:dyDescent="0.3">
      <c r="B23" s="262">
        <f>Current!U15</f>
        <v>0</v>
      </c>
      <c r="C23" s="228">
        <f>Current!V15</f>
        <v>0</v>
      </c>
      <c r="D23" s="229">
        <f>Current!X15</f>
        <v>0</v>
      </c>
      <c r="E23" s="230">
        <f>Current!AB15</f>
        <v>0</v>
      </c>
      <c r="F23" s="231">
        <f>Current!Z15</f>
        <v>0</v>
      </c>
    </row>
    <row r="24" spans="2:6" ht="15.75" thickBot="1" x14ac:dyDescent="0.3">
      <c r="C24" s="278"/>
      <c r="D24" s="278"/>
      <c r="E24" s="278"/>
      <c r="F24" s="278"/>
    </row>
    <row r="25" spans="2:6" ht="15.75" thickBot="1" x14ac:dyDescent="0.3">
      <c r="B25" s="232" t="str">
        <f>[1]Current!E16</f>
        <v>ECB</v>
      </c>
      <c r="C25" s="278"/>
      <c r="D25" s="278"/>
      <c r="E25" s="278"/>
      <c r="F25" s="278"/>
    </row>
    <row r="26" spans="2:6" ht="15.75" thickBot="1" x14ac:dyDescent="0.3">
      <c r="B26" s="237" t="str">
        <f>[1]Current!E17</f>
        <v>Meeting</v>
      </c>
      <c r="C26" s="220" t="str">
        <f>[1]Current!F17</f>
        <v>StartDate</v>
      </c>
      <c r="D26" s="221" t="str">
        <f>[1]Current!H17</f>
        <v>Rate</v>
      </c>
      <c r="E26" s="234" t="str">
        <f>[1]Current!L17</f>
        <v>1d Chg</v>
      </c>
      <c r="F26" s="235" t="str">
        <f>[1]Current!J17</f>
        <v>Priced In (Total)</v>
      </c>
    </row>
    <row r="27" spans="2:6" x14ac:dyDescent="0.25">
      <c r="B27" s="233" t="str">
        <f>Current!E23</f>
        <v>#N/A Requesting Data...</v>
      </c>
      <c r="C27" s="250" t="str">
        <f>Current!F23</f>
        <v>#N/A Requesting Data...</v>
      </c>
      <c r="D27" s="253" t="str">
        <f>Current!H23</f>
        <v>#N/A Requesting Data...</v>
      </c>
      <c r="E27" s="222">
        <f>Current!L23</f>
        <v>0.34000000000000696</v>
      </c>
      <c r="F27" s="227" t="e">
        <f>Current!J23</f>
        <v>#VALUE!</v>
      </c>
    </row>
    <row r="28" spans="2:6" x14ac:dyDescent="0.25">
      <c r="B28" s="248" t="str">
        <f>Current!E24</f>
        <v>#N/A Requesting Data...</v>
      </c>
      <c r="C28" s="251" t="str">
        <f>Current!F24</f>
        <v>#N/A Requesting Data...</v>
      </c>
      <c r="D28" s="254" t="str">
        <f>Current!H24</f>
        <v>#N/A Requesting Data...</v>
      </c>
      <c r="E28" s="226">
        <f>Current!L24</f>
        <v>0.14000000000002899</v>
      </c>
      <c r="F28" s="227" t="e">
        <f>Current!J24</f>
        <v>#VALUE!</v>
      </c>
    </row>
    <row r="29" spans="2:6" x14ac:dyDescent="0.25">
      <c r="B29" s="248" t="str">
        <f>Current!E25</f>
        <v>#N/A Requesting Data...</v>
      </c>
      <c r="C29" s="251" t="str">
        <f>Current!F25</f>
        <v>#N/A Requesting Data...</v>
      </c>
      <c r="D29" s="254" t="str">
        <f>Current!H25</f>
        <v>#N/A Requesting Data...</v>
      </c>
      <c r="E29" s="226">
        <f>Current!L25</f>
        <v>0.49999999999998934</v>
      </c>
      <c r="F29" s="227" t="e">
        <f>Current!J25</f>
        <v>#VALUE!</v>
      </c>
    </row>
    <row r="30" spans="2:6" x14ac:dyDescent="0.25">
      <c r="B30" s="248" t="str">
        <f>Current!E26</f>
        <v>#N/A Requesting Data...</v>
      </c>
      <c r="C30" s="251" t="str">
        <f>Current!F26</f>
        <v>#N/A Requesting Data...</v>
      </c>
      <c r="D30" s="254" t="str">
        <f>Current!H26</f>
        <v>#N/A Requesting Data...</v>
      </c>
      <c r="E30" s="226">
        <f>Current!L26</f>
        <v>0.8799999999999919</v>
      </c>
      <c r="F30" s="227" t="e">
        <f>Current!J26</f>
        <v>#VALUE!</v>
      </c>
    </row>
    <row r="31" spans="2:6" x14ac:dyDescent="0.25">
      <c r="B31" s="248" t="str">
        <f>Current!E27</f>
        <v>#N/A Requesting Data...</v>
      </c>
      <c r="C31" s="251" t="str">
        <f>Current!F27</f>
        <v>#N/A Requesting Data...</v>
      </c>
      <c r="D31" s="254" t="str">
        <f>Current!H27</f>
        <v>#N/A Requesting Data...</v>
      </c>
      <c r="E31" s="226">
        <f>Current!L27</f>
        <v>1.2500000000000178</v>
      </c>
      <c r="F31" s="227" t="e">
        <f>Current!J27</f>
        <v>#VALUE!</v>
      </c>
    </row>
    <row r="32" spans="2:6" ht="15.75" thickBot="1" x14ac:dyDescent="0.3">
      <c r="B32" s="249" t="str">
        <f>Current!E28</f>
        <v>#N/A Requesting Data...</v>
      </c>
      <c r="C32" s="252" t="str">
        <f>Current!F28</f>
        <v>#N/A Requesting Data...</v>
      </c>
      <c r="D32" s="255" t="str">
        <f>Current!H28</f>
        <v>#N/A Requesting Data...</v>
      </c>
      <c r="E32" s="230">
        <f>Current!L28</f>
        <v>1.7999999999999794</v>
      </c>
      <c r="F32" s="231" t="e">
        <f>Current!J28</f>
        <v>#VALUE!</v>
      </c>
    </row>
    <row r="34" spans="2:6" hidden="1" x14ac:dyDescent="0.25">
      <c r="B34" s="282" t="str">
        <f>Current!E30</f>
        <v>Jan</v>
      </c>
      <c r="C34" s="285">
        <f>Current!F30</f>
        <v>0</v>
      </c>
      <c r="D34" s="286" t="str">
        <f>Current!H30</f>
        <v>#N/A Requesting Data...</v>
      </c>
      <c r="E34" s="259">
        <f>Current!L30</f>
        <v>2.0899999999999697</v>
      </c>
      <c r="F34" s="260" t="e">
        <f>Current!J30</f>
        <v>#VALUE!</v>
      </c>
    </row>
    <row r="35" spans="2:6" ht="15.75" hidden="1" thickBot="1" x14ac:dyDescent="0.3">
      <c r="B35" s="249">
        <f>Current!E31</f>
        <v>0</v>
      </c>
      <c r="C35" s="252">
        <f>Current!F31</f>
        <v>0</v>
      </c>
      <c r="D35" s="255">
        <f>Current!H31</f>
        <v>0</v>
      </c>
      <c r="E35" s="230">
        <f>Current!L31</f>
        <v>-281.11</v>
      </c>
      <c r="F35" s="231">
        <f>Current!J31</f>
        <v>0</v>
      </c>
    </row>
    <row r="36" spans="2:6" ht="15.75" thickBot="1" x14ac:dyDescent="0.3">
      <c r="C36" s="278"/>
      <c r="D36" s="278"/>
      <c r="E36" s="278"/>
      <c r="F36" s="278"/>
    </row>
    <row r="37" spans="2:6" ht="15.75" thickBot="1" x14ac:dyDescent="0.3">
      <c r="B37" s="232" t="str">
        <f>[1]Current!U16</f>
        <v>MPC</v>
      </c>
      <c r="C37" s="278"/>
      <c r="D37" s="278"/>
      <c r="E37" s="278"/>
      <c r="F37" s="278"/>
    </row>
    <row r="38" spans="2:6" ht="15.75" thickBot="1" x14ac:dyDescent="0.3">
      <c r="B38" s="237" t="str">
        <f>[1]Current!U17</f>
        <v>Meeting</v>
      </c>
      <c r="C38" s="220" t="str">
        <f>[1]Current!V17</f>
        <v>StartDate</v>
      </c>
      <c r="D38" s="221" t="str">
        <f>[1]Current!X17</f>
        <v>Rate</v>
      </c>
      <c r="E38" s="234" t="str">
        <f>[1]Current!AB17</f>
        <v>1d Chg</v>
      </c>
      <c r="F38" s="235" t="str">
        <f>[1]Current!Z17</f>
        <v>Priced In (Total)</v>
      </c>
    </row>
    <row r="39" spans="2:6" x14ac:dyDescent="0.25">
      <c r="B39" s="233" t="str">
        <f>Current!U23</f>
        <v>#N/A Requesting Data...</v>
      </c>
      <c r="C39" s="250" t="str">
        <f>Current!V23</f>
        <v>#N/A Requesting Data...</v>
      </c>
      <c r="D39" s="253" t="str">
        <f>Current!X23</f>
        <v>#N/A Requesting Data...</v>
      </c>
      <c r="E39" s="222">
        <f>Current!AB23</f>
        <v>-1.6439999999999788</v>
      </c>
      <c r="F39" s="223">
        <v>-21.550000000000047</v>
      </c>
    </row>
    <row r="40" spans="2:6" x14ac:dyDescent="0.25">
      <c r="B40" s="248" t="str">
        <f>Current!U24</f>
        <v>#N/A Requesting Data...</v>
      </c>
      <c r="C40" s="251" t="str">
        <f>Current!V24</f>
        <v>#N/A Requesting Data...</v>
      </c>
      <c r="D40" s="254" t="str">
        <f>Current!X24</f>
        <v>#N/A Requesting Data...</v>
      </c>
      <c r="E40" s="226">
        <f>Current!AB24</f>
        <v>-2.1090000000000053</v>
      </c>
      <c r="F40" s="227" t="e">
        <f>Current!Z24</f>
        <v>#VALUE!</v>
      </c>
    </row>
    <row r="41" spans="2:6" x14ac:dyDescent="0.25">
      <c r="B41" s="248" t="str">
        <f>Current!U25</f>
        <v>#N/A Requesting Data...</v>
      </c>
      <c r="C41" s="251" t="str">
        <f>Current!V25</f>
        <v>#N/A Requesting Data...</v>
      </c>
      <c r="D41" s="254" t="str">
        <f>Current!X25</f>
        <v>#N/A Requesting Data...</v>
      </c>
      <c r="E41" s="226">
        <f>Current!AB25</f>
        <v>-1.9619999999999749</v>
      </c>
      <c r="F41" s="227" t="e">
        <f>Current!Z25</f>
        <v>#VALUE!</v>
      </c>
    </row>
    <row r="42" spans="2:6" x14ac:dyDescent="0.25">
      <c r="B42" s="248" t="str">
        <f>Current!U26</f>
        <v>#N/A Requesting Data...</v>
      </c>
      <c r="C42" s="251" t="str">
        <f>Current!V26</f>
        <v>#N/A Requesting Data...</v>
      </c>
      <c r="D42" s="254" t="str">
        <f>Current!X26</f>
        <v>#N/A Requesting Data...</v>
      </c>
      <c r="E42" s="226">
        <f>Current!AB26</f>
        <v>-1.3340000000000352</v>
      </c>
      <c r="F42" s="227" t="e">
        <f>Current!Z26</f>
        <v>#VALUE!</v>
      </c>
    </row>
    <row r="43" spans="2:6" x14ac:dyDescent="0.25">
      <c r="B43" s="248" t="str">
        <f>Current!U27</f>
        <v>#N/A Requesting Data...</v>
      </c>
      <c r="C43" s="251" t="str">
        <f>Current!V27</f>
        <v>#N/A Requesting Data...</v>
      </c>
      <c r="D43" s="254" t="str">
        <f>Current!X27</f>
        <v>#N/A Requesting Data...</v>
      </c>
      <c r="E43" s="226">
        <f>Current!AB27</f>
        <v>-1.2670000000000847</v>
      </c>
      <c r="F43" s="227" t="e">
        <f>Current!Z27</f>
        <v>#VALUE!</v>
      </c>
    </row>
    <row r="44" spans="2:6" x14ac:dyDescent="0.25">
      <c r="B44" s="248" t="str">
        <f>Current!U28</f>
        <v>#N/A Requesting Data...</v>
      </c>
      <c r="C44" s="251" t="str">
        <f>Current!V28</f>
        <v>#N/A Requesting Data...</v>
      </c>
      <c r="D44" s="254" t="str">
        <f>Current!X28</f>
        <v>#N/A Requesting Data...</v>
      </c>
      <c r="E44" s="226">
        <f>Current!AB28</f>
        <v>-0.98700000000002674</v>
      </c>
      <c r="F44" s="227" t="e">
        <f>Current!Z28</f>
        <v>#VALUE!</v>
      </c>
    </row>
    <row r="45" spans="2:6" x14ac:dyDescent="0.25">
      <c r="B45" s="248" t="str">
        <f>Current!U29</f>
        <v>#N/A Requesting Data...</v>
      </c>
      <c r="C45" s="251" t="str">
        <f>Current!V29</f>
        <v>#N/A Requesting Data...</v>
      </c>
      <c r="D45" s="254" t="str">
        <f>Current!X29</f>
        <v>#N/A Requesting Data...</v>
      </c>
      <c r="E45" s="226">
        <f>Current!AB29</f>
        <v>-0.75599999999997891</v>
      </c>
      <c r="F45" s="227" t="e">
        <f>Current!Z29</f>
        <v>#VALUE!</v>
      </c>
    </row>
    <row r="46" spans="2:6" ht="15.75" thickBot="1" x14ac:dyDescent="0.3">
      <c r="B46" s="249" t="str">
        <f>Current!U30</f>
        <v>#N/A Requesting Data...</v>
      </c>
      <c r="C46" s="252" t="str">
        <f>Current!V30</f>
        <v>#N/A Requesting Data...</v>
      </c>
      <c r="D46" s="255" t="str">
        <f>Current!X30</f>
        <v>#N/A Requesting Data...</v>
      </c>
      <c r="E46" s="230">
        <f>Current!AB30</f>
        <v>-0.51399999999999224</v>
      </c>
      <c r="F46" s="231" t="e">
        <f>Current!Z30</f>
        <v>#VALUE!</v>
      </c>
    </row>
    <row r="47" spans="2:6" ht="15.75" hidden="1" thickBot="1" x14ac:dyDescent="0.3">
      <c r="B47" s="249" t="str">
        <f>Current!U31</f>
        <v>#N/A Requesting Data...</v>
      </c>
      <c r="C47" s="266" t="str">
        <f>Current!V31</f>
        <v>#N/A Requesting Data...</v>
      </c>
      <c r="D47" s="267">
        <f>Current!X31</f>
        <v>0</v>
      </c>
      <c r="E47" s="268">
        <f>Current!AB31</f>
        <v>0</v>
      </c>
      <c r="F47" s="269">
        <f>Current!Z31</f>
        <v>0</v>
      </c>
    </row>
    <row r="48" spans="2:6" ht="15.75" thickBot="1" x14ac:dyDescent="0.3">
      <c r="C48" s="278"/>
      <c r="D48" s="278"/>
      <c r="E48" s="278"/>
      <c r="F48" s="278"/>
    </row>
    <row r="49" spans="2:15" ht="15.75" thickBot="1" x14ac:dyDescent="0.3">
      <c r="B49" s="232" t="str">
        <f>[1]Current!E33</f>
        <v>FOMC</v>
      </c>
      <c r="C49" s="278"/>
      <c r="D49" s="278"/>
      <c r="E49" s="278"/>
      <c r="F49" s="278"/>
    </row>
    <row r="50" spans="2:15" ht="15.75" thickBot="1" x14ac:dyDescent="0.3">
      <c r="B50" s="237" t="str">
        <f>[1]Current!E34</f>
        <v>Meeting</v>
      </c>
      <c r="C50" s="220" t="str">
        <f>[1]Current!F34</f>
        <v>StartDate</v>
      </c>
      <c r="D50" s="221" t="str">
        <f>[1]Current!H34</f>
        <v>Rate</v>
      </c>
      <c r="E50" s="234" t="str">
        <f>[1]Current!L34</f>
        <v>1d Chg</v>
      </c>
      <c r="F50" s="235" t="str">
        <f>[1]Current!J34</f>
        <v>Priced In (Total)</v>
      </c>
    </row>
    <row r="51" spans="2:15" x14ac:dyDescent="0.25">
      <c r="B51" s="233" t="str">
        <f>Current!E40</f>
        <v>#N/A Requesting Data...</v>
      </c>
      <c r="C51" s="250" t="str">
        <f>Current!F40</f>
        <v>#N/A Requesting Data...</v>
      </c>
      <c r="D51" s="253" t="str">
        <f>Current!H40</f>
        <v>#N/A Requesting Data...</v>
      </c>
      <c r="E51" s="222">
        <f>Current!L40</f>
        <v>0.22000000000002018</v>
      </c>
      <c r="F51" s="223" t="e">
        <f>Current!J40</f>
        <v>#VALUE!</v>
      </c>
    </row>
    <row r="52" spans="2:15" x14ac:dyDescent="0.25">
      <c r="B52" s="248" t="str">
        <f>Current!E41</f>
        <v>#N/A Requesting Data...</v>
      </c>
      <c r="C52" s="251" t="str">
        <f>Current!F41</f>
        <v>#N/A Requesting Data...</v>
      </c>
      <c r="D52" s="254" t="str">
        <f>Current!H41</f>
        <v>#N/A Requesting Data...</v>
      </c>
      <c r="E52" s="226">
        <f>Current!L41</f>
        <v>0.55000000000000604</v>
      </c>
      <c r="F52" s="227" t="e">
        <f>Current!J41</f>
        <v>#VALUE!</v>
      </c>
    </row>
    <row r="53" spans="2:15" x14ac:dyDescent="0.25">
      <c r="B53" s="248" t="str">
        <f>Current!E42</f>
        <v>#N/A Requesting Data...</v>
      </c>
      <c r="C53" s="251" t="str">
        <f>Current!F42</f>
        <v>#N/A Requesting Data...</v>
      </c>
      <c r="D53" s="254" t="str">
        <f>Current!H42</f>
        <v>#N/A Requesting Data...</v>
      </c>
      <c r="E53" s="226">
        <f>Current!L42</f>
        <v>0.57000000000000384</v>
      </c>
      <c r="F53" s="227" t="e">
        <f>Current!J42</f>
        <v>#VALUE!</v>
      </c>
    </row>
    <row r="54" spans="2:15" x14ac:dyDescent="0.25">
      <c r="B54" s="248" t="str">
        <f>Current!E43</f>
        <v>#N/A Requesting Data...</v>
      </c>
      <c r="C54" s="226" t="str">
        <f>Current!F43</f>
        <v>#N/A Requesting Data...</v>
      </c>
      <c r="D54" s="254" t="str">
        <f>Current!H43</f>
        <v>#N/A Requesting Data...</v>
      </c>
      <c r="E54" s="226">
        <f>Current!L43</f>
        <v>0.66000000000001613</v>
      </c>
      <c r="F54" s="227" t="e">
        <f>Current!J43</f>
        <v>#VALUE!</v>
      </c>
    </row>
    <row r="55" spans="2:15" x14ac:dyDescent="0.25">
      <c r="B55" s="248" t="str">
        <f>Current!E44</f>
        <v>#N/A Requesting Data...</v>
      </c>
      <c r="C55" s="251" t="str">
        <f>Current!F44</f>
        <v>#N/A Requesting Data...</v>
      </c>
      <c r="D55" s="254" t="str">
        <f>Current!H44</f>
        <v>#N/A Requesting Data...</v>
      </c>
      <c r="E55" s="226">
        <f>Current!L44</f>
        <v>1.0499999999999954</v>
      </c>
      <c r="F55" s="227" t="e">
        <f>Current!J44</f>
        <v>#VALUE!</v>
      </c>
    </row>
    <row r="56" spans="2:15" ht="15.75" thickBot="1" x14ac:dyDescent="0.3">
      <c r="B56" s="249" t="str">
        <f>Current!E45</f>
        <v>#N/A Requesting Data...</v>
      </c>
      <c r="C56" s="266" t="str">
        <f>Current!F45</f>
        <v>#N/A Requesting Data...</v>
      </c>
      <c r="D56" s="267" t="str">
        <f>Current!H45</f>
        <v>#N/A Requesting Data...</v>
      </c>
      <c r="E56" s="268">
        <f>Current!L45</f>
        <v>1.6899999999999693</v>
      </c>
      <c r="F56" s="269" t="e">
        <f>Current!J45</f>
        <v>#VALUE!</v>
      </c>
    </row>
    <row r="57" spans="2:15" hidden="1" x14ac:dyDescent="0.25">
      <c r="B57" s="236" t="str">
        <f>Current!E47</f>
        <v>#N/A Requesting Data...</v>
      </c>
      <c r="C57" s="251" t="str">
        <f>Current!F47</f>
        <v>#N/A Requesting Data...</v>
      </c>
      <c r="D57" s="254" t="str">
        <f>Current!H47</f>
        <v>#N/A Requesting Data...</v>
      </c>
      <c r="E57" s="226">
        <f>Current!L47</f>
        <v>2.4000000000000021</v>
      </c>
      <c r="F57" s="227" t="e">
        <f>Current!J47</f>
        <v>#VALUE!</v>
      </c>
    </row>
    <row r="58" spans="2:15" ht="15.75" hidden="1" thickBot="1" x14ac:dyDescent="0.3">
      <c r="B58" s="236" t="str">
        <f>Current!E48</f>
        <v>#N/A Requesting Data...</v>
      </c>
      <c r="C58" s="252" t="str">
        <f>Current!F48</f>
        <v>#N/A Requesting Data...</v>
      </c>
      <c r="D58" s="255" t="str">
        <f>Current!H48</f>
        <v>#N/A Requesting Data...</v>
      </c>
      <c r="E58" s="230">
        <f>Current!L48</f>
        <v>2.4699999999999278</v>
      </c>
      <c r="F58" s="231" t="e">
        <f>Current!J48</f>
        <v>#VALUE!</v>
      </c>
    </row>
    <row r="59" spans="2:15" ht="15.75" thickBot="1" x14ac:dyDescent="0.3">
      <c r="C59" s="278"/>
      <c r="D59" s="278"/>
      <c r="E59" s="278"/>
      <c r="F59" s="278"/>
    </row>
    <row r="60" spans="2:15" ht="15.75" thickBot="1" x14ac:dyDescent="0.3">
      <c r="B60" s="232" t="str">
        <f>[1]Current!U33</f>
        <v>BoC</v>
      </c>
      <c r="C60" s="278"/>
      <c r="D60" s="278"/>
      <c r="E60" s="278"/>
      <c r="F60" s="278"/>
    </row>
    <row r="61" spans="2:15" ht="15.75" thickBot="1" x14ac:dyDescent="0.3">
      <c r="B61" s="237" t="str">
        <f>[1]Current!U34</f>
        <v>Meeting</v>
      </c>
      <c r="C61" s="220" t="str">
        <f>[1]Current!V34</f>
        <v>StartDate</v>
      </c>
      <c r="D61" s="221" t="str">
        <f>[1]Current!X34</f>
        <v>Rate</v>
      </c>
      <c r="E61" s="234" t="str">
        <f>[1]Current!AB34</f>
        <v>1d Chg</v>
      </c>
      <c r="F61" s="235" t="str">
        <f>[1]Current!Z34</f>
        <v>Priced In (Total)</v>
      </c>
    </row>
    <row r="62" spans="2:15" x14ac:dyDescent="0.25">
      <c r="B62" s="233" t="str">
        <f>Current!U40</f>
        <v>#N/A Requesting Data...</v>
      </c>
      <c r="C62" s="222" t="str">
        <f>Current!V40</f>
        <v>#N/A Requesting Data...</v>
      </c>
      <c r="D62" s="253" t="str">
        <f>Current!X40</f>
        <v>#N/A Requesting Data...</v>
      </c>
      <c r="E62" s="222">
        <f>Current!AB40</f>
        <v>-0.24999999999999467</v>
      </c>
      <c r="F62" s="223" t="e">
        <f>Current!Z40</f>
        <v>#VALUE!</v>
      </c>
      <c r="O62" s="163"/>
    </row>
    <row r="63" spans="2:15" x14ac:dyDescent="0.25">
      <c r="B63" s="248" t="str">
        <f>Current!U41</f>
        <v>#N/A Requesting Data...</v>
      </c>
      <c r="C63" s="226" t="str">
        <f>Current!V41</f>
        <v>#N/A Requesting Data...</v>
      </c>
      <c r="D63" s="254" t="str">
        <f>Current!X41</f>
        <v>#N/A Requesting Data...</v>
      </c>
      <c r="E63" s="226">
        <f>Current!AB41</f>
        <v>-0.24999999999999467</v>
      </c>
      <c r="F63" s="227" t="e">
        <f>Current!Z41</f>
        <v>#VALUE!</v>
      </c>
      <c r="O63" s="163"/>
    </row>
    <row r="64" spans="2:15" x14ac:dyDescent="0.25">
      <c r="B64" s="248" t="str">
        <f>Current!U42</f>
        <v>#N/A Requesting Data...</v>
      </c>
      <c r="C64" s="226" t="str">
        <f>Current!V42</f>
        <v>#N/A Requesting Data...</v>
      </c>
      <c r="D64" s="254" t="str">
        <f>Current!X42</f>
        <v>#N/A Requesting Data...</v>
      </c>
      <c r="E64" s="226">
        <f>Current!AB42</f>
        <v>0.24999999999999467</v>
      </c>
      <c r="F64" s="227" t="e">
        <f>Current!Z42</f>
        <v>#VALUE!</v>
      </c>
      <c r="O64" s="163"/>
    </row>
    <row r="65" spans="2:22" x14ac:dyDescent="0.25">
      <c r="B65" s="248" t="str">
        <f>Current!U43</f>
        <v>#N/A Requesting Data...</v>
      </c>
      <c r="C65" s="270" t="str">
        <f>Current!V43</f>
        <v>#N/A Requesting Data...</v>
      </c>
      <c r="D65" s="254" t="str">
        <f>Current!X43</f>
        <v>#N/A Requesting Data...</v>
      </c>
      <c r="E65" s="226">
        <f>Current!AB43</f>
        <v>0.75000000000002842</v>
      </c>
      <c r="F65" s="227" t="e">
        <f>Current!Z43</f>
        <v>#VALUE!</v>
      </c>
      <c r="O65" s="163"/>
    </row>
    <row r="66" spans="2:22" x14ac:dyDescent="0.25">
      <c r="B66" s="248" t="str">
        <f>Current!U44</f>
        <v>#N/A Requesting Data...</v>
      </c>
      <c r="C66" s="271" t="str">
        <f>Current!V44</f>
        <v>#N/A Requesting Data...</v>
      </c>
      <c r="D66" s="254" t="str">
        <f>Current!X44</f>
        <v>#N/A Requesting Data...</v>
      </c>
      <c r="E66" s="226">
        <f>Current!AB44</f>
        <v>0.99999999999997868</v>
      </c>
      <c r="F66" s="227" t="e">
        <f>Current!Z44</f>
        <v>#VALUE!</v>
      </c>
      <c r="O66" s="163"/>
    </row>
    <row r="67" spans="2:22" x14ac:dyDescent="0.25">
      <c r="B67" s="248" t="str">
        <f>Current!U45</f>
        <v>#N/A Requesting Data...</v>
      </c>
      <c r="C67" s="272" t="str">
        <f>Current!V45</f>
        <v>#N/A Requesting Data...</v>
      </c>
      <c r="D67" s="254" t="str">
        <f>Current!X45</f>
        <v>#N/A Requesting Data...</v>
      </c>
      <c r="E67" s="226">
        <f>Current!AB45</f>
        <v>1.2500000000000178</v>
      </c>
      <c r="F67" s="227" t="e">
        <f>Current!Z45</f>
        <v>#VALUE!</v>
      </c>
      <c r="O67" s="163"/>
    </row>
    <row r="68" spans="2:22" ht="15.75" thickBot="1" x14ac:dyDescent="0.3">
      <c r="B68" s="249" t="str">
        <f>Current!U46</f>
        <v>#N/A Requesting Data...</v>
      </c>
      <c r="C68" s="276" t="str">
        <f>Current!V46</f>
        <v>#N/A Requesting Data...</v>
      </c>
      <c r="D68" s="267" t="str">
        <f>Current!X46</f>
        <v>#N/A Requesting Data...</v>
      </c>
      <c r="E68" s="268">
        <f>Current!AB46</f>
        <v>1.2500000000000178</v>
      </c>
      <c r="F68" s="269" t="e">
        <f>Current!Z46</f>
        <v>#VALUE!</v>
      </c>
    </row>
    <row r="70" spans="2:22" ht="15.75" hidden="1" thickBot="1" x14ac:dyDescent="0.3">
      <c r="B70" s="249">
        <f>Current!U48</f>
        <v>0</v>
      </c>
      <c r="C70" s="276">
        <f>Current!V48</f>
        <v>0</v>
      </c>
      <c r="D70" s="267">
        <f>Current!X48</f>
        <v>0</v>
      </c>
      <c r="E70" s="268">
        <f>Current!AB48</f>
        <v>0</v>
      </c>
      <c r="F70" s="269">
        <f>Current!Z48</f>
        <v>0</v>
      </c>
    </row>
    <row r="75" spans="2:22" x14ac:dyDescent="0.25">
      <c r="V75">
        <v>1860000000</v>
      </c>
    </row>
    <row r="76" spans="2:22" x14ac:dyDescent="0.25">
      <c r="N76" t="s">
        <v>128</v>
      </c>
      <c r="O76" t="s">
        <v>129</v>
      </c>
      <c r="Q76" t="s">
        <v>133</v>
      </c>
      <c r="R76" t="s">
        <v>128</v>
      </c>
      <c r="S76" t="s">
        <v>129</v>
      </c>
      <c r="T76" t="s">
        <v>143</v>
      </c>
      <c r="V76">
        <f>V75/2</f>
        <v>930000000</v>
      </c>
    </row>
    <row r="77" spans="2:22" x14ac:dyDescent="0.25">
      <c r="Q77" t="s">
        <v>130</v>
      </c>
      <c r="R77" s="289">
        <v>522500000</v>
      </c>
      <c r="S77" s="289">
        <v>342900000</v>
      </c>
      <c r="T77">
        <v>288</v>
      </c>
    </row>
    <row r="78" spans="2:22" x14ac:dyDescent="0.25">
      <c r="N78" t="s">
        <v>135</v>
      </c>
      <c r="O78" t="s">
        <v>137</v>
      </c>
      <c r="Q78" t="s">
        <v>131</v>
      </c>
      <c r="R78" s="289">
        <v>90000000</v>
      </c>
      <c r="S78" s="289">
        <v>59000000</v>
      </c>
      <c r="T78">
        <v>50</v>
      </c>
    </row>
    <row r="79" spans="2:22" x14ac:dyDescent="0.25">
      <c r="N79" t="s">
        <v>136</v>
      </c>
      <c r="O79" t="s">
        <v>137</v>
      </c>
      <c r="Q79" t="s">
        <v>134</v>
      </c>
      <c r="R79" s="289">
        <v>90000000</v>
      </c>
      <c r="S79" s="289">
        <v>59000000</v>
      </c>
      <c r="T79">
        <v>50</v>
      </c>
    </row>
    <row r="80" spans="2:22" x14ac:dyDescent="0.25">
      <c r="N80" t="s">
        <v>138</v>
      </c>
      <c r="O80" t="s">
        <v>139</v>
      </c>
      <c r="Q80" t="s">
        <v>140</v>
      </c>
      <c r="R80" s="289">
        <v>90000000</v>
      </c>
      <c r="S80" s="289">
        <v>59000000</v>
      </c>
      <c r="T80">
        <v>50</v>
      </c>
    </row>
    <row r="81" spans="17:20" x14ac:dyDescent="0.25">
      <c r="Q81" t="s">
        <v>142</v>
      </c>
      <c r="R81" s="289">
        <v>90000000</v>
      </c>
      <c r="S81" s="289">
        <v>59000000</v>
      </c>
      <c r="T81">
        <v>50</v>
      </c>
    </row>
    <row r="82" spans="17:20" x14ac:dyDescent="0.25">
      <c r="Q82" t="s">
        <v>144</v>
      </c>
      <c r="R82" s="289">
        <v>90000000</v>
      </c>
      <c r="S82" s="289">
        <v>59000000</v>
      </c>
      <c r="T82">
        <v>50</v>
      </c>
    </row>
    <row r="83" spans="17:20" x14ac:dyDescent="0.25">
      <c r="Q83" t="s">
        <v>132</v>
      </c>
      <c r="R83" s="289">
        <f>R77-SUM(R78:R82)</f>
        <v>72500000</v>
      </c>
      <c r="S83" s="289">
        <f>S77-SUM(S78:S82)</f>
        <v>47900000</v>
      </c>
      <c r="T83" s="289">
        <f>T77-SUM(T78:T82)</f>
        <v>38</v>
      </c>
    </row>
    <row r="84" spans="17:20" ht="15.75" thickBot="1" x14ac:dyDescent="0.3">
      <c r="Q84" t="s">
        <v>141</v>
      </c>
      <c r="R84" s="290">
        <v>2.2360000000000002</v>
      </c>
      <c r="S84">
        <v>2.4576699999999998</v>
      </c>
    </row>
  </sheetData>
  <phoneticPr fontId="6"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85C9E-CC84-48DB-9FBE-B10D1702CCDC}">
  <sheetPr codeName="Sheet12"/>
  <dimension ref="A1:K6"/>
  <sheetViews>
    <sheetView workbookViewId="0">
      <selection activeCell="H10" sqref="H10"/>
    </sheetView>
  </sheetViews>
  <sheetFormatPr defaultRowHeight="15" x14ac:dyDescent="0.25"/>
  <cols>
    <col min="4" max="4" width="11.42578125" bestFit="1" customWidth="1"/>
    <col min="5" max="5" width="10" bestFit="1" customWidth="1"/>
    <col min="8" max="8" width="14.5703125" bestFit="1" customWidth="1"/>
  </cols>
  <sheetData>
    <row r="1" spans="1:11" x14ac:dyDescent="0.25">
      <c r="A1" t="s">
        <v>165</v>
      </c>
      <c r="B1" t="s">
        <v>166</v>
      </c>
      <c r="C1" t="s">
        <v>167</v>
      </c>
      <c r="D1" t="s">
        <v>168</v>
      </c>
      <c r="E1" t="s">
        <v>169</v>
      </c>
      <c r="F1" t="s">
        <v>170</v>
      </c>
      <c r="G1" t="s">
        <v>171</v>
      </c>
      <c r="H1" t="s">
        <v>172</v>
      </c>
      <c r="I1" t="s">
        <v>173</v>
      </c>
      <c r="K1" t="s">
        <v>174</v>
      </c>
    </row>
    <row r="2" spans="1:11" x14ac:dyDescent="0.25">
      <c r="A2" t="s">
        <v>161</v>
      </c>
      <c r="B2" t="s">
        <v>159</v>
      </c>
      <c r="C2" t="s">
        <v>175</v>
      </c>
      <c r="D2" s="374">
        <v>46260</v>
      </c>
      <c r="E2" s="374">
        <v>46295</v>
      </c>
      <c r="F2" t="s">
        <v>162</v>
      </c>
      <c r="G2" t="s">
        <v>163</v>
      </c>
      <c r="H2" s="375">
        <v>-48000000000</v>
      </c>
      <c r="I2" t="s">
        <v>164</v>
      </c>
      <c r="K2">
        <v>1.6599244714274799</v>
      </c>
    </row>
    <row r="3" spans="1:11" x14ac:dyDescent="0.25">
      <c r="A3" t="s">
        <v>161</v>
      </c>
      <c r="B3" t="s">
        <v>159</v>
      </c>
      <c r="C3" t="s">
        <v>175</v>
      </c>
      <c r="D3" s="374">
        <v>46295</v>
      </c>
      <c r="E3" s="374">
        <v>46337</v>
      </c>
      <c r="F3" t="s">
        <v>162</v>
      </c>
      <c r="G3" t="s">
        <v>163</v>
      </c>
      <c r="H3" s="375">
        <v>-21000000000</v>
      </c>
      <c r="I3" t="s">
        <v>164</v>
      </c>
      <c r="K3">
        <v>1.76897168785654</v>
      </c>
    </row>
    <row r="4" spans="1:11" x14ac:dyDescent="0.25">
      <c r="A4" t="s">
        <v>161</v>
      </c>
      <c r="B4" t="s">
        <v>159</v>
      </c>
      <c r="C4" t="s">
        <v>175</v>
      </c>
      <c r="D4" s="374">
        <v>46337</v>
      </c>
      <c r="E4" s="374">
        <v>46379</v>
      </c>
      <c r="F4" t="s">
        <v>162</v>
      </c>
      <c r="G4" t="s">
        <v>163</v>
      </c>
      <c r="H4" s="375">
        <v>-100000000</v>
      </c>
      <c r="I4" t="s">
        <v>164</v>
      </c>
      <c r="K4">
        <v>1.84699634314508</v>
      </c>
    </row>
    <row r="5" spans="1:11" x14ac:dyDescent="0.25">
      <c r="A5" t="s">
        <v>161</v>
      </c>
      <c r="B5" t="s">
        <v>159</v>
      </c>
      <c r="C5" t="s">
        <v>175</v>
      </c>
      <c r="D5" s="374">
        <v>46379</v>
      </c>
      <c r="E5" s="374">
        <v>46421</v>
      </c>
      <c r="F5" t="s">
        <v>162</v>
      </c>
      <c r="G5" t="s">
        <v>163</v>
      </c>
      <c r="H5" s="375">
        <v>-100000000</v>
      </c>
      <c r="I5" t="s">
        <v>164</v>
      </c>
      <c r="K5">
        <v>1.93226339035579</v>
      </c>
    </row>
    <row r="6" spans="1:11" x14ac:dyDescent="0.25">
      <c r="A6" t="s">
        <v>161</v>
      </c>
      <c r="B6" t="s">
        <v>159</v>
      </c>
      <c r="C6" t="s">
        <v>175</v>
      </c>
      <c r="D6" s="374">
        <v>46421</v>
      </c>
      <c r="E6" s="374">
        <v>46470</v>
      </c>
      <c r="F6" t="s">
        <v>162</v>
      </c>
      <c r="G6" t="s">
        <v>163</v>
      </c>
      <c r="H6" s="375">
        <v>-100000000</v>
      </c>
      <c r="I6" t="s">
        <v>164</v>
      </c>
      <c r="K6">
        <v>2.0008388355693798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75AB1-9BE1-45E0-BDBF-9EA83B6FAB15}">
  <sheetPr codeName="Sheet16"/>
  <dimension ref="A1"/>
  <sheetViews>
    <sheetView tabSelected="1"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1C106D-AA92-4A1C-AEE7-02DA12BB6F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Current</vt:lpstr>
      <vt:lpstr>Historical_AU</vt:lpstr>
      <vt:lpstr>Historical_NZ</vt:lpstr>
      <vt:lpstr>Historical_EU</vt:lpstr>
      <vt:lpstr>Historical_UK</vt:lpstr>
      <vt:lpstr>Historical_US</vt:lpstr>
      <vt:lpstr>Historical_CD</vt:lpstr>
      <vt:lpstr>Historical_SZ</vt:lpstr>
      <vt:lpstr>Historical_NOK</vt:lpstr>
      <vt:lpstr>Historical_JPY</vt:lpstr>
      <vt:lpstr>Historical_SEK</vt:lpstr>
      <vt:lpstr>Vandit</vt:lpstr>
      <vt:lpstr>Blast</vt:lpstr>
      <vt:lpstr>Screenshot</vt:lpstr>
      <vt:lpstr>Coremont Riskbank</vt:lpstr>
      <vt:lpstr>Runs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Emilia Zampieri</dc:creator>
  <cp:lastModifiedBy>Gabriel Pycroft-Cottam</cp:lastModifiedBy>
  <cp:lastPrinted>2019-12-20T08:19:26Z</cp:lastPrinted>
  <dcterms:created xsi:type="dcterms:W3CDTF">2015-06-05T18:17:20Z</dcterms:created>
  <dcterms:modified xsi:type="dcterms:W3CDTF">2026-08-28T14:44:13Z</dcterms:modified>
</cp:coreProperties>
</file>